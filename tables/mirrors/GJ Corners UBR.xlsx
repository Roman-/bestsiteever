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rners" sheetId="1" r:id="rId3"/>
    <sheet state="visible" name="test" sheetId="2" r:id="rId4"/>
  </sheets>
  <definedNames/>
  <calcPr/>
</workbook>
</file>

<file path=xl/sharedStrings.xml><?xml version="1.0" encoding="utf-8"?>
<sst xmlns="http://schemas.openxmlformats.org/spreadsheetml/2006/main" count="1676" uniqueCount="1142">
  <si>
    <t>Letter Pair</t>
  </si>
  <si>
    <t>Case</t>
  </si>
  <si>
    <t>ALG</t>
  </si>
  <si>
    <t>COMMENTS</t>
  </si>
  <si>
    <t>A B</t>
  </si>
  <si>
    <t>also possible U setup for xR2[ D2;R U R' ]R2x'</t>
  </si>
  <si>
    <t>A C</t>
  </si>
  <si>
    <t>A E</t>
  </si>
  <si>
    <t>ULB UFL</t>
  </si>
  <si>
    <t xml:space="preserve">x L U' L D2 L' U L D2 L2 x' </t>
  </si>
  <si>
    <t>ULB UFR</t>
  </si>
  <si>
    <t xml:space="preserve">x R2 D2 R U R' D2 R U' R x' </t>
  </si>
  <si>
    <t>ULB DFR</t>
  </si>
  <si>
    <t xml:space="preserve">R' D R2 D' R' U R D R' U' R' D' R </t>
  </si>
  <si>
    <t>A F</t>
  </si>
  <si>
    <t>ULB DLF</t>
  </si>
  <si>
    <t xml:space="preserve">R U R' U' L2 U R U' R' L2 </t>
  </si>
  <si>
    <t xml:space="preserve">R D U </t>
  </si>
  <si>
    <t>A G</t>
  </si>
  <si>
    <t>ULB DBL</t>
  </si>
  <si>
    <t>U l' U' R D2 R' U R D2 x' U'</t>
  </si>
  <si>
    <t>A H</t>
  </si>
  <si>
    <t>ULB DRB</t>
  </si>
  <si>
    <t xml:space="preserve">R2 D R2 D' R2 U' R2 D R2 D' R2 U </t>
  </si>
  <si>
    <t>A I</t>
  </si>
  <si>
    <t>ULB FRU</t>
  </si>
  <si>
    <t>F' r U R' U' r'  F R</t>
  </si>
  <si>
    <t>A J</t>
  </si>
  <si>
    <t>ULB FUL</t>
  </si>
  <si>
    <t>r U R' U' r' F R F'</t>
  </si>
  <si>
    <t>A K</t>
  </si>
  <si>
    <t>ULB FLD</t>
  </si>
  <si>
    <t xml:space="preserve">R D2 R' U R D2 R' U' </t>
  </si>
  <si>
    <t>A L</t>
  </si>
  <si>
    <t>ULB FRD</t>
  </si>
  <si>
    <t xml:space="preserve">U' L' D2 L U L' D2 L </t>
  </si>
  <si>
    <t>A O</t>
  </si>
  <si>
    <t>ULB BRD</t>
  </si>
  <si>
    <t xml:space="preserve">y R' D' R U R' D R U' y' </t>
  </si>
  <si>
    <t>too lazy to change it to no rotation alg in &lt;R,U,D&gt; (setup D, its better)</t>
  </si>
  <si>
    <t>A P</t>
  </si>
  <si>
    <t>ULB BDL</t>
  </si>
  <si>
    <t xml:space="preserve">U R' D2 R U R' D2 R U2 </t>
  </si>
  <si>
    <t>A R</t>
  </si>
  <si>
    <t>ULB LBD</t>
  </si>
  <si>
    <t xml:space="preserve">R D' R' U R D R' U' </t>
  </si>
  <si>
    <t>A S</t>
  </si>
  <si>
    <t>ULB RUF</t>
  </si>
  <si>
    <t xml:space="preserve">U R U2 R D R' U2 R D' R2 U' </t>
  </si>
  <si>
    <t>A T</t>
  </si>
  <si>
    <t>ULB RFD</t>
  </si>
  <si>
    <t xml:space="preserve">U R' D' R U R' D R U2 </t>
  </si>
  <si>
    <t>A U</t>
  </si>
  <si>
    <t>ULB RBD</t>
  </si>
  <si>
    <t xml:space="preserve">R D R' U R D' R' U' </t>
  </si>
  <si>
    <t>A W</t>
  </si>
  <si>
    <t>ULB LFU</t>
  </si>
  <si>
    <t xml:space="preserve">U R2 D' R U2 R' D R U2 R U' </t>
  </si>
  <si>
    <t>A Z</t>
  </si>
  <si>
    <t>ULB LDF</t>
  </si>
  <si>
    <t xml:space="preserve">U R' D R U R' D' R U2 </t>
  </si>
  <si>
    <t>B A</t>
  </si>
  <si>
    <t>UFL ULB</t>
  </si>
  <si>
    <t xml:space="preserve">x L2 D2 L' U' L D2 L' U L' x' </t>
  </si>
  <si>
    <t>B C</t>
  </si>
  <si>
    <t>UFL UFR</t>
  </si>
  <si>
    <t xml:space="preserve">x' R U' R D2 R' U R D2 R2 x </t>
  </si>
  <si>
    <t>B D</t>
  </si>
  <si>
    <t>UFL LBU</t>
  </si>
  <si>
    <t xml:space="preserve">U' x R2 D2 R U2 R' D2 R U2 R x' U </t>
  </si>
  <si>
    <t>B E</t>
  </si>
  <si>
    <t>UFL DFR</t>
  </si>
  <si>
    <t xml:space="preserve">R' D R2 D' R' U2 R D R' U2 R' D' R </t>
  </si>
  <si>
    <t>B F</t>
  </si>
  <si>
    <t>UFL DLF</t>
  </si>
  <si>
    <t xml:space="preserve">R U2 R' U' L2 U R U' L2 U' R' </t>
  </si>
  <si>
    <t xml:space="preserve">B G </t>
  </si>
  <si>
    <t xml:space="preserve">UFL DBL </t>
  </si>
  <si>
    <t xml:space="preserve">D2 R' D R2 D' R' U2 R D R' U2 R' D' R D2 </t>
  </si>
  <si>
    <t xml:space="preserve">B H </t>
  </si>
  <si>
    <t xml:space="preserve">UFL DRB </t>
  </si>
  <si>
    <t xml:space="preserve">R2 D R2 D' R2 U2 R2 D R2 D' R2 U2 </t>
  </si>
  <si>
    <t>B I</t>
  </si>
  <si>
    <t>UFL FRU</t>
  </si>
  <si>
    <t xml:space="preserve">R D U2 R D' R' U2 R D R' D' R </t>
  </si>
  <si>
    <t>B K</t>
  </si>
  <si>
    <t>UFL FLD</t>
  </si>
  <si>
    <t xml:space="preserve">R D2 R' U2 R D2 R' U2 </t>
  </si>
  <si>
    <t>B L</t>
  </si>
  <si>
    <t>UFL FRD</t>
  </si>
  <si>
    <t xml:space="preserve">R D R' U2 R D' R' U2 </t>
  </si>
  <si>
    <t>B M</t>
  </si>
  <si>
    <t>UFL BUL</t>
  </si>
  <si>
    <t xml:space="preserve">x' R U2 R D2 R' U2 R D2 R2 x </t>
  </si>
  <si>
    <t xml:space="preserve">
</t>
  </si>
  <si>
    <t>B O</t>
  </si>
  <si>
    <t>UFL BRD</t>
  </si>
  <si>
    <t xml:space="preserve">U2 L D2 L' U2 L D2 L' </t>
  </si>
  <si>
    <t>B P</t>
  </si>
  <si>
    <t>UFL BDL</t>
  </si>
  <si>
    <t xml:space="preserve">D' R D R' U2 R D' R' U2 D </t>
  </si>
  <si>
    <t>B R</t>
  </si>
  <si>
    <t>UFL LBD</t>
  </si>
  <si>
    <t>B S</t>
  </si>
  <si>
    <t>UFL RUF</t>
  </si>
  <si>
    <t xml:space="preserve">U x R' U2 R' D2 R U2 R' D2 R2 x' U' </t>
  </si>
  <si>
    <t>B T</t>
  </si>
  <si>
    <t>UFL RFD</t>
  </si>
  <si>
    <t xml:space="preserve">U R' D' R U2 R' D R U </t>
  </si>
  <si>
    <t>B U</t>
  </si>
  <si>
    <t>UFL RBD</t>
  </si>
  <si>
    <t>B Z</t>
  </si>
  <si>
    <t>UFL LDF</t>
  </si>
  <si>
    <t xml:space="preserve">U R' D R U2 R' D' R U </t>
  </si>
  <si>
    <t>C A</t>
  </si>
  <si>
    <t>UFR ULB</t>
  </si>
  <si>
    <t xml:space="preserve">x R' U R' D2 R U' R' D2 R2 x' </t>
  </si>
  <si>
    <t>C B</t>
  </si>
  <si>
    <t>UFR UFL</t>
  </si>
  <si>
    <t xml:space="preserve">x' R2 D2 R' U' R D2 R' U R' x </t>
  </si>
  <si>
    <t>C D</t>
  </si>
  <si>
    <t>UFR LBU</t>
  </si>
  <si>
    <t xml:space="preserve">R2 D R' U R D' R' U' R' </t>
  </si>
  <si>
    <t>C E</t>
  </si>
  <si>
    <t>UFR DFR</t>
  </si>
  <si>
    <t xml:space="preserve">D' x' R U R' D2 R U' R' D2 x D </t>
  </si>
  <si>
    <t>C F</t>
  </si>
  <si>
    <t>UFR DLF</t>
  </si>
  <si>
    <t xml:space="preserve">x' R U R' D2 R U' R' D2 x </t>
  </si>
  <si>
    <t>C G</t>
  </si>
  <si>
    <t>UFR DBL</t>
  </si>
  <si>
    <t xml:space="preserve">x D2 R' U' R D2 R' U R x' </t>
  </si>
  <si>
    <t>C H</t>
  </si>
  <si>
    <t>UFR DRB</t>
  </si>
  <si>
    <t>C J</t>
  </si>
  <si>
    <t>UFR FUL</t>
  </si>
  <si>
    <t xml:space="preserve">R2 D R' U2 R D' R' U2 R' </t>
  </si>
  <si>
    <t>C K</t>
  </si>
  <si>
    <t>UFR FLD</t>
  </si>
  <si>
    <t xml:space="preserve">R D2 R' U' R D2 R' U </t>
  </si>
  <si>
    <t>C L</t>
  </si>
  <si>
    <t>UFR FRD</t>
  </si>
  <si>
    <t xml:space="preserve">D R D R' U' R D' R' U D' </t>
  </si>
  <si>
    <t xml:space="preserve">D' U R D' R' U' R D R' D </t>
  </si>
  <si>
    <t>C M</t>
  </si>
  <si>
    <t>UFR BUL</t>
  </si>
  <si>
    <t xml:space="preserve">R' U2 R' D' R U2 R' D R2 </t>
  </si>
  <si>
    <t>C O</t>
  </si>
  <si>
    <t>UFR BRD</t>
  </si>
  <si>
    <t xml:space="preserve">D' U R' D' R U' R' D R D </t>
  </si>
  <si>
    <t>C P</t>
  </si>
  <si>
    <t>UFR BDL</t>
  </si>
  <si>
    <t xml:space="preserve">U R' D2 R U' R' D2 R </t>
  </si>
  <si>
    <t>C R</t>
  </si>
  <si>
    <t>UFR LBD</t>
  </si>
  <si>
    <t xml:space="preserve">R D' R U' R' D R' U </t>
  </si>
  <si>
    <t>C T</t>
  </si>
  <si>
    <t>UFR RFD</t>
  </si>
  <si>
    <t xml:space="preserve">U R' D' R U' R' D R </t>
  </si>
  <si>
    <t>C U</t>
  </si>
  <si>
    <t>UFR RBD</t>
  </si>
  <si>
    <t xml:space="preserve">R D R' U' R D' R' U </t>
  </si>
  <si>
    <t>C W</t>
  </si>
  <si>
    <t>UFR LFU</t>
  </si>
  <si>
    <t xml:space="preserve">R' U' R' D' R U R' D R2 </t>
  </si>
  <si>
    <t>C Z</t>
  </si>
  <si>
    <t>UFR LDF</t>
  </si>
  <si>
    <t xml:space="preserve">U R' D R U' R' D' R </t>
  </si>
  <si>
    <t>D B</t>
  </si>
  <si>
    <t>LBU UFL</t>
  </si>
  <si>
    <t>also possible F' setup</t>
  </si>
  <si>
    <t>D C</t>
  </si>
  <si>
    <t>LBU UFR</t>
  </si>
  <si>
    <t xml:space="preserve">R U R D R' U' R D' R2 </t>
  </si>
  <si>
    <t>D E</t>
  </si>
  <si>
    <t>LBU DFR</t>
  </si>
  <si>
    <t xml:space="preserve">R2 U' L' U R2 U' L U </t>
  </si>
  <si>
    <t>D F</t>
  </si>
  <si>
    <t>LBU DLF</t>
  </si>
  <si>
    <t xml:space="preserve">F U R U' L' U R' U' L F' </t>
  </si>
  <si>
    <t>D G</t>
  </si>
  <si>
    <t>LBU DBL</t>
  </si>
  <si>
    <t xml:space="preserve">L' D L' U2 L D' L' U2 L2 </t>
  </si>
  <si>
    <t>D H</t>
  </si>
  <si>
    <t>LBU DRB</t>
  </si>
  <si>
    <t xml:space="preserve">D' R2 U' L' U R2 U' L U D </t>
  </si>
  <si>
    <t>D I</t>
  </si>
  <si>
    <t>LBU FRU</t>
  </si>
  <si>
    <t xml:space="preserve">R U' L' U R' U' L U </t>
  </si>
  <si>
    <t>D J</t>
  </si>
  <si>
    <t>LBU FUL</t>
  </si>
  <si>
    <t xml:space="preserve">l' U R D' R' U' R D x'
</t>
  </si>
  <si>
    <t>D K</t>
  </si>
  <si>
    <t>LBU FLD</t>
  </si>
  <si>
    <t xml:space="preserve">l' U2 R D' R' U2 R D x'
</t>
  </si>
  <si>
    <t>D L</t>
  </si>
  <si>
    <t>LBU FRD</t>
  </si>
  <si>
    <t xml:space="preserve">F' R U' L' U R' U' L U F </t>
  </si>
  <si>
    <t>D O</t>
  </si>
  <si>
    <t>LBU BRD</t>
  </si>
  <si>
    <t xml:space="preserve">R' U' L' U R U' L U </t>
  </si>
  <si>
    <t>D P</t>
  </si>
  <si>
    <t>LBU BDL</t>
  </si>
  <si>
    <t xml:space="preserve">D U R U' L2 U R' U' L2 D' </t>
  </si>
  <si>
    <t>D R</t>
  </si>
  <si>
    <t>LBU LBD</t>
  </si>
  <si>
    <t xml:space="preserve">U R U' L U R' U' L' </t>
  </si>
  <si>
    <t>D S</t>
  </si>
  <si>
    <t>LBU RUF</t>
  </si>
  <si>
    <t xml:space="preserve">x U2 L2 U' R2 U L2 U' R2 U' x' </t>
  </si>
  <si>
    <t>D T</t>
  </si>
  <si>
    <t>LBU RFD</t>
  </si>
  <si>
    <t xml:space="preserve">x D L U2 L' D' L U2 L' x' </t>
  </si>
  <si>
    <t>D U</t>
  </si>
  <si>
    <t>LBU RBD</t>
  </si>
  <si>
    <t xml:space="preserve">R2 U2 R' D' R U2 R' D R' </t>
  </si>
  <si>
    <t>D W</t>
  </si>
  <si>
    <t>LBU LFU</t>
  </si>
  <si>
    <t xml:space="preserve">U R U' L' U R' U' L </t>
  </si>
  <si>
    <t>D Z</t>
  </si>
  <si>
    <t>LBU LDF</t>
  </si>
  <si>
    <t xml:space="preserve">U R U' L2 U R' U' L2 </t>
  </si>
  <si>
    <t>E A</t>
  </si>
  <si>
    <t>DFR ULB</t>
  </si>
  <si>
    <t xml:space="preserve">R' D R U R D' R' U' R D R2 D' R </t>
  </si>
  <si>
    <t>E C</t>
  </si>
  <si>
    <t>DFR UFR</t>
  </si>
  <si>
    <t xml:space="preserve">D' x' D2 R U R' D2 R U' R' x D </t>
  </si>
  <si>
    <t>E D</t>
  </si>
  <si>
    <t>DFR LBU</t>
  </si>
  <si>
    <t xml:space="preserve">U' L' U R2 U' L U R2 </t>
  </si>
  <si>
    <t>E F</t>
  </si>
  <si>
    <t>DFR DLF</t>
  </si>
  <si>
    <t xml:space="preserve">U' L2 U R2 U' L2 U R2 </t>
  </si>
  <si>
    <t>E G</t>
  </si>
  <si>
    <t>DFR DBL</t>
  </si>
  <si>
    <t xml:space="preserve">R' U R2 U' R' D2 R U R' D2 R' U' R </t>
  </si>
  <si>
    <t>E H</t>
  </si>
  <si>
    <t>DFR DRB</t>
  </si>
  <si>
    <t xml:space="preserve">D R2 U' R2 U R2 D' R2 U' R2 U R2 </t>
  </si>
  <si>
    <t>E I</t>
  </si>
  <si>
    <t>DFR FRU</t>
  </si>
  <si>
    <t xml:space="preserve">D' R U' L2 U R' U' L2 U D </t>
  </si>
  <si>
    <t>E J</t>
  </si>
  <si>
    <t>DFR FUL</t>
  </si>
  <si>
    <t xml:space="preserve">z' U2 R' D R U2 R' D' R z </t>
  </si>
  <si>
    <t>E K</t>
  </si>
  <si>
    <t>DFR FLD</t>
  </si>
  <si>
    <t xml:space="preserve">U' R2 U R D2 R' U' R D2 R U </t>
  </si>
  <si>
    <t>E M</t>
  </si>
  <si>
    <t>DFR BUL</t>
  </si>
  <si>
    <t xml:space="preserve">D' R' U2 R' D R U2 R' D' R2 D </t>
  </si>
  <si>
    <t>E O</t>
  </si>
  <si>
    <t>DFR BRD</t>
  </si>
  <si>
    <t xml:space="preserve">z' x R2 D2 R U R' D2 R U' R x' z </t>
  </si>
  <si>
    <t>E P</t>
  </si>
  <si>
    <t>DFR BDL</t>
  </si>
  <si>
    <t xml:space="preserve">U' L U R2 U' L' U R2 </t>
  </si>
  <si>
    <t>E R</t>
  </si>
  <si>
    <t>DFR LBD</t>
  </si>
  <si>
    <t xml:space="preserve">U' R2 U R D R' U' R D' R U </t>
  </si>
  <si>
    <t>E S</t>
  </si>
  <si>
    <t>DFR RUF</t>
  </si>
  <si>
    <t>B2 D2 R U R' D2 R U' R' B2</t>
  </si>
  <si>
    <t>E U</t>
  </si>
  <si>
    <t>DFR RBD</t>
  </si>
  <si>
    <t>F2 R D R' U2 R D' R' U2 F2</t>
  </si>
  <si>
    <t>E W</t>
  </si>
  <si>
    <t>DFR LFU</t>
  </si>
  <si>
    <t>D' R' U' R' D R U R' D' R2 D</t>
  </si>
  <si>
    <t>E Z</t>
  </si>
  <si>
    <t>DFR LDF</t>
  </si>
  <si>
    <t>z' U2 R' D' R U2 R' D R z</t>
  </si>
  <si>
    <t>E B</t>
  </si>
  <si>
    <t>DFR UFL</t>
  </si>
  <si>
    <t>R' D R U2 R D' R' U2 R D' R2 D' R</t>
  </si>
  <si>
    <t>F A</t>
  </si>
  <si>
    <t>DLF ULB</t>
  </si>
  <si>
    <t xml:space="preserve">L2 R U R' U' L2 U R U' R' </t>
  </si>
  <si>
    <t>F C</t>
  </si>
  <si>
    <t>DLF UFR</t>
  </si>
  <si>
    <t xml:space="preserve">x' D2 R U R' D2 R U' R' x </t>
  </si>
  <si>
    <t>F D</t>
  </si>
  <si>
    <t>DLF LBU</t>
  </si>
  <si>
    <t xml:space="preserve">F L' U R U' L U R' U' F' </t>
  </si>
  <si>
    <t>F E</t>
  </si>
  <si>
    <t>DLF DFR</t>
  </si>
  <si>
    <t xml:space="preserve">R2 U' L2 U R2 U' L2 U </t>
  </si>
  <si>
    <t>F G</t>
  </si>
  <si>
    <t>DLF DBL</t>
  </si>
  <si>
    <t xml:space="preserve">x L' U' L D2 L' U L D2 x' </t>
  </si>
  <si>
    <t>F H</t>
  </si>
  <si>
    <t>DLF DRB</t>
  </si>
  <si>
    <t xml:space="preserve">D2 R2 U' R2 U R2 D2 R2 U' R2 U R2 </t>
  </si>
  <si>
    <t>F I</t>
  </si>
  <si>
    <t>DLF FRU</t>
  </si>
  <si>
    <t xml:space="preserve">R U' L2 U R' U' L2 U </t>
  </si>
  <si>
    <t>F J</t>
  </si>
  <si>
    <t>DLF FUL</t>
  </si>
  <si>
    <t xml:space="preserve">x L' U R' U' L U R U' x' </t>
  </si>
  <si>
    <t>F L</t>
  </si>
  <si>
    <t>DLF FRD</t>
  </si>
  <si>
    <t xml:space="preserve">L2 U' L' D2 L U L' D2 L' </t>
  </si>
  <si>
    <t>F M</t>
  </si>
  <si>
    <t>DLF BUL</t>
  </si>
  <si>
    <t xml:space="preserve">R' U2 R' D R U2 R' D' R2 </t>
  </si>
  <si>
    <t>F O</t>
  </si>
  <si>
    <t>DLF BRD</t>
  </si>
  <si>
    <t xml:space="preserve">R' U' L2 U R U' L2 U </t>
  </si>
  <si>
    <t>F P</t>
  </si>
  <si>
    <t>DLF BDL</t>
  </si>
  <si>
    <t xml:space="preserve">D' R' U R' D2 R U' R' D2 R2 D </t>
  </si>
  <si>
    <t>F R</t>
  </si>
  <si>
    <t>DLF LBD</t>
  </si>
  <si>
    <t xml:space="preserve">y' R2 U R D2 R' U' R D2 R y </t>
  </si>
  <si>
    <t>F S</t>
  </si>
  <si>
    <t>DLF RUF</t>
  </si>
  <si>
    <t xml:space="preserve">F' U' R' D' R U2 R' D R U' F </t>
  </si>
  <si>
    <t>F U</t>
  </si>
  <si>
    <t>DLF RBD</t>
  </si>
  <si>
    <t xml:space="preserve">R' U R' D R U' R' D' R2 </t>
  </si>
  <si>
    <t>F W</t>
  </si>
  <si>
    <t>DLF LFU</t>
  </si>
  <si>
    <t xml:space="preserve">R' U' R' D R U R' D' R2 </t>
  </si>
  <si>
    <t>F T</t>
  </si>
  <si>
    <t>DLF RFD</t>
  </si>
  <si>
    <t>x' D2 R U R' D R U' R' D x</t>
  </si>
  <si>
    <t>F B</t>
  </si>
  <si>
    <t>DLF UFL</t>
  </si>
  <si>
    <t>R U2 R' U' L2 U R U' L2 U' R'</t>
  </si>
  <si>
    <t>G A</t>
  </si>
  <si>
    <t>DBL ULB</t>
  </si>
  <si>
    <t xml:space="preserve">U x D2 R' U' R D2 R' U l U' </t>
  </si>
  <si>
    <t>G B</t>
  </si>
  <si>
    <t>DBL UFL</t>
  </si>
  <si>
    <t xml:space="preserve">D2 R' D R U2 R D' R' U2 R D R2 D' R D2 </t>
  </si>
  <si>
    <t>also setup L' D L is possible</t>
  </si>
  <si>
    <t>G C</t>
  </si>
  <si>
    <t>DBL UFR</t>
  </si>
  <si>
    <t xml:space="preserve">x R' U' R D2 R' U R D2 x' </t>
  </si>
  <si>
    <t>G D</t>
  </si>
  <si>
    <t>DBL LBU</t>
  </si>
  <si>
    <t xml:space="preserve">L2 U2 L D L' U2 L D' L </t>
  </si>
  <si>
    <t>G E</t>
  </si>
  <si>
    <t>DBL DFR</t>
  </si>
  <si>
    <t xml:space="preserve">R' U R D2 R U' R' D2 R U R2 U' R </t>
  </si>
  <si>
    <t>G F</t>
  </si>
  <si>
    <t>DBL DLF</t>
  </si>
  <si>
    <t xml:space="preserve">x D2 L' U' L D2 L' U L x' </t>
  </si>
  <si>
    <t>G H</t>
  </si>
  <si>
    <t>DBL DRB</t>
  </si>
  <si>
    <t xml:space="preserve">D' R2 U' R2 U R2 D R2 U' R2 U R2 </t>
  </si>
  <si>
    <t>G I</t>
  </si>
  <si>
    <t>DBL FRU</t>
  </si>
  <si>
    <t xml:space="preserve">x D2 L' U2 L D2 L' U2 L x' </t>
  </si>
  <si>
    <t>G J</t>
  </si>
  <si>
    <t>DBL FUL</t>
  </si>
  <si>
    <t>l' U R D2 R' U' R D2 x'</t>
  </si>
  <si>
    <t>G K</t>
  </si>
  <si>
    <t>DBL FLD</t>
  </si>
  <si>
    <t>l' U2 R D2 R' U2 R D2 x'</t>
  </si>
  <si>
    <t>G L</t>
  </si>
  <si>
    <t>DBL FRD</t>
  </si>
  <si>
    <t>x D2 L' U L D2 L' U' L x'</t>
  </si>
  <si>
    <t>G M</t>
  </si>
  <si>
    <t>DBL BUL</t>
  </si>
  <si>
    <t>R' U2 R' D2 R U2 R' D2 R2</t>
  </si>
  <si>
    <t>G O</t>
  </si>
  <si>
    <t>DBL BRD</t>
  </si>
  <si>
    <t>L2 U2 L D2 L' U2 L D2 L</t>
  </si>
  <si>
    <t>G S</t>
  </si>
  <si>
    <t>DBL RUF</t>
  </si>
  <si>
    <t>U R U2 R D' R' U2 R D R2 U'</t>
  </si>
  <si>
    <t>G T</t>
  </si>
  <si>
    <t>DBL RFD</t>
  </si>
  <si>
    <t>x U' R' U' R D2 R' U R D2 U x'</t>
  </si>
  <si>
    <t>G U</t>
  </si>
  <si>
    <t>DBL RBD</t>
  </si>
  <si>
    <t>R' U R' D2 R U' R' D2 R2</t>
  </si>
  <si>
    <t>G W</t>
  </si>
  <si>
    <t>DBL LFU</t>
  </si>
  <si>
    <t>R' U' R' D2 R U R' D2 R2</t>
  </si>
  <si>
    <t>G Z</t>
  </si>
  <si>
    <t>DBL LDF</t>
  </si>
  <si>
    <t>D L2 U' L D2 L' U L D2 L D'</t>
  </si>
  <si>
    <t>H A</t>
  </si>
  <si>
    <t>DRB ULB</t>
  </si>
  <si>
    <t xml:space="preserve">U' R2 D R2 D' R2 U R2 D R2 D' R2 </t>
  </si>
  <si>
    <t>H B</t>
  </si>
  <si>
    <t>DRB UFL</t>
  </si>
  <si>
    <t xml:space="preserve">U2 R2 D R2 D' R2 U2 R2 D R2 D' R2 </t>
  </si>
  <si>
    <t>H C</t>
  </si>
  <si>
    <t>DRB UFR</t>
  </si>
  <si>
    <t>H D</t>
  </si>
  <si>
    <t>DRB LBU</t>
  </si>
  <si>
    <t xml:space="preserve">D' U' L' U R2 U' L U R2 D </t>
  </si>
  <si>
    <t>H E</t>
  </si>
  <si>
    <t>DRB DFR</t>
  </si>
  <si>
    <t xml:space="preserve">R2 U' R2 U R2 D R2 U' R2 U R2 D' </t>
  </si>
  <si>
    <t>H F</t>
  </si>
  <si>
    <t>DRB DLF</t>
  </si>
  <si>
    <t xml:space="preserve">R2 U' R2 U R2 D2 R2 U' R2 U R2 D2 </t>
  </si>
  <si>
    <t>H G</t>
  </si>
  <si>
    <t>DRB DBL</t>
  </si>
  <si>
    <t xml:space="preserve">R2 U' R2 U R2 D' R2 U' R2 U R2 D </t>
  </si>
  <si>
    <t>H I</t>
  </si>
  <si>
    <t>DRB FRU</t>
  </si>
  <si>
    <t xml:space="preserve">U2 L U' R2 U L' U' R2 U' </t>
  </si>
  <si>
    <t>H J</t>
  </si>
  <si>
    <t>DRB FUL</t>
  </si>
  <si>
    <t>z' R' U2 R' D R U2 R' D' R2 z</t>
  </si>
  <si>
    <t>H K</t>
  </si>
  <si>
    <t>DRB FLD</t>
  </si>
  <si>
    <t>U2 L' U' R2 U L U' R2 U'</t>
  </si>
  <si>
    <t>H L</t>
  </si>
  <si>
    <t>DRB FRD</t>
  </si>
  <si>
    <t>D R' U R' D2 R U' R' D2 R2 D'</t>
  </si>
  <si>
    <t>H M</t>
  </si>
  <si>
    <t>DRB BUL</t>
  </si>
  <si>
    <t>D2 R' U2 R' D R U2 R' D' R2 D2</t>
  </si>
  <si>
    <t>H P</t>
  </si>
  <si>
    <t>DRB BDL</t>
  </si>
  <si>
    <t>U2 R2 U' R' D2 R U R' D2 R' U2</t>
  </si>
  <si>
    <t>H R</t>
  </si>
  <si>
    <t>DRB LBD</t>
  </si>
  <si>
    <t>x' U R U2 R D R' U2 R D' R2 U' x</t>
  </si>
  <si>
    <t>H S</t>
  </si>
  <si>
    <t>DRB RUF</t>
  </si>
  <si>
    <t>D2 F' U' R' D' R U2 R' D R U' F D2</t>
  </si>
  <si>
    <t>H T</t>
  </si>
  <si>
    <t>DRB RFD</t>
  </si>
  <si>
    <t>U F' R2 F U' F' U R2 U' F</t>
  </si>
  <si>
    <t>H W</t>
  </si>
  <si>
    <t>DRB LFU</t>
  </si>
  <si>
    <t>D2 R' U' R' D R U R' D' R2 D2</t>
  </si>
  <si>
    <t>H Z</t>
  </si>
  <si>
    <t>DRB LDF</t>
  </si>
  <si>
    <t>D2 R' U R' D R U' R' D' R2 D2</t>
  </si>
  <si>
    <t>I A</t>
  </si>
  <si>
    <t>FRU ULB</t>
  </si>
  <si>
    <t>l' U' L U l F' L' F</t>
  </si>
  <si>
    <t>I B</t>
  </si>
  <si>
    <t>FRU UFL</t>
  </si>
  <si>
    <t>R D R D' R' U2 R D R' U2 D' R'</t>
  </si>
  <si>
    <t>I D</t>
  </si>
  <si>
    <t>FRU LBU</t>
  </si>
  <si>
    <t>U' L' U R U' L U R'</t>
  </si>
  <si>
    <t>I E</t>
  </si>
  <si>
    <t>FRU DFR</t>
  </si>
  <si>
    <t xml:space="preserve">D' U' L2 U R U' L2 U R' D </t>
  </si>
  <si>
    <t>I F</t>
  </si>
  <si>
    <t>FRU DLF</t>
  </si>
  <si>
    <t xml:space="preserve">U' L2 U R U' L2 U R' </t>
  </si>
  <si>
    <t>I G</t>
  </si>
  <si>
    <t>FRU DBL</t>
  </si>
  <si>
    <t xml:space="preserve">x L' U2 L D2 L' U2 L D2 x' </t>
  </si>
  <si>
    <t>I H</t>
  </si>
  <si>
    <t>FRU DRB</t>
  </si>
  <si>
    <t xml:space="preserve">U R2 U L U' R2 U L' U2 </t>
  </si>
  <si>
    <t>I J</t>
  </si>
  <si>
    <t>FRU FUL</t>
  </si>
  <si>
    <t>R' U L U' R U L' U'</t>
  </si>
  <si>
    <t>I K</t>
  </si>
  <si>
    <t>FRU FLD</t>
  </si>
  <si>
    <t>x U2 L D2 L' U2 L D2 L' x'</t>
  </si>
  <si>
    <t>I L</t>
  </si>
  <si>
    <t>FRU FRD</t>
  </si>
  <si>
    <t>B' R U R' D' R U' R' D B</t>
  </si>
  <si>
    <t>I M</t>
  </si>
  <si>
    <t>FRU BUL</t>
  </si>
  <si>
    <t>R' D' U2 R' D R U2 R' D' R D R</t>
  </si>
  <si>
    <t>I O</t>
  </si>
  <si>
    <t>FRU BRD</t>
  </si>
  <si>
    <t>y' U R' U L2 U' R U L2 U2 y</t>
  </si>
  <si>
    <t>I P</t>
  </si>
  <si>
    <t>FRU BDL</t>
  </si>
  <si>
    <t>U' L U R U' L' U R'</t>
  </si>
  <si>
    <t>I R</t>
  </si>
  <si>
    <t>FRU LBD</t>
  </si>
  <si>
    <t>R' U L2 U' R U L2 U'</t>
  </si>
  <si>
    <t>I T</t>
  </si>
  <si>
    <t>FRU RFD</t>
  </si>
  <si>
    <t>U2 L' U R2 U' L U R2 U</t>
  </si>
  <si>
    <t>I U</t>
  </si>
  <si>
    <t>FRU RBD</t>
  </si>
  <si>
    <t>y' L U R U' L' U R' U' y</t>
  </si>
  <si>
    <t>I W</t>
  </si>
  <si>
    <t>FRU LFU</t>
  </si>
  <si>
    <t>x' U L' U' R U L U' l'</t>
  </si>
  <si>
    <t>I Z</t>
  </si>
  <si>
    <t>FRU LDF</t>
  </si>
  <si>
    <t>R' U L' U' R U L U'</t>
  </si>
  <si>
    <t>J A</t>
  </si>
  <si>
    <t>FUL ULB</t>
  </si>
  <si>
    <t>F R' F' r U R U' r'</t>
  </si>
  <si>
    <t>J C</t>
  </si>
  <si>
    <t>FUL UFR</t>
  </si>
  <si>
    <t xml:space="preserve">R U2 R D R' U2 R D' R2 </t>
  </si>
  <si>
    <t>J D</t>
  </si>
  <si>
    <t>FUL LBU</t>
  </si>
  <si>
    <t>x D' R' U R D R' U l</t>
  </si>
  <si>
    <t>J E</t>
  </si>
  <si>
    <t>FUL DFR</t>
  </si>
  <si>
    <t>z' R' D R U2 R' D' R U2 z</t>
  </si>
  <si>
    <t>J F</t>
  </si>
  <si>
    <t>FUL DLF</t>
  </si>
  <si>
    <t>x U R' U' L' U R U' L x'</t>
  </si>
  <si>
    <t xml:space="preserve">J G </t>
  </si>
  <si>
    <t xml:space="preserve">FUL DBL </t>
  </si>
  <si>
    <t>x D2 R' U R D2 R' U l</t>
  </si>
  <si>
    <t xml:space="preserve">J H </t>
  </si>
  <si>
    <t xml:space="preserve">FUL DRB </t>
  </si>
  <si>
    <t xml:space="preserve">z' R2 D R U2 R' D' R U2 R z </t>
  </si>
  <si>
    <t>J I</t>
  </si>
  <si>
    <t>FUL FRU</t>
  </si>
  <si>
    <t xml:space="preserve">U L U' R' U L' U' R </t>
  </si>
  <si>
    <t>J K</t>
  </si>
  <si>
    <t>FUL FLD</t>
  </si>
  <si>
    <t>R D R U' R' D2 R U R' D R'</t>
  </si>
  <si>
    <t>J L</t>
  </si>
  <si>
    <t>FUL FRD</t>
  </si>
  <si>
    <t>L' U' L' D2 L U L' D2 L2</t>
  </si>
  <si>
    <t>J M</t>
  </si>
  <si>
    <t>FUL BUL</t>
  </si>
  <si>
    <t>x' U2 R2 D R U2 R' D' R U2 R U2 x</t>
  </si>
  <si>
    <t>J O</t>
  </si>
  <si>
    <t>FUL BRD</t>
  </si>
  <si>
    <t>x' U' L2 U R U' L2 U l'</t>
  </si>
  <si>
    <t>J P</t>
  </si>
  <si>
    <t>FUL BDL</t>
  </si>
  <si>
    <t>x U R' U' L2 U R U' L2 x'</t>
  </si>
  <si>
    <t>J R</t>
  </si>
  <si>
    <t>FUL LBD</t>
  </si>
  <si>
    <t>l' U R' D R U R' D' R U2 l</t>
  </si>
  <si>
    <t>J S</t>
  </si>
  <si>
    <t>FUL RUF</t>
  </si>
  <si>
    <t>U' R2 D' R U2 R' D R U2 R U</t>
  </si>
  <si>
    <t>J T</t>
  </si>
  <si>
    <t>FUL RFD</t>
  </si>
  <si>
    <t>l' U R' D' R U R' D R U2 l</t>
  </si>
  <si>
    <t>J U</t>
  </si>
  <si>
    <t>FUL RBD</t>
  </si>
  <si>
    <t>x D R' U R D' R' U' l</t>
  </si>
  <si>
    <t>J Z</t>
  </si>
  <si>
    <t>FUL LDF</t>
  </si>
  <si>
    <t>D' x U R' U' L2 U R U' L2 x' D</t>
  </si>
  <si>
    <t>K A</t>
  </si>
  <si>
    <t>FLD ULB</t>
  </si>
  <si>
    <t xml:space="preserve">U R D2 R' U' R D2 R' </t>
  </si>
  <si>
    <t>K C</t>
  </si>
  <si>
    <t>FLD UFR</t>
  </si>
  <si>
    <t xml:space="preserve">U' R D2 R' U R D2 R' </t>
  </si>
  <si>
    <t>K D</t>
  </si>
  <si>
    <t>FLD LBU</t>
  </si>
  <si>
    <t>x D' R' U2 R D R' U2 l</t>
  </si>
  <si>
    <t>K E</t>
  </si>
  <si>
    <t>FLD DFR</t>
  </si>
  <si>
    <t>U' R' D2 R' U R D2 R' U' R2 U</t>
  </si>
  <si>
    <t>K G</t>
  </si>
  <si>
    <t>FLD DBL</t>
  </si>
  <si>
    <t>x D2 R' U2 R D2 R' U2 R x'</t>
  </si>
  <si>
    <t>K H</t>
  </si>
  <si>
    <t>FLD DRB</t>
  </si>
  <si>
    <t>U R2 U L' U' R2 U L U2</t>
  </si>
  <si>
    <t>K I</t>
  </si>
  <si>
    <t>FLD FRU</t>
  </si>
  <si>
    <t>r D2 L' U2 L D2 L' U2 x'</t>
  </si>
  <si>
    <t>K J</t>
  </si>
  <si>
    <t>FLD FUL</t>
  </si>
  <si>
    <t>R D' R U' R' D2 R U R' D' R'</t>
  </si>
  <si>
    <t>K L</t>
  </si>
  <si>
    <t>FLD FRD</t>
  </si>
  <si>
    <t>r D2 L' U L D2 L' U' x'</t>
  </si>
  <si>
    <t xml:space="preserve"> K M</t>
  </si>
  <si>
    <t xml:space="preserve"> FLD BUL</t>
  </si>
  <si>
    <t>U2 R2 D2 R' U2 R D2 R' U2 R' U2</t>
  </si>
  <si>
    <t>K O</t>
  </si>
  <si>
    <t>FLD BRD</t>
  </si>
  <si>
    <t>L' U2 L D2 L' U2 L D2</t>
  </si>
  <si>
    <t>K P</t>
  </si>
  <si>
    <t>FLD BDL</t>
  </si>
  <si>
    <t>D R' D' R U R' D2 R U' R' D' R D'</t>
  </si>
  <si>
    <t xml:space="preserve"> K R</t>
  </si>
  <si>
    <t xml:space="preserve"> FLD LBD</t>
  </si>
  <si>
    <t>L' U2 L D L' U2 L D'</t>
  </si>
  <si>
    <t>K S</t>
  </si>
  <si>
    <t>FLD RUF</t>
  </si>
  <si>
    <t>U R U' R' D R U2 R' D' R U' R' U'</t>
  </si>
  <si>
    <t>K U</t>
  </si>
  <si>
    <t>FLD RBD</t>
  </si>
  <si>
    <t>x D R' U2 R D' R' U2 l</t>
  </si>
  <si>
    <t>K W</t>
  </si>
  <si>
    <t>FLD LFU</t>
  </si>
  <si>
    <t>z' R'2 U R D2 R' U' R D2 R z</t>
  </si>
  <si>
    <t>K T</t>
  </si>
  <si>
    <t>FLD RFD</t>
  </si>
  <si>
    <t>L' U2 L D' L' U2 L D</t>
  </si>
  <si>
    <t>K B</t>
  </si>
  <si>
    <t>FLD UFL</t>
  </si>
  <si>
    <t>U2 R D2 R' U2 R D2 R'</t>
  </si>
  <si>
    <t>L A</t>
  </si>
  <si>
    <t>FRD ULB</t>
  </si>
  <si>
    <t>L' D2 L U L' D2 L U'</t>
  </si>
  <si>
    <t>L B</t>
  </si>
  <si>
    <t>FRD UFL</t>
  </si>
  <si>
    <t>D U2 R D R' U2 R D' R' D'</t>
  </si>
  <si>
    <t>L C</t>
  </si>
  <si>
    <t>FRD UFR</t>
  </si>
  <si>
    <t>DU' R D R' U R D' R' D'</t>
  </si>
  <si>
    <t>L D</t>
  </si>
  <si>
    <t>FRD LBU</t>
  </si>
  <si>
    <t>F' U' L' U R U' L U R' F</t>
  </si>
  <si>
    <t>L F</t>
  </si>
  <si>
    <t>FRD DLF</t>
  </si>
  <si>
    <t>L D2 L U' L' D2 L U L2</t>
  </si>
  <si>
    <t>L G</t>
  </si>
  <si>
    <t>FRD DBL</t>
  </si>
  <si>
    <t>x L' U L D2 L' U' L D2 x'</t>
  </si>
  <si>
    <t>L H</t>
  </si>
  <si>
    <t>FRD DRB</t>
  </si>
  <si>
    <t>D R2 D2 R U R' D2 R U' R D'</t>
  </si>
  <si>
    <t>L I</t>
  </si>
  <si>
    <t>FRD FRU</t>
  </si>
  <si>
    <t>B' D' R U R' D R U' R' B</t>
  </si>
  <si>
    <t>L J</t>
  </si>
  <si>
    <t>FRD FUL</t>
  </si>
  <si>
    <t>L2 D2 L U' L' D2 L U L</t>
  </si>
  <si>
    <t>L K</t>
  </si>
  <si>
    <t>FRD FLD</t>
  </si>
  <si>
    <t>x U L D2 L' U' L D2 r'</t>
  </si>
  <si>
    <t>L M</t>
  </si>
  <si>
    <t>FRD BUL</t>
  </si>
  <si>
    <t>R' U R D R' U2 R D' R' U R</t>
  </si>
  <si>
    <t>L O</t>
  </si>
  <si>
    <t>FRD BRD</t>
  </si>
  <si>
    <t>D' R' D R U R' D2 R U' R' D R D</t>
  </si>
  <si>
    <t>L P</t>
  </si>
  <si>
    <t>FRD BDL</t>
  </si>
  <si>
    <t>D R' U' R D2 R' U R D</t>
  </si>
  <si>
    <t>L R</t>
  </si>
  <si>
    <t>FRD LBD</t>
  </si>
  <si>
    <t>F L' U2 L D L' U2 L D' F'</t>
  </si>
  <si>
    <t>L S</t>
  </si>
  <si>
    <t>FRD RUF</t>
  </si>
  <si>
    <t>D'U' R2 D R U2 R' D' R U2 R UD</t>
  </si>
  <si>
    <t>L U</t>
  </si>
  <si>
    <t>FRD RBD</t>
  </si>
  <si>
    <t>D R' U' R D' R' U R</t>
  </si>
  <si>
    <t>L W</t>
  </si>
  <si>
    <t>FRD LFU</t>
  </si>
  <si>
    <t>F U' R D2 R' U R D2 R' F'</t>
  </si>
  <si>
    <t>L Z</t>
  </si>
  <si>
    <t>FRD LDF</t>
  </si>
  <si>
    <t>D R' U' R D R' U R D2</t>
  </si>
  <si>
    <t>M B</t>
  </si>
  <si>
    <t>BUL UFL</t>
  </si>
  <si>
    <t>lR D2 R' U2 R D2 R' U2 l'</t>
  </si>
  <si>
    <t>M C</t>
  </si>
  <si>
    <t>BUL UFR</t>
  </si>
  <si>
    <t>R2 D' R U2 R' D R U2 R</t>
  </si>
  <si>
    <t>M E</t>
  </si>
  <si>
    <t>BUL DFR</t>
  </si>
  <si>
    <t>D' R2 D R U2 R' D' R U2 R D</t>
  </si>
  <si>
    <t>M F</t>
  </si>
  <si>
    <t>BUL DLF</t>
  </si>
  <si>
    <t>R2 D R U2 R' D' R U2 R</t>
  </si>
  <si>
    <t>M G</t>
  </si>
  <si>
    <t>BUL DBL</t>
  </si>
  <si>
    <t>R2 D2 R U2 R' D2 R U2 R</t>
  </si>
  <si>
    <t>M H</t>
  </si>
  <si>
    <t>BUL DRB</t>
  </si>
  <si>
    <t>D2 R2 D R U2 R' D' R U2 R D2</t>
  </si>
  <si>
    <t>M I</t>
  </si>
  <si>
    <t>BUL FRU</t>
  </si>
  <si>
    <t>R' D' R' D R U2 R' D' R U2D R</t>
  </si>
  <si>
    <t>M J</t>
  </si>
  <si>
    <t>BUL FUL</t>
  </si>
  <si>
    <t>x' U2 R' U2 R' D R U2 R' D' R2 U2 x</t>
  </si>
  <si>
    <t>M K</t>
  </si>
  <si>
    <t>BUL FLD</t>
  </si>
  <si>
    <t>U2 R U2 R D2 R' U2 R D2 R2</t>
  </si>
  <si>
    <t>M L</t>
  </si>
  <si>
    <t>BUL FRD</t>
  </si>
  <si>
    <t>R' U' R D R' U2 R D' R' U' R</t>
  </si>
  <si>
    <t>M O</t>
  </si>
  <si>
    <t>BUL BRD</t>
  </si>
  <si>
    <t>L U2 L D2 L' U2 L D2 L2</t>
  </si>
  <si>
    <t>M P</t>
  </si>
  <si>
    <t>BUL BDL</t>
  </si>
  <si>
    <t>R' U' R D' R' U2 R D R U' R</t>
  </si>
  <si>
    <t>M R</t>
  </si>
  <si>
    <t>BUL LBD</t>
  </si>
  <si>
    <t>U2 R2 D' R' U2 R D R' U2 R' U2</t>
  </si>
  <si>
    <t>M S</t>
  </si>
  <si>
    <t>BUL RUF</t>
  </si>
  <si>
    <t>R U R2 D R2 D' R2 U' R2 D R2 D' R</t>
  </si>
  <si>
    <t>also possible l' U setup to 9 mover in RUD</t>
  </si>
  <si>
    <t>M T</t>
  </si>
  <si>
    <t>BUL RFD</t>
  </si>
  <si>
    <t>L U2 L D' L' U2 L D L2</t>
  </si>
  <si>
    <t>M U</t>
  </si>
  <si>
    <t>BUL RBD</t>
  </si>
  <si>
    <t>lR D R' U2 R D' R' U2 l'</t>
  </si>
  <si>
    <t>M W</t>
  </si>
  <si>
    <t>BUL LFU</t>
  </si>
  <si>
    <t>L U2 L D L' U2 L D' L2</t>
  </si>
  <si>
    <t>sometimes i do U2 and the same alg but in RUD</t>
  </si>
  <si>
    <t>M Z</t>
  </si>
  <si>
    <t>BUL LDF</t>
  </si>
  <si>
    <t>R' U' R D2 R' U2 R D2 R' U' R</t>
  </si>
  <si>
    <t>O A</t>
  </si>
  <si>
    <t>BRD ULB</t>
  </si>
  <si>
    <t xml:space="preserve">y U R' D' R U' R' D R y' </t>
  </si>
  <si>
    <t>O B</t>
  </si>
  <si>
    <t>BRD UFL</t>
  </si>
  <si>
    <t xml:space="preserve">L D2 L' U2 L D2 L' U2 </t>
  </si>
  <si>
    <t>O C</t>
  </si>
  <si>
    <t>BRD UFR</t>
  </si>
  <si>
    <t xml:space="preserve">D' R' D' R U R' D R U' D </t>
  </si>
  <si>
    <t>O D</t>
  </si>
  <si>
    <t>BRD LBU</t>
  </si>
  <si>
    <t xml:space="preserve">U' L' U R' U' L U R </t>
  </si>
  <si>
    <t>O E</t>
  </si>
  <si>
    <t>BRD DFR</t>
  </si>
  <si>
    <t xml:space="preserve">z' x R' U R' D2 R U' R' D2 R2 x' z </t>
  </si>
  <si>
    <t>O F</t>
  </si>
  <si>
    <t>BRD DLF</t>
  </si>
  <si>
    <t xml:space="preserve">U' L2 U R' U' L2 U R </t>
  </si>
  <si>
    <t>O G</t>
  </si>
  <si>
    <t>BRD DBL</t>
  </si>
  <si>
    <t xml:space="preserve">L' D2 L' U2 L D2 L' U2 L2 </t>
  </si>
  <si>
    <t>O I</t>
  </si>
  <si>
    <t>BRD FRU</t>
  </si>
  <si>
    <t xml:space="preserve">y' U2 L2 U' R' U L2 U' R U' y </t>
  </si>
  <si>
    <t>O J</t>
  </si>
  <si>
    <t>BRD FUL</t>
  </si>
  <si>
    <t xml:space="preserve">l U' L2 U R' U' L2 U x </t>
  </si>
  <si>
    <t>O K</t>
  </si>
  <si>
    <t>BRD FLD</t>
  </si>
  <si>
    <t xml:space="preserve">D2 L' U2 L D2 L' U2 L </t>
  </si>
  <si>
    <t>O L</t>
  </si>
  <si>
    <t>BRD FRD</t>
  </si>
  <si>
    <t xml:space="preserve">D' R' D' R U R' D2 R U' R' D' R D </t>
  </si>
  <si>
    <t>O M</t>
  </si>
  <si>
    <t>BRD BUL</t>
  </si>
  <si>
    <t xml:space="preserve">L2 D2 L' U2 L D2 L' U2 L' </t>
  </si>
  <si>
    <t>O P</t>
  </si>
  <si>
    <t>BRD BDL</t>
  </si>
  <si>
    <t xml:space="preserve">U' L U R' U' L' U R </t>
  </si>
  <si>
    <t>O S</t>
  </si>
  <si>
    <t>BRD RUF</t>
  </si>
  <si>
    <t>U R U' R' D' R U2 R' D R U' R' U'</t>
  </si>
  <si>
    <t>O T</t>
  </si>
  <si>
    <t>BRD RFD</t>
  </si>
  <si>
    <t>y R U R' D R U' R' D' y'</t>
  </si>
  <si>
    <t>O R</t>
  </si>
  <si>
    <t>BRD LBD</t>
  </si>
  <si>
    <t>y R U R' D' R U' R' D y'</t>
  </si>
  <si>
    <t>O W</t>
  </si>
  <si>
    <t>BRD LFU</t>
  </si>
  <si>
    <t>R D L2 D' R' D L2 D'</t>
  </si>
  <si>
    <t>O Z</t>
  </si>
  <si>
    <t>BRD LDF</t>
  </si>
  <si>
    <t>U' R' U2 R' D R U' R' D' R U' R U</t>
  </si>
  <si>
    <t>P A</t>
  </si>
  <si>
    <t>BDL ULB</t>
  </si>
  <si>
    <t>UD' R D R' U' R D' R' D</t>
  </si>
  <si>
    <t>P B</t>
  </si>
  <si>
    <t>BDL UFL</t>
  </si>
  <si>
    <t xml:space="preserve">D' U2 R D R' U2 R D' R' D </t>
  </si>
  <si>
    <t>P C</t>
  </si>
  <si>
    <t>BDL UFR</t>
  </si>
  <si>
    <t xml:space="preserve">R' D2 R U R' D2 R U' </t>
  </si>
  <si>
    <t>P D</t>
  </si>
  <si>
    <t>BDL LBU</t>
  </si>
  <si>
    <t xml:space="preserve">D L2 U R U' L2 U R' U' D' </t>
  </si>
  <si>
    <t>P E</t>
  </si>
  <si>
    <t>BDL DFR</t>
  </si>
  <si>
    <t xml:space="preserve">R2 U' L U R2 U' L' U </t>
  </si>
  <si>
    <t>P F</t>
  </si>
  <si>
    <t>BDL DLF</t>
  </si>
  <si>
    <t xml:space="preserve">D' R2 D2 R U R' D2 R U' R D </t>
  </si>
  <si>
    <t>P H</t>
  </si>
  <si>
    <t>BDL DRB</t>
  </si>
  <si>
    <t xml:space="preserve">U2 R D2 R U' R' D2 R U R2 U2 </t>
  </si>
  <si>
    <t>P I</t>
  </si>
  <si>
    <t>BDL FRU</t>
  </si>
  <si>
    <t xml:space="preserve">R U' L U R' U' L' U </t>
  </si>
  <si>
    <t>P J</t>
  </si>
  <si>
    <t>BDL FUL</t>
  </si>
  <si>
    <t xml:space="preserve">x L2 U R' U' L2 U R U' x' </t>
  </si>
  <si>
    <t>P K</t>
  </si>
  <si>
    <t>BDL FLD</t>
  </si>
  <si>
    <t xml:space="preserve">D R' D R U R' D2 R U' R' D R D' </t>
  </si>
  <si>
    <t>P L</t>
  </si>
  <si>
    <t>BDL FRD</t>
  </si>
  <si>
    <t xml:space="preserve">D' R' U' R D2 R' U R D' </t>
  </si>
  <si>
    <t>P M</t>
  </si>
  <si>
    <t>BDL BUL</t>
  </si>
  <si>
    <t xml:space="preserve">R' U R' D' R' U2 R D R' U R </t>
  </si>
  <si>
    <t>P O</t>
  </si>
  <si>
    <t>BDL BRD</t>
  </si>
  <si>
    <t>R' U' L U R U' L' U</t>
  </si>
  <si>
    <t>P S</t>
  </si>
  <si>
    <t>BDL RUF</t>
  </si>
  <si>
    <t>U' R2 D2 R U2 R' D2 R U2 R U</t>
  </si>
  <si>
    <t>P T</t>
  </si>
  <si>
    <t>BDL RFD</t>
  </si>
  <si>
    <t>l U R' D' R U R' D R U2 l'</t>
  </si>
  <si>
    <t>P U</t>
  </si>
  <si>
    <t>BDL RBD</t>
  </si>
  <si>
    <t>D' R' U' R D R' U R</t>
  </si>
  <si>
    <t>P W</t>
  </si>
  <si>
    <t>BDL LFU</t>
  </si>
  <si>
    <t>l U R' D R U R' D' R U2 l'</t>
  </si>
  <si>
    <t>P Z</t>
  </si>
  <si>
    <t>BDL LDF</t>
  </si>
  <si>
    <t>D' R' U' R D' R' U R D2</t>
  </si>
  <si>
    <t>R A</t>
  </si>
  <si>
    <t>LBD ULB</t>
  </si>
  <si>
    <t xml:space="preserve">U R D' R' U' R D R' </t>
  </si>
  <si>
    <t>R B</t>
  </si>
  <si>
    <t>LBD UFL</t>
  </si>
  <si>
    <t xml:space="preserve">U2 R D R' U2 R D' R' </t>
  </si>
  <si>
    <t>R C</t>
  </si>
  <si>
    <t>LBD UFR</t>
  </si>
  <si>
    <t xml:space="preserve">U' R D' R U R' D R' </t>
  </si>
  <si>
    <t>R D</t>
  </si>
  <si>
    <t>LBD LBU</t>
  </si>
  <si>
    <t xml:space="preserve">L U R U' L' U R' U' </t>
  </si>
  <si>
    <t>R E</t>
  </si>
  <si>
    <t>LBD DFR</t>
  </si>
  <si>
    <t xml:space="preserve">U' R' D R' U R D' R' U' R2 U </t>
  </si>
  <si>
    <t>R F</t>
  </si>
  <si>
    <t>LBD DLF</t>
  </si>
  <si>
    <t xml:space="preserve">y' R' D2 R' U R D2 R' U' R2 y </t>
  </si>
  <si>
    <t>R H</t>
  </si>
  <si>
    <t>LBD DRB</t>
  </si>
  <si>
    <t xml:space="preserve">x' U R2 D R' U2 R D' R' U2 R' U' x </t>
  </si>
  <si>
    <t>R I</t>
  </si>
  <si>
    <t>LBD FRU</t>
  </si>
  <si>
    <t xml:space="preserve">U L2 U' R' U L2 U' R </t>
  </si>
  <si>
    <t>R J</t>
  </si>
  <si>
    <t>LBD FUL</t>
  </si>
  <si>
    <t xml:space="preserve">l' U2 R' D R U' R' D' R U' l </t>
  </si>
  <si>
    <t>R K</t>
  </si>
  <si>
    <t>LBD FLD</t>
  </si>
  <si>
    <t xml:space="preserve">D L' U2 L D' L' U2 L </t>
  </si>
  <si>
    <t>R L</t>
  </si>
  <si>
    <t>LBD FRD</t>
  </si>
  <si>
    <t xml:space="preserve">F D L' U2 L D' L' U2 L F' </t>
  </si>
  <si>
    <t>R M</t>
  </si>
  <si>
    <t>LBD BUL</t>
  </si>
  <si>
    <t xml:space="preserve">U2 R U2 R D' R' U2 R D R2 U2 </t>
  </si>
  <si>
    <t>R O</t>
  </si>
  <si>
    <t>LBD BRD</t>
  </si>
  <si>
    <t xml:space="preserve">y D' R U R' D R U' R' y' </t>
  </si>
  <si>
    <t>R S</t>
  </si>
  <si>
    <t>LBD RUF</t>
  </si>
  <si>
    <t xml:space="preserve">x U2 L' U' R2 U L U' R2 U' x' </t>
  </si>
  <si>
    <t>R T</t>
  </si>
  <si>
    <t>LBD RFD</t>
  </si>
  <si>
    <t>r D L U2 L' D' L U2 L'r'</t>
  </si>
  <si>
    <t>R U</t>
  </si>
  <si>
    <t>LBD RBD</t>
  </si>
  <si>
    <t>l' D2 R' U' R D2 R' U Rl</t>
  </si>
  <si>
    <t>R W</t>
  </si>
  <si>
    <t>LBD LFU</t>
  </si>
  <si>
    <t>D' R D L2 D' R' D L2</t>
  </si>
  <si>
    <t>R Z</t>
  </si>
  <si>
    <t>LBD LDF</t>
  </si>
  <si>
    <t>D' R D L D' R' D L'</t>
  </si>
  <si>
    <t>S A</t>
  </si>
  <si>
    <t>RUF ULB</t>
  </si>
  <si>
    <t xml:space="preserve">U R2 D R' U2 R D' R' U2 R' U' </t>
  </si>
  <si>
    <t>S B</t>
  </si>
  <si>
    <t>RUF UFL</t>
  </si>
  <si>
    <t xml:space="preserve">U x R2 D2 R U2 R' D2 R U2 R x' U' </t>
  </si>
  <si>
    <t>S D</t>
  </si>
  <si>
    <t>RUF LBU</t>
  </si>
  <si>
    <t>R' U2 R U' R' F R U R' U' R' F' R U' R</t>
  </si>
  <si>
    <t>zbll, center safe</t>
  </si>
  <si>
    <t>S E</t>
  </si>
  <si>
    <t>RUF DFR</t>
  </si>
  <si>
    <t xml:space="preserve">B2 R U R' D2 R U' R' D2 B2 </t>
  </si>
  <si>
    <t>S F</t>
  </si>
  <si>
    <t>RUF DLF</t>
  </si>
  <si>
    <t xml:space="preserve">F' U R' D' R U2 R' D R U F </t>
  </si>
  <si>
    <t>S G</t>
  </si>
  <si>
    <t>RUF DBL</t>
  </si>
  <si>
    <t xml:space="preserve">U R2 D' R' U2 R D R' U2 R' U' </t>
  </si>
  <si>
    <t>S H</t>
  </si>
  <si>
    <t>RUF DRB</t>
  </si>
  <si>
    <t xml:space="preserve">D2 F' U R' D' R U2 R' D R U F D2 </t>
  </si>
  <si>
    <t>S J</t>
  </si>
  <si>
    <t>RUF FUL</t>
  </si>
  <si>
    <t xml:space="preserve">U' R' U2 R' D' R U2 R' D R2 U </t>
  </si>
  <si>
    <t>S K</t>
  </si>
  <si>
    <t>RUF FLD</t>
  </si>
  <si>
    <t xml:space="preserve">U R U R' D R U2 R' D' R U R' U' </t>
  </si>
  <si>
    <t>S L</t>
  </si>
  <si>
    <t>RUF FRD</t>
  </si>
  <si>
    <t xml:space="preserve">D' U' R' U2 R' D R U2 R' D' R2 U D </t>
  </si>
  <si>
    <t>S M</t>
  </si>
  <si>
    <t>RUF BUL</t>
  </si>
  <si>
    <t xml:space="preserve">R' D R2 D' R2 U R2 D R2 D' R2 U' R' </t>
  </si>
  <si>
    <t>S O</t>
  </si>
  <si>
    <t>RUF BRD</t>
  </si>
  <si>
    <t xml:space="preserve">U R U R' D' R U2 R' D R U R' U' </t>
  </si>
  <si>
    <t>S P</t>
  </si>
  <si>
    <t>RUF BDL</t>
  </si>
  <si>
    <t xml:space="preserve">U' R' U2 R' D2 R U2 R' D2 R2 U </t>
  </si>
  <si>
    <t>S R</t>
  </si>
  <si>
    <t>RUF LBD</t>
  </si>
  <si>
    <t xml:space="preserve">x U R2 U L' U' R2 U L U2 x' </t>
  </si>
  <si>
    <t>S T</t>
  </si>
  <si>
    <t>RUF RFD</t>
  </si>
  <si>
    <t>x U R2 U L U' R2 U L' U2 x'</t>
  </si>
  <si>
    <t>S U</t>
  </si>
  <si>
    <t>RUF RBD</t>
  </si>
  <si>
    <t>y' R' U2 R' D2 R U2 R' D2 R2 y</t>
  </si>
  <si>
    <t>S W</t>
  </si>
  <si>
    <t>RUF LFU</t>
  </si>
  <si>
    <t>l U' R' U2 R' D R U2 R' D' R2 U l'</t>
  </si>
  <si>
    <t>S Z</t>
  </si>
  <si>
    <t>RUF LDF</t>
  </si>
  <si>
    <t>U' R' U2 R' D R U2 R' D' R2 U</t>
  </si>
  <si>
    <t>T A</t>
  </si>
  <si>
    <t>RFD ULB</t>
  </si>
  <si>
    <t xml:space="preserve">U2 R' D' R U' R' D R U' </t>
  </si>
  <si>
    <t>T B</t>
  </si>
  <si>
    <t>RFD UFL</t>
  </si>
  <si>
    <t xml:space="preserve">U' R' D' R U2 R' D R U' </t>
  </si>
  <si>
    <t>T C</t>
  </si>
  <si>
    <t>RFD UFR</t>
  </si>
  <si>
    <t xml:space="preserve">R' D' R U R' D R U' </t>
  </si>
  <si>
    <t>T D</t>
  </si>
  <si>
    <t>RFD LBU</t>
  </si>
  <si>
    <t xml:space="preserve">x L U2 L' D L U2 L' D' x' </t>
  </si>
  <si>
    <t>T F</t>
  </si>
  <si>
    <t>RFD DLF</t>
  </si>
  <si>
    <t xml:space="preserve">x' D' R U R' D' R U' R' D2 x </t>
  </si>
  <si>
    <t>T G</t>
  </si>
  <si>
    <t>RFD DBL</t>
  </si>
  <si>
    <t xml:space="preserve">x U' D2 R' U' R D2 R' U R U x' </t>
  </si>
  <si>
    <t>T I</t>
  </si>
  <si>
    <t>RFD FRU</t>
  </si>
  <si>
    <t xml:space="preserve">U' R2 U' L' U R2 U' L U2 </t>
  </si>
  <si>
    <t>T J</t>
  </si>
  <si>
    <t>RFD FUL</t>
  </si>
  <si>
    <t xml:space="preserve">l' U2 R' D' R U' R' D R U' l </t>
  </si>
  <si>
    <t>T K</t>
  </si>
  <si>
    <t>RFD FLD</t>
  </si>
  <si>
    <t xml:space="preserve">D' L' U2 L D L' U2 L </t>
  </si>
  <si>
    <t>T M</t>
  </si>
  <si>
    <t>RFD BUL</t>
  </si>
  <si>
    <t xml:space="preserve">L2 D' L' U2 L D L' U2 L' </t>
  </si>
  <si>
    <t>T O</t>
  </si>
  <si>
    <t>RFD BRD</t>
  </si>
  <si>
    <t xml:space="preserve">y D R U R' D' R U' R' y' </t>
  </si>
  <si>
    <t>T P</t>
  </si>
  <si>
    <t>RFD BDL</t>
  </si>
  <si>
    <t xml:space="preserve">l U2 R' D' R U' R' D R U' l' </t>
  </si>
  <si>
    <t>T R</t>
  </si>
  <si>
    <t>RFD LBD</t>
  </si>
  <si>
    <t xml:space="preserve">r L U2 L' D L U2 L' D' r' </t>
  </si>
  <si>
    <t>T S</t>
  </si>
  <si>
    <t>RFD RUF</t>
  </si>
  <si>
    <t xml:space="preserve">x U2 L U' R2 U L' U' R2 U' x' </t>
  </si>
  <si>
    <t>T U</t>
  </si>
  <si>
    <t>RFD RBD</t>
  </si>
  <si>
    <t>y' L U R' U' L' U R U' y</t>
  </si>
  <si>
    <t>T W</t>
  </si>
  <si>
    <t>RFD LFU</t>
  </si>
  <si>
    <t>x' D2 L' U L D2 L' U' r</t>
  </si>
  <si>
    <t>T Z</t>
  </si>
  <si>
    <t>RFD LDF</t>
  </si>
  <si>
    <t>R' D' R U R' D2 R U' R' D' R</t>
  </si>
  <si>
    <t>U A</t>
  </si>
  <si>
    <t>RBD ULB</t>
  </si>
  <si>
    <t xml:space="preserve">U R D R' U' R D' R' </t>
  </si>
  <si>
    <t>U B</t>
  </si>
  <si>
    <t>RBD UFL</t>
  </si>
  <si>
    <t>U C</t>
  </si>
  <si>
    <t>RBD UFR</t>
  </si>
  <si>
    <t xml:space="preserve">U' R D R' U R D' R' </t>
  </si>
  <si>
    <t>U D</t>
  </si>
  <si>
    <t>RBD LBU</t>
  </si>
  <si>
    <t xml:space="preserve">R D' R U2 R' D R U2 R2 </t>
  </si>
  <si>
    <t>U E</t>
  </si>
  <si>
    <t>RBD DFR</t>
  </si>
  <si>
    <t xml:space="preserve">F2 U2 R D R' U2 R D' R' F2 </t>
  </si>
  <si>
    <t>U F</t>
  </si>
  <si>
    <t>RBD DLF</t>
  </si>
  <si>
    <t xml:space="preserve">R2 D R U R' D' R U' R </t>
  </si>
  <si>
    <t>U G</t>
  </si>
  <si>
    <t>RBD DBL</t>
  </si>
  <si>
    <t xml:space="preserve">R2 D2 R U R' D2 R U' R </t>
  </si>
  <si>
    <t>U I</t>
  </si>
  <si>
    <t>RBD FRU</t>
  </si>
  <si>
    <t xml:space="preserve">y' U R U' L U R' U' L' y </t>
  </si>
  <si>
    <t>U J</t>
  </si>
  <si>
    <t>RBD FUL</t>
  </si>
  <si>
    <t xml:space="preserve">l' U R D R' U' R D' x' </t>
  </si>
  <si>
    <t>U K</t>
  </si>
  <si>
    <t>RBD FLD</t>
  </si>
  <si>
    <t xml:space="preserve">l' U2 R D R' U2 R D' x' </t>
  </si>
  <si>
    <t>U L</t>
  </si>
  <si>
    <t>RBD FRD</t>
  </si>
  <si>
    <t xml:space="preserve">R' U' R D R' U R D' </t>
  </si>
  <si>
    <t>U M</t>
  </si>
  <si>
    <t>RBD BUL</t>
  </si>
  <si>
    <t xml:space="preserve">l U2 R D R' U2 R D' R' l' </t>
  </si>
  <si>
    <t>U P</t>
  </si>
  <si>
    <t>RBD BDL</t>
  </si>
  <si>
    <t xml:space="preserve">R' U' R D' R' U R D </t>
  </si>
  <si>
    <t>U R</t>
  </si>
  <si>
    <t>RBD LBD</t>
  </si>
  <si>
    <t xml:space="preserve">l' R' U' R D2 R' U R D2 l </t>
  </si>
  <si>
    <t>U S</t>
  </si>
  <si>
    <t>RBD RUF</t>
  </si>
  <si>
    <t xml:space="preserve">y' R2 D2 R U2 R' D2 R U2 R y </t>
  </si>
  <si>
    <t>U T</t>
  </si>
  <si>
    <t>RBD RFD</t>
  </si>
  <si>
    <t xml:space="preserve">y' U R' U' L U R U' L' y </t>
  </si>
  <si>
    <t>U W</t>
  </si>
  <si>
    <t>RBD LFU</t>
  </si>
  <si>
    <t>x' U' R D2 R' U R D2 l'</t>
  </si>
  <si>
    <t>U Z</t>
  </si>
  <si>
    <t>RBD LDF</t>
  </si>
  <si>
    <t xml:space="preserve">R' U' R D2 R' U R D2 </t>
  </si>
  <si>
    <t>W A</t>
  </si>
  <si>
    <t>LFU ULB</t>
  </si>
  <si>
    <t xml:space="preserve">U R' U2 R' D' R U2 R' D R2 U' </t>
  </si>
  <si>
    <t>W C</t>
  </si>
  <si>
    <t>LFU UFR</t>
  </si>
  <si>
    <t xml:space="preserve">R2 D' R U' R' D R U R </t>
  </si>
  <si>
    <t>W D</t>
  </si>
  <si>
    <t>LFU LBU</t>
  </si>
  <si>
    <t xml:space="preserve">L' U R U' L U R' U' </t>
  </si>
  <si>
    <t>W E</t>
  </si>
  <si>
    <t>LFU DFR</t>
  </si>
  <si>
    <t xml:space="preserve">D' R2 D R U' R' D' R U R D </t>
  </si>
  <si>
    <t>W F</t>
  </si>
  <si>
    <t>LFU DLF</t>
  </si>
  <si>
    <t xml:space="preserve">R2 D R U' R' D' R U R </t>
  </si>
  <si>
    <t>W G</t>
  </si>
  <si>
    <t>LFU DBL</t>
  </si>
  <si>
    <t xml:space="preserve">R2 D2 R U' R' D2 R U R </t>
  </si>
  <si>
    <t>W H</t>
  </si>
  <si>
    <t>LFU DRB</t>
  </si>
  <si>
    <t xml:space="preserve">D2 R2 D R U' R' D' R U R D2 </t>
  </si>
  <si>
    <t>W I</t>
  </si>
  <si>
    <t>LFU FRU</t>
  </si>
  <si>
    <t xml:space="preserve">l U L' U' R' U L U' x </t>
  </si>
  <si>
    <t>W K</t>
  </si>
  <si>
    <t>LFU FLD</t>
  </si>
  <si>
    <t xml:space="preserve">z' R' D2 R' U R D2 R' U' R2 z </t>
  </si>
  <si>
    <t>W L</t>
  </si>
  <si>
    <t>LFU FRD</t>
  </si>
  <si>
    <t xml:space="preserve">F R D2 R' U' R D2 R' U F' </t>
  </si>
  <si>
    <t>W M</t>
  </si>
  <si>
    <t>LFU BUL</t>
  </si>
  <si>
    <t xml:space="preserve">L2 D L' U2 L D' L' U2 L' </t>
  </si>
  <si>
    <t>W O</t>
  </si>
  <si>
    <t>LFU BRD</t>
  </si>
  <si>
    <t xml:space="preserve">D L2 D' R D L2 D' R' </t>
  </si>
  <si>
    <t>W P</t>
  </si>
  <si>
    <t>LFU BDL</t>
  </si>
  <si>
    <t xml:space="preserve">l U2 R' D R U' R' D' R U' l' </t>
  </si>
  <si>
    <t>W R</t>
  </si>
  <si>
    <t>LFU LBD</t>
  </si>
  <si>
    <t xml:space="preserve">L2 D' R D L2 D' R' D </t>
  </si>
  <si>
    <t>W S</t>
  </si>
  <si>
    <t>LFU RUF</t>
  </si>
  <si>
    <t xml:space="preserve">l U' R2 D R U2 R' D' R U2 R U l' </t>
  </si>
  <si>
    <t>W T</t>
  </si>
  <si>
    <t>LFU RFD</t>
  </si>
  <si>
    <t xml:space="preserve">r' U L D2 L' U' L D2 x </t>
  </si>
  <si>
    <t>W U</t>
  </si>
  <si>
    <t>LFU RBD</t>
  </si>
  <si>
    <t xml:space="preserve">l D2 R' U' R D2 R' U x </t>
  </si>
  <si>
    <t>W Z</t>
  </si>
  <si>
    <t>LFU LDF</t>
  </si>
  <si>
    <t>L' U R U' L' U R' U' L2</t>
  </si>
  <si>
    <t>Z A</t>
  </si>
  <si>
    <t>LDF ULB</t>
  </si>
  <si>
    <t xml:space="preserve">U2 R' D R U' R' D' R U' </t>
  </si>
  <si>
    <t>Z B</t>
  </si>
  <si>
    <t>LDF UFL</t>
  </si>
  <si>
    <t xml:space="preserve">U' R' D R U2 R' D' R U' </t>
  </si>
  <si>
    <t>Z C</t>
  </si>
  <si>
    <t>LDF UFR</t>
  </si>
  <si>
    <t xml:space="preserve">R' D R U R' D' R U' </t>
  </si>
  <si>
    <t>Z D</t>
  </si>
  <si>
    <t>LDF LBU</t>
  </si>
  <si>
    <t>L2 U R U' L2 U R' U'</t>
  </si>
  <si>
    <t>Z E</t>
  </si>
  <si>
    <t>LDF DFR</t>
  </si>
  <si>
    <t xml:space="preserve">z' R' D' R U2 R' D R U2 z </t>
  </si>
  <si>
    <t>Z G</t>
  </si>
  <si>
    <t>LDF DBL</t>
  </si>
  <si>
    <t xml:space="preserve">D L' D2 L' U' L D2 L' U L2 D' </t>
  </si>
  <si>
    <t>Z H</t>
  </si>
  <si>
    <t>LDF DRB</t>
  </si>
  <si>
    <t xml:space="preserve">D2 R2 D R U R' D' R U' R D2 </t>
  </si>
  <si>
    <t>Z I</t>
  </si>
  <si>
    <t>LDF FRU</t>
  </si>
  <si>
    <t xml:space="preserve">U L' U' R' U L U' R </t>
  </si>
  <si>
    <t>Z J</t>
  </si>
  <si>
    <t>LDF FUL</t>
  </si>
  <si>
    <t xml:space="preserve">D' x L2 U R' U' L2 U R U' x' D </t>
  </si>
  <si>
    <t>Z L</t>
  </si>
  <si>
    <t>LDF FRD</t>
  </si>
  <si>
    <t xml:space="preserve">D2 R' U' R D' R' U R D' </t>
  </si>
  <si>
    <t>Z M</t>
  </si>
  <si>
    <t>LDF BUL</t>
  </si>
  <si>
    <t xml:space="preserve">R' U R D2 R' U2 R D2 R' U R </t>
  </si>
  <si>
    <t>Z O</t>
  </si>
  <si>
    <t>LDF BRD</t>
  </si>
  <si>
    <t xml:space="preserve">U' R' U R' D R U R' D' R U2 R U </t>
  </si>
  <si>
    <t>Z P</t>
  </si>
  <si>
    <t>LDF BDL</t>
  </si>
  <si>
    <t xml:space="preserve">D2 R' U' R D R' U R D </t>
  </si>
  <si>
    <t>Z R</t>
  </si>
  <si>
    <t>LDF LBD</t>
  </si>
  <si>
    <t xml:space="preserve">L D' R D L' D' R' D </t>
  </si>
  <si>
    <t>Z S</t>
  </si>
  <si>
    <t>LDF RUF</t>
  </si>
  <si>
    <t xml:space="preserve">U' R2 D R U2 R' D' R U2 R U </t>
  </si>
  <si>
    <t>Z T</t>
  </si>
  <si>
    <t>LDF RFD</t>
  </si>
  <si>
    <t xml:space="preserve">R' D R U R' D2 R U' R' D R </t>
  </si>
  <si>
    <t>Z U</t>
  </si>
  <si>
    <t>LDF RBD</t>
  </si>
  <si>
    <t xml:space="preserve">D2 R' U' R D2 R' U R </t>
  </si>
  <si>
    <t>Z W</t>
  </si>
  <si>
    <t>LDF LFU</t>
  </si>
  <si>
    <t xml:space="preserve">L2 U R U' L U R' U' L </t>
  </si>
  <si>
    <t>U R U' R' D R U2 R' D' R U R' U'</t>
  </si>
  <si>
    <t>z' R2 U R' D2 R U' R' D2 R' z</t>
  </si>
  <si>
    <t>x' U' R D2 R' U' R D2 l'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</si>
</sst>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0.0"/>
      <name val="Courier New"/>
    </font>
    <font>
      <sz val="10.0"/>
      <color rgb="FF000000"/>
      <name val="Courier New"/>
    </font>
    <font/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wrapText="1"/>
    </xf>
    <xf borderId="1" fillId="2" fontId="1" numFmtId="0" xfId="0" applyAlignment="1" applyBorder="1" applyFill="1" applyFont="1">
      <alignment wrapText="1"/>
    </xf>
    <xf borderId="1" fillId="0" fontId="1" numFmtId="0" xfId="0" applyAlignment="1" applyBorder="1" applyFont="1">
      <alignment wrapText="1"/>
    </xf>
    <xf borderId="1" fillId="0" fontId="1" numFmtId="0" xfId="0" applyAlignment="1" applyBorder="1" applyFont="1">
      <alignment wrapText="1"/>
    </xf>
    <xf borderId="1" fillId="0" fontId="1" numFmtId="0" xfId="0" applyAlignment="1" applyBorder="1" applyFont="1">
      <alignment wrapText="1"/>
    </xf>
    <xf borderId="2" fillId="2" fontId="2" numFmtId="0" xfId="0" applyAlignment="1" applyBorder="1" applyFont="1">
      <alignment wrapText="1"/>
    </xf>
    <xf borderId="2" fillId="0" fontId="3" numFmtId="0" xfId="0" applyAlignment="1" applyBorder="1" applyFont="1">
      <alignment wrapText="1"/>
    </xf>
    <xf borderId="3" fillId="0" fontId="3" numFmtId="0" xfId="0" applyAlignment="1" applyBorder="1" applyFont="1">
      <alignment wrapText="1"/>
    </xf>
    <xf borderId="2" fillId="2" fontId="1" numFmtId="0" xfId="0" applyAlignment="1" applyBorder="1" applyFont="1">
      <alignment wrapText="1"/>
    </xf>
    <xf borderId="1" fillId="0" fontId="1" numFmtId="0" xfId="0" applyAlignment="1" applyBorder="1" applyFont="1">
      <alignment wrapText="1"/>
    </xf>
    <xf borderId="1" fillId="0" fontId="3" numFmtId="0" xfId="0" applyAlignment="1" applyBorder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2.75"/>
  <cols>
    <col customWidth="1" min="1" max="2" width="17.29"/>
    <col customWidth="1" min="3" max="3" width="50.71"/>
    <col customWidth="1" min="4" max="4" width="8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8</v>
      </c>
      <c r="C2" s="2" t="s">
        <v>9</v>
      </c>
      <c r="D2" s="2" t="s">
        <v>5</v>
      </c>
    </row>
    <row r="3">
      <c r="A3" s="2" t="s">
        <v>6</v>
      </c>
      <c r="B3" s="2" t="s">
        <v>10</v>
      </c>
      <c r="C3" s="2" t="s">
        <v>11</v>
      </c>
      <c r="D3" s="4"/>
    </row>
    <row r="4">
      <c r="A4" s="2" t="s">
        <v>7</v>
      </c>
      <c r="B4" s="2" t="s">
        <v>12</v>
      </c>
      <c r="C4" s="2" t="s">
        <v>13</v>
      </c>
      <c r="D4" s="4"/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20</v>
      </c>
      <c r="D6" s="4"/>
    </row>
    <row r="7">
      <c r="A7" s="2" t="s">
        <v>21</v>
      </c>
      <c r="B7" s="2" t="s">
        <v>22</v>
      </c>
      <c r="C7" s="2" t="s">
        <v>23</v>
      </c>
      <c r="D7" s="4"/>
    </row>
    <row r="8">
      <c r="A8" s="2" t="s">
        <v>24</v>
      </c>
      <c r="B8" s="2" t="s">
        <v>25</v>
      </c>
      <c r="C8" s="2" t="s">
        <v>26</v>
      </c>
      <c r="D8" s="4"/>
    </row>
    <row r="9">
      <c r="A9" s="2" t="s">
        <v>27</v>
      </c>
      <c r="B9" s="2" t="s">
        <v>28</v>
      </c>
      <c r="C9" s="2" t="s">
        <v>29</v>
      </c>
      <c r="D9" s="4"/>
    </row>
    <row r="10">
      <c r="A10" s="2" t="s">
        <v>30</v>
      </c>
      <c r="B10" s="2" t="s">
        <v>31</v>
      </c>
      <c r="C10" s="2" t="s">
        <v>32</v>
      </c>
      <c r="D10" s="4"/>
    </row>
    <row r="11">
      <c r="A11" s="2" t="s">
        <v>33</v>
      </c>
      <c r="B11" s="2" t="s">
        <v>34</v>
      </c>
      <c r="C11" s="2" t="s">
        <v>35</v>
      </c>
      <c r="D11" s="4"/>
    </row>
    <row r="12">
      <c r="A12" s="2" t="s">
        <v>36</v>
      </c>
      <c r="B12" s="2" t="s">
        <v>37</v>
      </c>
      <c r="C12" s="2" t="s">
        <v>38</v>
      </c>
      <c r="D12" s="2" t="s">
        <v>39</v>
      </c>
    </row>
    <row r="13">
      <c r="A13" s="2" t="s">
        <v>40</v>
      </c>
      <c r="B13" s="2" t="s">
        <v>41</v>
      </c>
      <c r="C13" s="2" t="s">
        <v>42</v>
      </c>
      <c r="D13" s="4"/>
    </row>
    <row r="14">
      <c r="A14" s="2" t="s">
        <v>43</v>
      </c>
      <c r="B14" s="2" t="s">
        <v>44</v>
      </c>
      <c r="C14" s="2" t="s">
        <v>45</v>
      </c>
      <c r="D14" s="4"/>
    </row>
    <row r="15">
      <c r="A15" s="2" t="s">
        <v>46</v>
      </c>
      <c r="B15" s="2" t="s">
        <v>47</v>
      </c>
      <c r="C15" s="2" t="s">
        <v>48</v>
      </c>
      <c r="D15" s="4"/>
    </row>
    <row r="16">
      <c r="A16" s="2" t="s">
        <v>49</v>
      </c>
      <c r="B16" s="2" t="s">
        <v>50</v>
      </c>
      <c r="C16" s="2" t="s">
        <v>51</v>
      </c>
      <c r="D16" s="4"/>
    </row>
    <row r="17">
      <c r="A17" s="2" t="s">
        <v>52</v>
      </c>
      <c r="B17" s="2" t="s">
        <v>53</v>
      </c>
      <c r="C17" s="2" t="s">
        <v>54</v>
      </c>
      <c r="D17" s="4"/>
    </row>
    <row r="18">
      <c r="A18" s="2" t="s">
        <v>55</v>
      </c>
      <c r="B18" s="2" t="s">
        <v>56</v>
      </c>
      <c r="C18" s="2" t="s">
        <v>57</v>
      </c>
      <c r="D18" s="4"/>
    </row>
    <row r="19">
      <c r="A19" s="2" t="s">
        <v>58</v>
      </c>
      <c r="B19" s="2" t="s">
        <v>59</v>
      </c>
      <c r="C19" s="2" t="s">
        <v>60</v>
      </c>
      <c r="D19" s="4"/>
    </row>
    <row r="20">
      <c r="A20" s="5"/>
      <c r="B20" s="6"/>
      <c r="C20" s="6"/>
      <c r="D20" s="7"/>
    </row>
    <row r="21">
      <c r="A21" s="2" t="s">
        <v>61</v>
      </c>
      <c r="B21" s="2" t="s">
        <v>62</v>
      </c>
      <c r="C21" s="2" t="s">
        <v>63</v>
      </c>
      <c r="D21" s="4"/>
    </row>
    <row r="22">
      <c r="A22" s="2" t="s">
        <v>64</v>
      </c>
      <c r="B22" s="2" t="s">
        <v>65</v>
      </c>
      <c r="C22" s="2" t="s">
        <v>66</v>
      </c>
      <c r="D22" s="4"/>
    </row>
    <row r="23">
      <c r="A23" s="2" t="s">
        <v>67</v>
      </c>
      <c r="B23" s="2" t="s">
        <v>68</v>
      </c>
      <c r="C23" s="2" t="s">
        <v>69</v>
      </c>
      <c r="D23" s="4"/>
    </row>
    <row r="24">
      <c r="A24" s="2" t="s">
        <v>70</v>
      </c>
      <c r="B24" s="2" t="s">
        <v>71</v>
      </c>
      <c r="C24" s="2" t="s">
        <v>72</v>
      </c>
      <c r="D24" s="4"/>
    </row>
    <row r="25">
      <c r="A25" s="2" t="s">
        <v>73</v>
      </c>
      <c r="B25" s="2" t="s">
        <v>74</v>
      </c>
      <c r="C25" s="2" t="s">
        <v>75</v>
      </c>
      <c r="D25" s="4"/>
    </row>
    <row r="26">
      <c r="A26" s="2" t="s">
        <v>76</v>
      </c>
      <c r="B26" s="2" t="s">
        <v>77</v>
      </c>
      <c r="C26" s="2" t="s">
        <v>78</v>
      </c>
      <c r="D26" s="4"/>
    </row>
    <row r="27">
      <c r="A27" s="2" t="s">
        <v>79</v>
      </c>
      <c r="B27" s="2" t="s">
        <v>80</v>
      </c>
      <c r="C27" s="2" t="s">
        <v>81</v>
      </c>
      <c r="D27" s="4"/>
    </row>
    <row r="28">
      <c r="A28" s="2" t="s">
        <v>82</v>
      </c>
      <c r="B28" s="2" t="s">
        <v>83</v>
      </c>
      <c r="C28" s="2" t="s">
        <v>84</v>
      </c>
      <c r="D28" s="4"/>
    </row>
    <row r="29">
      <c r="A29" s="2" t="s">
        <v>85</v>
      </c>
      <c r="B29" s="2" t="s">
        <v>86</v>
      </c>
      <c r="C29" s="2" t="s">
        <v>87</v>
      </c>
      <c r="D29" s="4"/>
    </row>
    <row r="30">
      <c r="A30" s="2" t="s">
        <v>88</v>
      </c>
      <c r="B30" s="2" t="s">
        <v>89</v>
      </c>
      <c r="C30" s="2" t="s">
        <v>90</v>
      </c>
      <c r="D30" s="4"/>
    </row>
    <row r="31">
      <c r="A31" s="2" t="s">
        <v>91</v>
      </c>
      <c r="B31" s="2" t="s">
        <v>92</v>
      </c>
      <c r="C31" s="2" t="s">
        <v>93</v>
      </c>
      <c r="D31" s="2" t="s">
        <v>94</v>
      </c>
    </row>
    <row r="32">
      <c r="A32" s="2" t="s">
        <v>95</v>
      </c>
      <c r="B32" s="2" t="s">
        <v>96</v>
      </c>
      <c r="C32" s="2" t="s">
        <v>97</v>
      </c>
      <c r="D32" s="4"/>
    </row>
    <row r="33">
      <c r="A33" s="2" t="s">
        <v>98</v>
      </c>
      <c r="B33" s="2" t="s">
        <v>99</v>
      </c>
      <c r="C33" s="2" t="s">
        <v>100</v>
      </c>
      <c r="D33" s="4"/>
    </row>
    <row r="34">
      <c r="A34" s="2" t="s">
        <v>101</v>
      </c>
      <c r="B34" s="2" t="s">
        <v>102</v>
      </c>
      <c r="C34" s="2" t="s">
        <v>90</v>
      </c>
      <c r="D34" s="4"/>
    </row>
    <row r="35">
      <c r="A35" s="2" t="s">
        <v>103</v>
      </c>
      <c r="B35" s="2" t="s">
        <v>104</v>
      </c>
      <c r="C35" s="2" t="s">
        <v>105</v>
      </c>
      <c r="D35" s="4"/>
    </row>
    <row r="36">
      <c r="A36" s="2" t="s">
        <v>106</v>
      </c>
      <c r="B36" s="2" t="s">
        <v>107</v>
      </c>
      <c r="C36" s="2" t="s">
        <v>108</v>
      </c>
      <c r="D36" s="4"/>
    </row>
    <row r="37">
      <c r="A37" s="2" t="s">
        <v>109</v>
      </c>
      <c r="B37" s="2" t="s">
        <v>110</v>
      </c>
      <c r="C37" s="2" t="s">
        <v>90</v>
      </c>
      <c r="D37" s="4"/>
    </row>
    <row r="38">
      <c r="A38" s="2" t="s">
        <v>111</v>
      </c>
      <c r="B38" s="2" t="s">
        <v>112</v>
      </c>
      <c r="C38" s="2" t="s">
        <v>113</v>
      </c>
      <c r="D38" s="4"/>
    </row>
    <row r="39">
      <c r="A39" s="8"/>
      <c r="B39" s="6"/>
      <c r="C39" s="6"/>
      <c r="D39" s="7"/>
    </row>
    <row r="40">
      <c r="A40" s="2" t="s">
        <v>114</v>
      </c>
      <c r="B40" s="2" t="s">
        <v>115</v>
      </c>
      <c r="C40" s="2" t="s">
        <v>116</v>
      </c>
      <c r="D40" s="4"/>
    </row>
    <row r="41">
      <c r="A41" s="2" t="s">
        <v>117</v>
      </c>
      <c r="B41" s="2" t="s">
        <v>118</v>
      </c>
      <c r="C41" s="2" t="s">
        <v>119</v>
      </c>
      <c r="D41" s="4"/>
    </row>
    <row r="42">
      <c r="A42" s="2" t="s">
        <v>120</v>
      </c>
      <c r="B42" s="2" t="s">
        <v>121</v>
      </c>
      <c r="C42" s="2" t="s">
        <v>122</v>
      </c>
      <c r="D42" s="4"/>
    </row>
    <row r="43">
      <c r="A43" s="2" t="s">
        <v>123</v>
      </c>
      <c r="B43" s="2" t="s">
        <v>124</v>
      </c>
      <c r="C43" s="2" t="s">
        <v>125</v>
      </c>
      <c r="D43" s="4"/>
    </row>
    <row r="44">
      <c r="A44" s="2" t="s">
        <v>126</v>
      </c>
      <c r="B44" s="2" t="s">
        <v>127</v>
      </c>
      <c r="C44" s="2" t="s">
        <v>128</v>
      </c>
      <c r="D44" s="4"/>
    </row>
    <row r="45">
      <c r="A45" s="2" t="s">
        <v>129</v>
      </c>
      <c r="B45" s="2" t="s">
        <v>130</v>
      </c>
      <c r="C45" s="2" t="s">
        <v>131</v>
      </c>
      <c r="D45" s="4"/>
    </row>
    <row r="46">
      <c r="A46" s="2" t="s">
        <v>132</v>
      </c>
      <c r="B46" s="2" t="s">
        <v>133</v>
      </c>
      <c r="C46" s="2" t="s">
        <v>23</v>
      </c>
      <c r="D46" s="4"/>
    </row>
    <row r="47">
      <c r="A47" s="2" t="s">
        <v>134</v>
      </c>
      <c r="B47" s="2" t="s">
        <v>135</v>
      </c>
      <c r="C47" s="2" t="s">
        <v>136</v>
      </c>
      <c r="D47" s="4"/>
    </row>
    <row r="48">
      <c r="A48" s="2" t="s">
        <v>137</v>
      </c>
      <c r="B48" s="2" t="s">
        <v>138</v>
      </c>
      <c r="C48" s="2" t="s">
        <v>139</v>
      </c>
      <c r="D48" s="4"/>
    </row>
    <row r="49">
      <c r="A49" s="2" t="s">
        <v>140</v>
      </c>
      <c r="B49" s="2" t="s">
        <v>141</v>
      </c>
      <c r="C49" s="2" t="s">
        <v>142</v>
      </c>
      <c r="D49" s="2" t="s">
        <v>143</v>
      </c>
    </row>
    <row r="50">
      <c r="A50" s="2" t="s">
        <v>144</v>
      </c>
      <c r="B50" s="2" t="s">
        <v>145</v>
      </c>
      <c r="C50" s="2" t="s">
        <v>146</v>
      </c>
      <c r="D50" s="4"/>
    </row>
    <row r="51">
      <c r="A51" s="2" t="s">
        <v>147</v>
      </c>
      <c r="B51" s="2" t="s">
        <v>148</v>
      </c>
      <c r="C51" s="2" t="s">
        <v>149</v>
      </c>
      <c r="D51" s="4"/>
    </row>
    <row r="52">
      <c r="A52" s="2" t="s">
        <v>150</v>
      </c>
      <c r="B52" s="2" t="s">
        <v>151</v>
      </c>
      <c r="C52" s="2" t="s">
        <v>152</v>
      </c>
      <c r="D52" s="4"/>
    </row>
    <row r="53">
      <c r="A53" s="2" t="s">
        <v>153</v>
      </c>
      <c r="B53" s="2" t="s">
        <v>154</v>
      </c>
      <c r="C53" s="2" t="s">
        <v>155</v>
      </c>
      <c r="D53" s="4"/>
    </row>
    <row r="54">
      <c r="A54" s="2" t="s">
        <v>156</v>
      </c>
      <c r="B54" s="2" t="s">
        <v>157</v>
      </c>
      <c r="C54" s="2" t="s">
        <v>158</v>
      </c>
      <c r="D54" s="4"/>
    </row>
    <row r="55">
      <c r="A55" s="2" t="s">
        <v>159</v>
      </c>
      <c r="B55" s="2" t="s">
        <v>160</v>
      </c>
      <c r="C55" s="2" t="s">
        <v>161</v>
      </c>
      <c r="D55" s="4"/>
    </row>
    <row r="56">
      <c r="A56" s="2" t="s">
        <v>162</v>
      </c>
      <c r="B56" s="2" t="s">
        <v>163</v>
      </c>
      <c r="C56" s="2" t="s">
        <v>164</v>
      </c>
      <c r="D56" s="4"/>
    </row>
    <row r="57">
      <c r="A57" s="2" t="s">
        <v>165</v>
      </c>
      <c r="B57" s="2" t="s">
        <v>166</v>
      </c>
      <c r="C57" s="2" t="s">
        <v>167</v>
      </c>
      <c r="D57" s="4"/>
    </row>
    <row r="58">
      <c r="A58" s="8"/>
      <c r="B58" s="6"/>
      <c r="C58" s="6"/>
      <c r="D58" s="7"/>
    </row>
    <row r="59">
      <c r="A59" s="2" t="s">
        <v>168</v>
      </c>
      <c r="B59" s="2" t="s">
        <v>169</v>
      </c>
      <c r="C59" s="2" t="s">
        <v>69</v>
      </c>
      <c r="D59" s="2" t="s">
        <v>170</v>
      </c>
    </row>
    <row r="60">
      <c r="A60" s="2" t="s">
        <v>171</v>
      </c>
      <c r="B60" s="2" t="s">
        <v>172</v>
      </c>
      <c r="C60" s="2" t="s">
        <v>173</v>
      </c>
      <c r="D60" s="4"/>
    </row>
    <row r="61">
      <c r="A61" s="2" t="s">
        <v>174</v>
      </c>
      <c r="B61" s="2" t="s">
        <v>175</v>
      </c>
      <c r="C61" s="2" t="s">
        <v>176</v>
      </c>
      <c r="D61" s="4"/>
    </row>
    <row r="62">
      <c r="A62" s="2" t="s">
        <v>177</v>
      </c>
      <c r="B62" s="2" t="s">
        <v>178</v>
      </c>
      <c r="C62" s="2" t="s">
        <v>179</v>
      </c>
      <c r="D62" s="4"/>
    </row>
    <row r="63">
      <c r="A63" s="2" t="s">
        <v>180</v>
      </c>
      <c r="B63" s="2" t="s">
        <v>181</v>
      </c>
      <c r="C63" s="2" t="s">
        <v>182</v>
      </c>
      <c r="D63" s="4"/>
    </row>
    <row r="64">
      <c r="A64" s="2" t="s">
        <v>183</v>
      </c>
      <c r="B64" s="2" t="s">
        <v>184</v>
      </c>
      <c r="C64" s="2" t="s">
        <v>185</v>
      </c>
      <c r="D64" s="4"/>
    </row>
    <row r="65">
      <c r="A65" s="2" t="s">
        <v>186</v>
      </c>
      <c r="B65" s="2" t="s">
        <v>187</v>
      </c>
      <c r="C65" s="2" t="s">
        <v>188</v>
      </c>
      <c r="D65" s="4"/>
    </row>
    <row r="66">
      <c r="A66" s="2" t="s">
        <v>189</v>
      </c>
      <c r="B66" s="2" t="s">
        <v>190</v>
      </c>
      <c r="C66" s="2" t="s">
        <v>191</v>
      </c>
      <c r="D66" s="4"/>
    </row>
    <row r="67">
      <c r="A67" s="2" t="s">
        <v>192</v>
      </c>
      <c r="B67" s="2" t="s">
        <v>193</v>
      </c>
      <c r="C67" s="2" t="s">
        <v>194</v>
      </c>
      <c r="D67" s="4"/>
    </row>
    <row r="68">
      <c r="A68" s="2" t="s">
        <v>195</v>
      </c>
      <c r="B68" s="2" t="s">
        <v>196</v>
      </c>
      <c r="C68" s="2" t="s">
        <v>197</v>
      </c>
      <c r="D68" s="4"/>
    </row>
    <row r="69">
      <c r="A69" s="2" t="s">
        <v>198</v>
      </c>
      <c r="B69" s="2" t="s">
        <v>199</v>
      </c>
      <c r="C69" s="2" t="s">
        <v>200</v>
      </c>
      <c r="D69" s="4"/>
    </row>
    <row r="70">
      <c r="A70" s="2" t="s">
        <v>201</v>
      </c>
      <c r="B70" s="2" t="s">
        <v>202</v>
      </c>
      <c r="C70" s="2" t="s">
        <v>203</v>
      </c>
      <c r="D70" s="4"/>
    </row>
    <row r="71">
      <c r="A71" s="2" t="s">
        <v>204</v>
      </c>
      <c r="B71" s="2" t="s">
        <v>205</v>
      </c>
      <c r="C71" s="2" t="s">
        <v>206</v>
      </c>
      <c r="D71" s="4"/>
    </row>
    <row r="72">
      <c r="A72" s="2" t="s">
        <v>207</v>
      </c>
      <c r="B72" s="2" t="s">
        <v>208</v>
      </c>
      <c r="C72" s="2" t="s">
        <v>209</v>
      </c>
      <c r="D72" s="4"/>
    </row>
    <row r="73">
      <c r="A73" s="2" t="s">
        <v>210</v>
      </c>
      <c r="B73" s="2" t="s">
        <v>211</v>
      </c>
      <c r="C73" s="2" t="s">
        <v>212</v>
      </c>
      <c r="D73" s="4"/>
    </row>
    <row r="74">
      <c r="A74" s="2" t="s">
        <v>213</v>
      </c>
      <c r="B74" s="2" t="s">
        <v>214</v>
      </c>
      <c r="C74" s="2" t="s">
        <v>215</v>
      </c>
      <c r="D74" s="4"/>
    </row>
    <row r="75">
      <c r="A75" s="2" t="s">
        <v>216</v>
      </c>
      <c r="B75" s="2" t="s">
        <v>217</v>
      </c>
      <c r="C75" s="2" t="s">
        <v>218</v>
      </c>
      <c r="D75" s="4"/>
    </row>
    <row r="76">
      <c r="A76" s="2" t="s">
        <v>219</v>
      </c>
      <c r="B76" s="2" t="s">
        <v>220</v>
      </c>
      <c r="C76" s="2" t="s">
        <v>221</v>
      </c>
      <c r="D76" s="4"/>
    </row>
    <row r="77">
      <c r="A77" s="8"/>
      <c r="B77" s="6"/>
      <c r="C77" s="6"/>
      <c r="D77" s="7"/>
    </row>
    <row r="78">
      <c r="A78" s="2" t="s">
        <v>222</v>
      </c>
      <c r="B78" s="2" t="s">
        <v>223</v>
      </c>
      <c r="C78" s="2" t="s">
        <v>224</v>
      </c>
      <c r="D78" s="4"/>
    </row>
    <row r="79">
      <c r="A79" s="2" t="s">
        <v>225</v>
      </c>
      <c r="B79" s="2" t="s">
        <v>226</v>
      </c>
      <c r="C79" s="2" t="s">
        <v>227</v>
      </c>
      <c r="D79" s="4"/>
    </row>
    <row r="80">
      <c r="A80" s="2" t="s">
        <v>228</v>
      </c>
      <c r="B80" s="2" t="s">
        <v>229</v>
      </c>
      <c r="C80" s="2" t="s">
        <v>230</v>
      </c>
      <c r="D80" s="4"/>
    </row>
    <row r="81">
      <c r="A81" s="2" t="s">
        <v>231</v>
      </c>
      <c r="B81" s="2" t="s">
        <v>232</v>
      </c>
      <c r="C81" s="2" t="s">
        <v>233</v>
      </c>
      <c r="D81" s="4"/>
    </row>
    <row r="82">
      <c r="A82" s="2" t="s">
        <v>234</v>
      </c>
      <c r="B82" s="2" t="s">
        <v>235</v>
      </c>
      <c r="C82" s="2" t="s">
        <v>236</v>
      </c>
      <c r="D82" s="4"/>
    </row>
    <row r="83">
      <c r="A83" s="2" t="s">
        <v>237</v>
      </c>
      <c r="B83" s="2" t="s">
        <v>238</v>
      </c>
      <c r="C83" s="2" t="s">
        <v>239</v>
      </c>
      <c r="D83" s="4"/>
    </row>
    <row r="84">
      <c r="A84" s="2" t="s">
        <v>240</v>
      </c>
      <c r="B84" s="2" t="s">
        <v>241</v>
      </c>
      <c r="C84" s="2" t="s">
        <v>242</v>
      </c>
      <c r="D84" s="4"/>
    </row>
    <row r="85">
      <c r="A85" s="2" t="s">
        <v>243</v>
      </c>
      <c r="B85" s="2" t="s">
        <v>244</v>
      </c>
      <c r="C85" s="2" t="s">
        <v>245</v>
      </c>
      <c r="D85" s="4"/>
    </row>
    <row r="86">
      <c r="A86" s="2" t="s">
        <v>246</v>
      </c>
      <c r="B86" s="2" t="s">
        <v>247</v>
      </c>
      <c r="C86" s="2" t="s">
        <v>248</v>
      </c>
      <c r="D86" s="4"/>
    </row>
    <row r="87">
      <c r="A87" s="2" t="s">
        <v>249</v>
      </c>
      <c r="B87" s="2" t="s">
        <v>250</v>
      </c>
      <c r="C87" s="2" t="s">
        <v>251</v>
      </c>
      <c r="D87" s="4"/>
    </row>
    <row r="88">
      <c r="A88" s="2" t="s">
        <v>252</v>
      </c>
      <c r="B88" s="2" t="s">
        <v>253</v>
      </c>
      <c r="C88" s="2" t="s">
        <v>254</v>
      </c>
      <c r="D88" s="4"/>
    </row>
    <row r="89">
      <c r="A89" s="2" t="s">
        <v>255</v>
      </c>
      <c r="B89" s="2" t="s">
        <v>256</v>
      </c>
      <c r="C89" s="2" t="s">
        <v>257</v>
      </c>
      <c r="D89" s="4"/>
    </row>
    <row r="90">
      <c r="A90" s="2" t="s">
        <v>258</v>
      </c>
      <c r="B90" s="2" t="s">
        <v>259</v>
      </c>
      <c r="C90" s="2" t="s">
        <v>260</v>
      </c>
      <c r="D90" s="4"/>
    </row>
    <row r="91">
      <c r="A91" s="2" t="s">
        <v>261</v>
      </c>
      <c r="B91" s="2" t="s">
        <v>262</v>
      </c>
      <c r="C91" s="2" t="s">
        <v>263</v>
      </c>
      <c r="D91" s="4"/>
    </row>
    <row r="92">
      <c r="A92" s="2" t="s">
        <v>264</v>
      </c>
      <c r="B92" s="2" t="s">
        <v>265</v>
      </c>
      <c r="C92" s="2" t="s">
        <v>266</v>
      </c>
      <c r="D92" s="4"/>
    </row>
    <row r="93">
      <c r="A93" s="2" t="s">
        <v>267</v>
      </c>
      <c r="B93" s="2" t="s">
        <v>268</v>
      </c>
      <c r="C93" s="2" t="s">
        <v>269</v>
      </c>
      <c r="D93" s="4"/>
    </row>
    <row r="94">
      <c r="A94" s="2" t="s">
        <v>270</v>
      </c>
      <c r="B94" s="2" t="s">
        <v>271</v>
      </c>
      <c r="C94" s="2" t="s">
        <v>272</v>
      </c>
      <c r="D94" s="4"/>
    </row>
    <row r="95">
      <c r="A95" s="2" t="s">
        <v>273</v>
      </c>
      <c r="B95" s="2" t="s">
        <v>274</v>
      </c>
      <c r="C95" s="2" t="s">
        <v>275</v>
      </c>
      <c r="D95" s="4"/>
    </row>
    <row r="96">
      <c r="A96" s="5"/>
      <c r="B96" s="6"/>
      <c r="C96" s="6"/>
      <c r="D96" s="7"/>
    </row>
    <row r="97">
      <c r="A97" s="2" t="s">
        <v>276</v>
      </c>
      <c r="B97" s="2" t="s">
        <v>277</v>
      </c>
      <c r="C97" s="2" t="s">
        <v>278</v>
      </c>
      <c r="D97" s="4"/>
    </row>
    <row r="98">
      <c r="A98" s="2" t="s">
        <v>279</v>
      </c>
      <c r="B98" s="2" t="s">
        <v>280</v>
      </c>
      <c r="C98" s="2" t="s">
        <v>281</v>
      </c>
      <c r="D98" s="4"/>
    </row>
    <row r="99">
      <c r="A99" s="2" t="s">
        <v>282</v>
      </c>
      <c r="B99" s="2" t="s">
        <v>283</v>
      </c>
      <c r="C99" s="2" t="s">
        <v>284</v>
      </c>
      <c r="D99" s="4"/>
    </row>
    <row r="100">
      <c r="A100" s="2" t="s">
        <v>285</v>
      </c>
      <c r="B100" s="2" t="s">
        <v>286</v>
      </c>
      <c r="C100" s="2" t="s">
        <v>287</v>
      </c>
      <c r="D100" s="4"/>
    </row>
    <row r="101">
      <c r="A101" s="2" t="s">
        <v>288</v>
      </c>
      <c r="B101" s="2" t="s">
        <v>289</v>
      </c>
      <c r="C101" s="2" t="s">
        <v>290</v>
      </c>
      <c r="D101" s="4"/>
    </row>
    <row r="102">
      <c r="A102" s="2" t="s">
        <v>291</v>
      </c>
      <c r="B102" s="2" t="s">
        <v>292</v>
      </c>
      <c r="C102" s="2" t="s">
        <v>293</v>
      </c>
      <c r="D102" s="4"/>
    </row>
    <row r="103">
      <c r="A103" s="2" t="s">
        <v>294</v>
      </c>
      <c r="B103" s="2" t="s">
        <v>295</v>
      </c>
      <c r="C103" s="2" t="s">
        <v>296</v>
      </c>
      <c r="D103" s="4"/>
    </row>
    <row r="104">
      <c r="A104" s="2" t="s">
        <v>297</v>
      </c>
      <c r="B104" s="2" t="s">
        <v>298</v>
      </c>
      <c r="C104" s="2" t="s">
        <v>299</v>
      </c>
      <c r="D104" s="4"/>
    </row>
    <row r="105">
      <c r="A105" s="2" t="s">
        <v>300</v>
      </c>
      <c r="B105" s="2" t="s">
        <v>301</v>
      </c>
      <c r="C105" s="2" t="s">
        <v>302</v>
      </c>
      <c r="D105" s="4"/>
    </row>
    <row r="106">
      <c r="A106" s="2" t="s">
        <v>303</v>
      </c>
      <c r="B106" s="2" t="s">
        <v>304</v>
      </c>
      <c r="C106" s="2" t="s">
        <v>305</v>
      </c>
      <c r="D106" s="4"/>
    </row>
    <row r="107">
      <c r="A107" s="2" t="s">
        <v>306</v>
      </c>
      <c r="B107" s="2" t="s">
        <v>307</v>
      </c>
      <c r="C107" s="2" t="s">
        <v>308</v>
      </c>
      <c r="D107" s="4"/>
    </row>
    <row r="108">
      <c r="A108" s="2" t="s">
        <v>309</v>
      </c>
      <c r="B108" s="2" t="s">
        <v>310</v>
      </c>
      <c r="C108" s="2" t="s">
        <v>311</v>
      </c>
      <c r="D108" s="4"/>
    </row>
    <row r="109">
      <c r="A109" s="2" t="s">
        <v>312</v>
      </c>
      <c r="B109" s="2" t="s">
        <v>313</v>
      </c>
      <c r="C109" s="2" t="s">
        <v>314</v>
      </c>
      <c r="D109" s="4"/>
    </row>
    <row r="110">
      <c r="A110" s="2" t="s">
        <v>315</v>
      </c>
      <c r="B110" s="2" t="s">
        <v>316</v>
      </c>
      <c r="C110" s="2" t="s">
        <v>317</v>
      </c>
      <c r="D110" s="4"/>
    </row>
    <row r="111">
      <c r="A111" s="2" t="s">
        <v>318</v>
      </c>
      <c r="B111" s="2" t="s">
        <v>319</v>
      </c>
      <c r="C111" s="2" t="s">
        <v>320</v>
      </c>
      <c r="D111" s="4"/>
    </row>
    <row r="112">
      <c r="A112" s="2" t="s">
        <v>321</v>
      </c>
      <c r="B112" s="2" t="s">
        <v>322</v>
      </c>
      <c r="C112" s="2" t="s">
        <v>323</v>
      </c>
      <c r="D112" s="4"/>
    </row>
    <row r="113">
      <c r="A113" s="2" t="s">
        <v>324</v>
      </c>
      <c r="B113" s="2" t="s">
        <v>325</v>
      </c>
      <c r="C113" s="2" t="s">
        <v>326</v>
      </c>
      <c r="D113" s="4"/>
    </row>
    <row r="114">
      <c r="A114" s="2" t="s">
        <v>327</v>
      </c>
      <c r="B114" s="2" t="s">
        <v>328</v>
      </c>
      <c r="C114" s="2" t="s">
        <v>329</v>
      </c>
      <c r="D114" s="4"/>
    </row>
    <row r="115">
      <c r="A115" s="8"/>
      <c r="B115" s="6"/>
      <c r="C115" s="6"/>
      <c r="D115" s="7"/>
    </row>
    <row r="116">
      <c r="A116" s="2" t="s">
        <v>330</v>
      </c>
      <c r="B116" s="2" t="s">
        <v>331</v>
      </c>
      <c r="C116" s="2" t="s">
        <v>332</v>
      </c>
      <c r="D116" s="4"/>
    </row>
    <row r="117">
      <c r="A117" s="2" t="s">
        <v>333</v>
      </c>
      <c r="B117" s="2" t="s">
        <v>334</v>
      </c>
      <c r="C117" s="2" t="s">
        <v>335</v>
      </c>
      <c r="D117" s="2" t="s">
        <v>336</v>
      </c>
    </row>
    <row r="118">
      <c r="A118" s="2" t="s">
        <v>337</v>
      </c>
      <c r="B118" s="2" t="s">
        <v>338</v>
      </c>
      <c r="C118" s="2" t="s">
        <v>339</v>
      </c>
      <c r="D118" s="4"/>
    </row>
    <row r="119">
      <c r="A119" s="2" t="s">
        <v>340</v>
      </c>
      <c r="B119" s="2" t="s">
        <v>341</v>
      </c>
      <c r="C119" s="2" t="s">
        <v>342</v>
      </c>
      <c r="D119" s="4"/>
    </row>
    <row r="120">
      <c r="A120" s="2" t="s">
        <v>343</v>
      </c>
      <c r="B120" s="2" t="s">
        <v>344</v>
      </c>
      <c r="C120" s="2" t="s">
        <v>345</v>
      </c>
      <c r="D120" s="4"/>
    </row>
    <row r="121">
      <c r="A121" s="2" t="s">
        <v>346</v>
      </c>
      <c r="B121" s="2" t="s">
        <v>347</v>
      </c>
      <c r="C121" s="2" t="s">
        <v>348</v>
      </c>
      <c r="D121" s="4"/>
    </row>
    <row r="122">
      <c r="A122" s="2" t="s">
        <v>349</v>
      </c>
      <c r="B122" s="2" t="s">
        <v>350</v>
      </c>
      <c r="C122" s="2" t="s">
        <v>351</v>
      </c>
      <c r="D122" s="4"/>
    </row>
    <row r="123">
      <c r="A123" s="2" t="s">
        <v>352</v>
      </c>
      <c r="B123" s="2" t="s">
        <v>353</v>
      </c>
      <c r="C123" s="2" t="s">
        <v>354</v>
      </c>
      <c r="D123" s="4"/>
    </row>
    <row r="124">
      <c r="A124" s="2" t="s">
        <v>355</v>
      </c>
      <c r="B124" s="2" t="s">
        <v>356</v>
      </c>
      <c r="C124" s="2" t="s">
        <v>357</v>
      </c>
      <c r="D124" s="4"/>
    </row>
    <row r="125">
      <c r="A125" s="2" t="s">
        <v>358</v>
      </c>
      <c r="B125" s="2" t="s">
        <v>359</v>
      </c>
      <c r="C125" s="2" t="s">
        <v>360</v>
      </c>
      <c r="D125" s="4"/>
    </row>
    <row r="126">
      <c r="A126" s="2" t="s">
        <v>361</v>
      </c>
      <c r="B126" s="2" t="s">
        <v>362</v>
      </c>
      <c r="C126" s="2" t="s">
        <v>363</v>
      </c>
      <c r="D126" s="4"/>
    </row>
    <row r="127">
      <c r="A127" s="2" t="s">
        <v>364</v>
      </c>
      <c r="B127" s="2" t="s">
        <v>365</v>
      </c>
      <c r="C127" s="2" t="s">
        <v>366</v>
      </c>
      <c r="D127" s="4"/>
    </row>
    <row r="128">
      <c r="A128" s="2" t="s">
        <v>367</v>
      </c>
      <c r="B128" s="2" t="s">
        <v>368</v>
      </c>
      <c r="C128" s="2" t="s">
        <v>369</v>
      </c>
      <c r="D128" s="4"/>
    </row>
    <row r="129">
      <c r="A129" s="2" t="s">
        <v>370</v>
      </c>
      <c r="B129" s="2" t="s">
        <v>371</v>
      </c>
      <c r="C129" s="2" t="s">
        <v>372</v>
      </c>
      <c r="D129" s="4"/>
    </row>
    <row r="130">
      <c r="A130" s="2" t="s">
        <v>373</v>
      </c>
      <c r="B130" s="2" t="s">
        <v>374</v>
      </c>
      <c r="C130" s="2" t="s">
        <v>375</v>
      </c>
      <c r="D130" s="4"/>
    </row>
    <row r="131">
      <c r="A131" s="2" t="s">
        <v>376</v>
      </c>
      <c r="B131" s="2" t="s">
        <v>377</v>
      </c>
      <c r="C131" s="2" t="s">
        <v>378</v>
      </c>
      <c r="D131" s="4"/>
    </row>
    <row r="132">
      <c r="A132" s="2" t="s">
        <v>379</v>
      </c>
      <c r="B132" s="2" t="s">
        <v>380</v>
      </c>
      <c r="C132" s="2" t="s">
        <v>381</v>
      </c>
      <c r="D132" s="4"/>
    </row>
    <row r="133">
      <c r="A133" s="2" t="s">
        <v>382</v>
      </c>
      <c r="B133" s="2" t="s">
        <v>383</v>
      </c>
      <c r="C133" s="2" t="s">
        <v>384</v>
      </c>
      <c r="D133" s="4"/>
    </row>
    <row r="134">
      <c r="A134" s="8"/>
      <c r="B134" s="6"/>
      <c r="C134" s="6"/>
      <c r="D134" s="7"/>
    </row>
    <row r="135">
      <c r="A135" s="2" t="s">
        <v>385</v>
      </c>
      <c r="B135" s="2" t="s">
        <v>386</v>
      </c>
      <c r="C135" s="2" t="s">
        <v>387</v>
      </c>
      <c r="D135" s="4"/>
    </row>
    <row r="136">
      <c r="A136" s="2" t="s">
        <v>388</v>
      </c>
      <c r="B136" s="2" t="s">
        <v>389</v>
      </c>
      <c r="C136" s="2" t="s">
        <v>390</v>
      </c>
      <c r="D136" s="4"/>
    </row>
    <row r="137">
      <c r="A137" s="2" t="s">
        <v>391</v>
      </c>
      <c r="B137" s="2" t="s">
        <v>392</v>
      </c>
      <c r="C137" s="2" t="s">
        <v>387</v>
      </c>
      <c r="D137" s="4"/>
    </row>
    <row r="138">
      <c r="A138" s="2" t="s">
        <v>393</v>
      </c>
      <c r="B138" s="2" t="s">
        <v>394</v>
      </c>
      <c r="C138" s="2" t="s">
        <v>395</v>
      </c>
      <c r="D138" s="4"/>
    </row>
    <row r="139">
      <c r="A139" s="2" t="s">
        <v>396</v>
      </c>
      <c r="B139" s="2" t="s">
        <v>397</v>
      </c>
      <c r="C139" s="2" t="s">
        <v>398</v>
      </c>
      <c r="D139" s="4"/>
    </row>
    <row r="140">
      <c r="A140" s="2" t="s">
        <v>399</v>
      </c>
      <c r="B140" s="2" t="s">
        <v>400</v>
      </c>
      <c r="C140" s="2" t="s">
        <v>401</v>
      </c>
      <c r="D140" s="4"/>
    </row>
    <row r="141">
      <c r="A141" s="2" t="s">
        <v>402</v>
      </c>
      <c r="B141" s="2" t="s">
        <v>403</v>
      </c>
      <c r="C141" s="2" t="s">
        <v>404</v>
      </c>
      <c r="D141" s="4"/>
    </row>
    <row r="142">
      <c r="A142" s="2" t="s">
        <v>405</v>
      </c>
      <c r="B142" s="2" t="s">
        <v>406</v>
      </c>
      <c r="C142" s="2" t="s">
        <v>407</v>
      </c>
      <c r="D142" s="4"/>
    </row>
    <row r="143">
      <c r="A143" s="2" t="s">
        <v>408</v>
      </c>
      <c r="B143" s="2" t="s">
        <v>409</v>
      </c>
      <c r="C143" s="2" t="s">
        <v>410</v>
      </c>
      <c r="D143" s="4"/>
    </row>
    <row r="144">
      <c r="A144" s="2" t="s">
        <v>411</v>
      </c>
      <c r="B144" s="2" t="s">
        <v>412</v>
      </c>
      <c r="C144" s="2" t="s">
        <v>413</v>
      </c>
      <c r="D144" s="4"/>
    </row>
    <row r="145">
      <c r="A145" s="2" t="s">
        <v>414</v>
      </c>
      <c r="B145" s="2" t="s">
        <v>415</v>
      </c>
      <c r="C145" s="2" t="s">
        <v>416</v>
      </c>
      <c r="D145" s="4"/>
    </row>
    <row r="146">
      <c r="A146" s="2" t="s">
        <v>417</v>
      </c>
      <c r="B146" s="2" t="s">
        <v>418</v>
      </c>
      <c r="C146" s="2" t="s">
        <v>419</v>
      </c>
      <c r="D146" s="4"/>
    </row>
    <row r="147">
      <c r="A147" s="2" t="s">
        <v>420</v>
      </c>
      <c r="B147" s="2" t="s">
        <v>421</v>
      </c>
      <c r="C147" s="2" t="s">
        <v>422</v>
      </c>
      <c r="D147" s="4"/>
    </row>
    <row r="148">
      <c r="A148" s="2" t="s">
        <v>423</v>
      </c>
      <c r="B148" s="2" t="s">
        <v>424</v>
      </c>
      <c r="C148" s="2" t="s">
        <v>425</v>
      </c>
      <c r="D148" s="4"/>
    </row>
    <row r="149">
      <c r="A149" s="2" t="s">
        <v>426</v>
      </c>
      <c r="B149" s="2" t="s">
        <v>427</v>
      </c>
      <c r="C149" s="2" t="s">
        <v>428</v>
      </c>
      <c r="D149" s="4"/>
    </row>
    <row r="150">
      <c r="A150" s="2" t="s">
        <v>429</v>
      </c>
      <c r="B150" s="2" t="s">
        <v>430</v>
      </c>
      <c r="C150" s="2" t="s">
        <v>431</v>
      </c>
      <c r="D150" s="4"/>
    </row>
    <row r="151">
      <c r="A151" s="2" t="s">
        <v>432</v>
      </c>
      <c r="B151" s="2" t="s">
        <v>433</v>
      </c>
      <c r="C151" s="2" t="s">
        <v>434</v>
      </c>
      <c r="D151" s="4"/>
    </row>
    <row r="152">
      <c r="A152" s="2" t="s">
        <v>435</v>
      </c>
      <c r="B152" s="2" t="s">
        <v>436</v>
      </c>
      <c r="C152" s="2" t="s">
        <v>437</v>
      </c>
      <c r="D152" s="4"/>
    </row>
    <row r="153">
      <c r="A153" s="8"/>
      <c r="B153" s="6"/>
      <c r="C153" s="6"/>
      <c r="D153" s="7"/>
    </row>
    <row r="154">
      <c r="A154" s="2" t="s">
        <v>438</v>
      </c>
      <c r="B154" s="2" t="s">
        <v>439</v>
      </c>
      <c r="C154" s="2" t="s">
        <v>440</v>
      </c>
      <c r="D154" s="4"/>
    </row>
    <row r="155">
      <c r="A155" s="2" t="s">
        <v>441</v>
      </c>
      <c r="B155" s="2" t="s">
        <v>442</v>
      </c>
      <c r="C155" s="2" t="s">
        <v>443</v>
      </c>
      <c r="D155" s="4"/>
    </row>
    <row r="156">
      <c r="A156" s="2" t="s">
        <v>444</v>
      </c>
      <c r="B156" s="2" t="s">
        <v>445</v>
      </c>
      <c r="C156" s="2" t="s">
        <v>446</v>
      </c>
      <c r="D156" s="4"/>
    </row>
    <row r="157">
      <c r="A157" s="2" t="s">
        <v>447</v>
      </c>
      <c r="B157" s="2" t="s">
        <v>448</v>
      </c>
      <c r="C157" s="2" t="s">
        <v>449</v>
      </c>
      <c r="D157" s="4"/>
    </row>
    <row r="158">
      <c r="A158" s="2" t="s">
        <v>450</v>
      </c>
      <c r="B158" s="2" t="s">
        <v>451</v>
      </c>
      <c r="C158" s="2" t="s">
        <v>452</v>
      </c>
      <c r="D158" s="4"/>
    </row>
    <row r="159">
      <c r="A159" s="2" t="s">
        <v>453</v>
      </c>
      <c r="B159" s="2" t="s">
        <v>454</v>
      </c>
      <c r="C159" s="2" t="s">
        <v>455</v>
      </c>
      <c r="D159" s="4"/>
    </row>
    <row r="160">
      <c r="A160" s="2" t="s">
        <v>456</v>
      </c>
      <c r="B160" s="2" t="s">
        <v>457</v>
      </c>
      <c r="C160" s="2" t="s">
        <v>458</v>
      </c>
      <c r="D160" s="4"/>
    </row>
    <row r="161">
      <c r="A161" s="2" t="s">
        <v>459</v>
      </c>
      <c r="B161" s="2" t="s">
        <v>460</v>
      </c>
      <c r="C161" s="2" t="s">
        <v>461</v>
      </c>
      <c r="D161" s="4"/>
    </row>
    <row r="162">
      <c r="A162" s="2" t="s">
        <v>462</v>
      </c>
      <c r="B162" s="2" t="s">
        <v>463</v>
      </c>
      <c r="C162" s="2" t="s">
        <v>464</v>
      </c>
      <c r="D162" s="4"/>
    </row>
    <row r="163">
      <c r="A163" s="2" t="s">
        <v>465</v>
      </c>
      <c r="B163" s="2" t="s">
        <v>466</v>
      </c>
      <c r="C163" s="2" t="s">
        <v>467</v>
      </c>
      <c r="D163" s="4"/>
    </row>
    <row r="164">
      <c r="A164" s="2" t="s">
        <v>468</v>
      </c>
      <c r="B164" s="2" t="s">
        <v>469</v>
      </c>
      <c r="C164" s="2" t="s">
        <v>470</v>
      </c>
      <c r="D164" s="4"/>
    </row>
    <row r="165">
      <c r="A165" s="2" t="s">
        <v>471</v>
      </c>
      <c r="B165" s="2" t="s">
        <v>472</v>
      </c>
      <c r="C165" s="2" t="s">
        <v>473</v>
      </c>
      <c r="D165" s="4"/>
    </row>
    <row r="166">
      <c r="A166" s="2" t="s">
        <v>474</v>
      </c>
      <c r="B166" s="2" t="s">
        <v>475</v>
      </c>
      <c r="C166" s="2" t="s">
        <v>476</v>
      </c>
      <c r="D166" s="4"/>
    </row>
    <row r="167">
      <c r="A167" s="2" t="s">
        <v>477</v>
      </c>
      <c r="B167" s="2" t="s">
        <v>478</v>
      </c>
      <c r="C167" s="2" t="s">
        <v>479</v>
      </c>
      <c r="D167" s="4"/>
    </row>
    <row r="168">
      <c r="A168" s="2" t="s">
        <v>480</v>
      </c>
      <c r="B168" s="2" t="s">
        <v>481</v>
      </c>
      <c r="C168" s="2" t="s">
        <v>482</v>
      </c>
      <c r="D168" s="4"/>
    </row>
    <row r="169">
      <c r="A169" s="2" t="s">
        <v>483</v>
      </c>
      <c r="B169" s="2" t="s">
        <v>484</v>
      </c>
      <c r="C169" s="2" t="s">
        <v>485</v>
      </c>
      <c r="D169" s="4"/>
    </row>
    <row r="170">
      <c r="A170" s="2" t="s">
        <v>486</v>
      </c>
      <c r="B170" s="2" t="s">
        <v>487</v>
      </c>
      <c r="C170" s="2" t="s">
        <v>488</v>
      </c>
      <c r="D170" s="4"/>
    </row>
    <row r="171">
      <c r="A171" s="2" t="s">
        <v>489</v>
      </c>
      <c r="B171" s="2" t="s">
        <v>490</v>
      </c>
      <c r="C171" s="2" t="s">
        <v>491</v>
      </c>
      <c r="D171" s="4"/>
    </row>
    <row r="172">
      <c r="A172" s="8"/>
      <c r="B172" s="6"/>
      <c r="C172" s="6"/>
      <c r="D172" s="7"/>
    </row>
    <row r="173">
      <c r="A173" s="2" t="s">
        <v>492</v>
      </c>
      <c r="B173" s="2" t="s">
        <v>493</v>
      </c>
      <c r="C173" s="2" t="s">
        <v>494</v>
      </c>
      <c r="D173" s="4"/>
    </row>
    <row r="174">
      <c r="A174" s="2" t="s">
        <v>495</v>
      </c>
      <c r="B174" s="2" t="s">
        <v>496</v>
      </c>
      <c r="C174" s="2" t="s">
        <v>497</v>
      </c>
      <c r="D174" s="4"/>
    </row>
    <row r="175">
      <c r="A175" s="2" t="s">
        <v>498</v>
      </c>
      <c r="B175" s="2" t="s">
        <v>499</v>
      </c>
      <c r="C175" s="2" t="s">
        <v>500</v>
      </c>
      <c r="D175" s="4"/>
    </row>
    <row r="176">
      <c r="A176" s="2" t="s">
        <v>501</v>
      </c>
      <c r="B176" s="2" t="s">
        <v>502</v>
      </c>
      <c r="C176" s="2" t="s">
        <v>503</v>
      </c>
      <c r="D176" s="4"/>
    </row>
    <row r="177">
      <c r="A177" s="2" t="s">
        <v>504</v>
      </c>
      <c r="B177" s="2" t="s">
        <v>505</v>
      </c>
      <c r="C177" s="2" t="s">
        <v>506</v>
      </c>
      <c r="D177" s="4"/>
    </row>
    <row r="178">
      <c r="A178" s="2" t="s">
        <v>507</v>
      </c>
      <c r="B178" s="2" t="s">
        <v>508</v>
      </c>
      <c r="C178" s="2" t="s">
        <v>509</v>
      </c>
      <c r="D178" s="4"/>
    </row>
    <row r="179">
      <c r="A179" s="2" t="s">
        <v>510</v>
      </c>
      <c r="B179" s="2" t="s">
        <v>511</v>
      </c>
      <c r="C179" s="2" t="s">
        <v>512</v>
      </c>
      <c r="D179" s="4"/>
    </row>
    <row r="180">
      <c r="A180" s="2" t="s">
        <v>513</v>
      </c>
      <c r="B180" s="2" t="s">
        <v>514</v>
      </c>
      <c r="C180" s="2" t="s">
        <v>515</v>
      </c>
      <c r="D180" s="4"/>
    </row>
    <row r="181">
      <c r="A181" s="2" t="s">
        <v>516</v>
      </c>
      <c r="B181" s="2" t="s">
        <v>517</v>
      </c>
      <c r="C181" s="2" t="s">
        <v>518</v>
      </c>
      <c r="D181" s="4"/>
    </row>
    <row r="182">
      <c r="A182" s="2" t="s">
        <v>519</v>
      </c>
      <c r="B182" s="2" t="s">
        <v>520</v>
      </c>
      <c r="C182" s="2" t="s">
        <v>521</v>
      </c>
      <c r="D182" s="4"/>
    </row>
    <row r="183">
      <c r="A183" s="2" t="s">
        <v>522</v>
      </c>
      <c r="B183" s="2" t="s">
        <v>523</v>
      </c>
      <c r="C183" s="2" t="s">
        <v>524</v>
      </c>
      <c r="D183" s="4"/>
    </row>
    <row r="184">
      <c r="A184" s="2" t="s">
        <v>525</v>
      </c>
      <c r="B184" s="2" t="s">
        <v>526</v>
      </c>
      <c r="C184" s="2" t="s">
        <v>527</v>
      </c>
      <c r="D184" s="4"/>
    </row>
    <row r="185">
      <c r="A185" s="2" t="s">
        <v>528</v>
      </c>
      <c r="B185" s="2" t="s">
        <v>529</v>
      </c>
      <c r="C185" s="2" t="s">
        <v>530</v>
      </c>
      <c r="D185" s="4"/>
    </row>
    <row r="186">
      <c r="A186" s="2" t="s">
        <v>531</v>
      </c>
      <c r="B186" s="2" t="s">
        <v>532</v>
      </c>
      <c r="C186" s="2" t="s">
        <v>533</v>
      </c>
      <c r="D186" s="4"/>
    </row>
    <row r="187">
      <c r="A187" s="2" t="s">
        <v>534</v>
      </c>
      <c r="B187" s="2" t="s">
        <v>535</v>
      </c>
      <c r="C187" s="2" t="s">
        <v>536</v>
      </c>
      <c r="D187" s="4"/>
    </row>
    <row r="188">
      <c r="A188" s="2" t="s">
        <v>537</v>
      </c>
      <c r="B188" s="2" t="s">
        <v>538</v>
      </c>
      <c r="C188" s="2" t="s">
        <v>539</v>
      </c>
      <c r="D188" s="4"/>
    </row>
    <row r="189">
      <c r="A189" s="2" t="s">
        <v>540</v>
      </c>
      <c r="B189" s="2" t="s">
        <v>541</v>
      </c>
      <c r="C189" s="2" t="s">
        <v>542</v>
      </c>
      <c r="D189" s="4"/>
    </row>
    <row r="190">
      <c r="A190" s="2" t="s">
        <v>543</v>
      </c>
      <c r="B190" s="2" t="s">
        <v>544</v>
      </c>
      <c r="C190" s="2" t="s">
        <v>545</v>
      </c>
      <c r="D190" s="4"/>
    </row>
    <row r="191">
      <c r="A191" s="8"/>
      <c r="B191" s="6"/>
      <c r="C191" s="6"/>
      <c r="D191" s="7"/>
    </row>
    <row r="192">
      <c r="A192" s="2" t="s">
        <v>546</v>
      </c>
      <c r="B192" s="2" t="s">
        <v>547</v>
      </c>
      <c r="C192" s="2" t="s">
        <v>548</v>
      </c>
      <c r="D192" s="4"/>
    </row>
    <row r="193">
      <c r="A193" s="2" t="s">
        <v>549</v>
      </c>
      <c r="B193" s="2" t="s">
        <v>550</v>
      </c>
      <c r="C193" s="2" t="s">
        <v>551</v>
      </c>
      <c r="D193" s="4"/>
    </row>
    <row r="194">
      <c r="A194" s="2" t="s">
        <v>552</v>
      </c>
      <c r="B194" s="2" t="s">
        <v>553</v>
      </c>
      <c r="C194" s="2" t="s">
        <v>554</v>
      </c>
      <c r="D194" s="4"/>
    </row>
    <row r="195">
      <c r="A195" s="2" t="s">
        <v>555</v>
      </c>
      <c r="B195" s="2" t="s">
        <v>556</v>
      </c>
      <c r="C195" s="2" t="s">
        <v>557</v>
      </c>
      <c r="D195" s="4"/>
    </row>
    <row r="196">
      <c r="A196" s="2" t="s">
        <v>558</v>
      </c>
      <c r="B196" s="2" t="s">
        <v>559</v>
      </c>
      <c r="C196" s="2" t="s">
        <v>560</v>
      </c>
      <c r="D196" s="4"/>
    </row>
    <row r="197">
      <c r="A197" s="2" t="s">
        <v>561</v>
      </c>
      <c r="B197" s="2" t="s">
        <v>562</v>
      </c>
      <c r="C197" s="2" t="s">
        <v>563</v>
      </c>
      <c r="D197" s="4"/>
    </row>
    <row r="198">
      <c r="A198" s="2" t="s">
        <v>564</v>
      </c>
      <c r="B198" s="2" t="s">
        <v>565</v>
      </c>
      <c r="C198" s="2" t="s">
        <v>566</v>
      </c>
      <c r="D198" s="4"/>
    </row>
    <row r="199">
      <c r="A199" s="2" t="s">
        <v>567</v>
      </c>
      <c r="B199" s="2" t="s">
        <v>568</v>
      </c>
      <c r="C199" s="2" t="s">
        <v>569</v>
      </c>
      <c r="D199" s="4"/>
    </row>
    <row r="200">
      <c r="A200" s="2" t="s">
        <v>570</v>
      </c>
      <c r="B200" s="2" t="s">
        <v>571</v>
      </c>
      <c r="C200" s="2" t="s">
        <v>572</v>
      </c>
      <c r="D200" s="4"/>
    </row>
    <row r="201">
      <c r="A201" s="2" t="s">
        <v>573</v>
      </c>
      <c r="B201" s="2" t="s">
        <v>574</v>
      </c>
      <c r="C201" s="2" t="s">
        <v>575</v>
      </c>
      <c r="D201" s="4"/>
    </row>
    <row r="202">
      <c r="A202" s="2" t="s">
        <v>576</v>
      </c>
      <c r="B202" s="2" t="s">
        <v>577</v>
      </c>
      <c r="C202" s="2" t="s">
        <v>578</v>
      </c>
      <c r="D202" s="4"/>
    </row>
    <row r="203">
      <c r="A203" s="2" t="s">
        <v>579</v>
      </c>
      <c r="B203" s="2" t="s">
        <v>580</v>
      </c>
      <c r="C203" s="2" t="s">
        <v>581</v>
      </c>
      <c r="D203" s="4"/>
    </row>
    <row r="204">
      <c r="A204" s="2" t="s">
        <v>582</v>
      </c>
      <c r="B204" s="2" t="s">
        <v>583</v>
      </c>
      <c r="C204" s="2" t="s">
        <v>584</v>
      </c>
      <c r="D204" s="4"/>
    </row>
    <row r="205">
      <c r="A205" s="2" t="s">
        <v>585</v>
      </c>
      <c r="B205" s="2" t="s">
        <v>586</v>
      </c>
      <c r="C205" s="2" t="s">
        <v>587</v>
      </c>
      <c r="D205" s="4"/>
    </row>
    <row r="206">
      <c r="A206" s="2" t="s">
        <v>588</v>
      </c>
      <c r="B206" s="2" t="s">
        <v>589</v>
      </c>
      <c r="C206" s="2" t="s">
        <v>590</v>
      </c>
      <c r="D206" s="4"/>
    </row>
    <row r="207">
      <c r="A207" s="2" t="s">
        <v>591</v>
      </c>
      <c r="B207" s="2" t="s">
        <v>592</v>
      </c>
      <c r="C207" s="9" t="s">
        <v>593</v>
      </c>
      <c r="D207" s="4"/>
    </row>
    <row r="208">
      <c r="A208" s="2" t="s">
        <v>594</v>
      </c>
      <c r="B208" s="2" t="s">
        <v>595</v>
      </c>
      <c r="C208" s="2" t="s">
        <v>596</v>
      </c>
      <c r="D208" s="4"/>
    </row>
    <row r="209">
      <c r="A209" s="2" t="s">
        <v>597</v>
      </c>
      <c r="B209" s="2" t="s">
        <v>598</v>
      </c>
      <c r="C209" s="2" t="s">
        <v>599</v>
      </c>
      <c r="D209" s="4"/>
    </row>
    <row r="210">
      <c r="A210" s="8"/>
      <c r="B210" s="6"/>
      <c r="C210" s="6"/>
      <c r="D210" s="7"/>
    </row>
    <row r="211">
      <c r="A211" s="2" t="s">
        <v>600</v>
      </c>
      <c r="B211" s="2" t="s">
        <v>601</v>
      </c>
      <c r="C211" s="2" t="s">
        <v>602</v>
      </c>
      <c r="D211" s="2" t="s">
        <v>94</v>
      </c>
    </row>
    <row r="212">
      <c r="A212" s="2" t="s">
        <v>603</v>
      </c>
      <c r="B212" s="2" t="s">
        <v>604</v>
      </c>
      <c r="C212" s="2" t="s">
        <v>605</v>
      </c>
      <c r="D212" s="4"/>
    </row>
    <row r="213">
      <c r="A213" s="2" t="s">
        <v>606</v>
      </c>
      <c r="B213" s="2" t="s">
        <v>607</v>
      </c>
      <c r="C213" s="2" t="s">
        <v>608</v>
      </c>
      <c r="D213" s="4"/>
    </row>
    <row r="214">
      <c r="A214" s="2" t="s">
        <v>609</v>
      </c>
      <c r="B214" s="2" t="s">
        <v>610</v>
      </c>
      <c r="C214" s="2" t="s">
        <v>611</v>
      </c>
      <c r="D214" s="4"/>
    </row>
    <row r="215">
      <c r="A215" s="2" t="s">
        <v>612</v>
      </c>
      <c r="B215" s="2" t="s">
        <v>613</v>
      </c>
      <c r="C215" s="2" t="s">
        <v>614</v>
      </c>
      <c r="D215" s="4"/>
    </row>
    <row r="216">
      <c r="A216" s="2" t="s">
        <v>615</v>
      </c>
      <c r="B216" s="2" t="s">
        <v>616</v>
      </c>
      <c r="C216" s="2" t="s">
        <v>617</v>
      </c>
      <c r="D216" s="4"/>
    </row>
    <row r="217">
      <c r="A217" s="2" t="s">
        <v>618</v>
      </c>
      <c r="B217" s="2" t="s">
        <v>619</v>
      </c>
      <c r="C217" s="2" t="s">
        <v>620</v>
      </c>
      <c r="D217" s="4"/>
    </row>
    <row r="218">
      <c r="A218" s="2" t="s">
        <v>621</v>
      </c>
      <c r="B218" s="2" t="s">
        <v>622</v>
      </c>
      <c r="C218" s="2" t="s">
        <v>623</v>
      </c>
      <c r="D218" s="4"/>
    </row>
    <row r="219">
      <c r="A219" s="2" t="s">
        <v>624</v>
      </c>
      <c r="B219" s="2" t="s">
        <v>625</v>
      </c>
      <c r="C219" s="2" t="s">
        <v>626</v>
      </c>
      <c r="D219" s="4"/>
    </row>
    <row r="220">
      <c r="A220" s="2" t="s">
        <v>627</v>
      </c>
      <c r="B220" s="2" t="s">
        <v>628</v>
      </c>
      <c r="C220" s="2" t="s">
        <v>629</v>
      </c>
      <c r="D220" s="4"/>
    </row>
    <row r="221">
      <c r="A221" s="2" t="s">
        <v>630</v>
      </c>
      <c r="B221" s="2" t="s">
        <v>631</v>
      </c>
      <c r="C221" s="2" t="s">
        <v>632</v>
      </c>
      <c r="D221" s="4"/>
    </row>
    <row r="222">
      <c r="A222" s="2" t="s">
        <v>633</v>
      </c>
      <c r="B222" s="2" t="s">
        <v>634</v>
      </c>
      <c r="C222" s="2" t="s">
        <v>635</v>
      </c>
      <c r="D222" s="4"/>
    </row>
    <row r="223">
      <c r="A223" s="2" t="s">
        <v>636</v>
      </c>
      <c r="B223" s="2" t="s">
        <v>637</v>
      </c>
      <c r="C223" s="2" t="s">
        <v>638</v>
      </c>
      <c r="D223" s="4"/>
    </row>
    <row r="224">
      <c r="A224" s="2" t="s">
        <v>639</v>
      </c>
      <c r="B224" s="2" t="s">
        <v>640</v>
      </c>
      <c r="C224" s="2" t="s">
        <v>641</v>
      </c>
      <c r="D224" s="4"/>
    </row>
    <row r="225">
      <c r="A225" s="2" t="s">
        <v>642</v>
      </c>
      <c r="B225" s="2" t="s">
        <v>643</v>
      </c>
      <c r="C225" s="2" t="s">
        <v>644</v>
      </c>
      <c r="D225" s="4"/>
    </row>
    <row r="226">
      <c r="A226" s="2" t="s">
        <v>645</v>
      </c>
      <c r="B226" s="2" t="s">
        <v>646</v>
      </c>
      <c r="C226" s="2" t="s">
        <v>647</v>
      </c>
      <c r="D226" s="4"/>
    </row>
    <row r="227">
      <c r="A227" s="2" t="s">
        <v>648</v>
      </c>
      <c r="B227" s="2" t="s">
        <v>649</v>
      </c>
      <c r="C227" s="2" t="s">
        <v>650</v>
      </c>
      <c r="D227" s="4"/>
    </row>
    <row r="228">
      <c r="A228" s="2" t="s">
        <v>651</v>
      </c>
      <c r="B228" s="2" t="s">
        <v>652</v>
      </c>
      <c r="C228" s="2" t="s">
        <v>653</v>
      </c>
      <c r="D228" s="4"/>
    </row>
    <row r="229">
      <c r="A229" s="8"/>
      <c r="B229" s="6"/>
      <c r="C229" s="6"/>
      <c r="D229" s="7"/>
    </row>
    <row r="230">
      <c r="A230" s="2" t="s">
        <v>654</v>
      </c>
      <c r="B230" s="2" t="s">
        <v>655</v>
      </c>
      <c r="C230" s="2" t="s">
        <v>656</v>
      </c>
      <c r="D230" s="4"/>
    </row>
    <row r="231">
      <c r="A231" s="2" t="s">
        <v>657</v>
      </c>
      <c r="B231" s="2" t="s">
        <v>658</v>
      </c>
      <c r="C231" s="2" t="s">
        <v>659</v>
      </c>
      <c r="D231" s="4"/>
    </row>
    <row r="232">
      <c r="A232" s="2" t="s">
        <v>660</v>
      </c>
      <c r="B232" s="2" t="s">
        <v>661</v>
      </c>
      <c r="C232" s="2" t="s">
        <v>662</v>
      </c>
      <c r="D232" s="4"/>
    </row>
    <row r="233">
      <c r="A233" s="2" t="s">
        <v>663</v>
      </c>
      <c r="B233" s="2" t="s">
        <v>664</v>
      </c>
      <c r="C233" s="2" t="s">
        <v>665</v>
      </c>
      <c r="D233" s="4"/>
    </row>
    <row r="234">
      <c r="A234" s="2" t="s">
        <v>666</v>
      </c>
      <c r="B234" s="2" t="s">
        <v>667</v>
      </c>
      <c r="C234" s="2" t="s">
        <v>668</v>
      </c>
      <c r="D234" s="4"/>
    </row>
    <row r="235">
      <c r="A235" s="2" t="s">
        <v>669</v>
      </c>
      <c r="B235" s="2" t="s">
        <v>670</v>
      </c>
      <c r="C235" s="2" t="s">
        <v>671</v>
      </c>
      <c r="D235" s="4"/>
    </row>
    <row r="236">
      <c r="A236" s="2" t="s">
        <v>672</v>
      </c>
      <c r="B236" s="2" t="s">
        <v>673</v>
      </c>
      <c r="C236" s="2" t="s">
        <v>674</v>
      </c>
      <c r="D236" s="4"/>
    </row>
    <row r="237">
      <c r="A237" s="2" t="s">
        <v>675</v>
      </c>
      <c r="B237" s="2" t="s">
        <v>676</v>
      </c>
      <c r="C237" s="2" t="s">
        <v>677</v>
      </c>
      <c r="D237" s="4"/>
    </row>
    <row r="238">
      <c r="A238" s="2" t="s">
        <v>678</v>
      </c>
      <c r="B238" s="2" t="s">
        <v>679</v>
      </c>
      <c r="C238" s="2" t="s">
        <v>680</v>
      </c>
      <c r="D238" s="4"/>
    </row>
    <row r="239">
      <c r="A239" s="2" t="s">
        <v>681</v>
      </c>
      <c r="B239" s="2" t="s">
        <v>682</v>
      </c>
      <c r="C239" s="2" t="s">
        <v>683</v>
      </c>
      <c r="D239" s="4"/>
    </row>
    <row r="240">
      <c r="A240" s="2" t="s">
        <v>684</v>
      </c>
      <c r="B240" s="2" t="s">
        <v>685</v>
      </c>
      <c r="C240" s="2" t="s">
        <v>686</v>
      </c>
      <c r="D240" s="4"/>
    </row>
    <row r="241">
      <c r="A241" s="2" t="s">
        <v>687</v>
      </c>
      <c r="B241" s="2" t="s">
        <v>688</v>
      </c>
      <c r="C241" s="2" t="s">
        <v>689</v>
      </c>
      <c r="D241" s="4"/>
    </row>
    <row r="242">
      <c r="A242" s="2" t="s">
        <v>690</v>
      </c>
      <c r="B242" s="2" t="s">
        <v>691</v>
      </c>
      <c r="C242" s="2" t="s">
        <v>692</v>
      </c>
      <c r="D242" s="4"/>
    </row>
    <row r="243">
      <c r="A243" s="2" t="s">
        <v>693</v>
      </c>
      <c r="B243" s="2" t="s">
        <v>694</v>
      </c>
      <c r="C243" s="2" t="s">
        <v>695</v>
      </c>
      <c r="D243" s="2" t="s">
        <v>696</v>
      </c>
    </row>
    <row r="244">
      <c r="A244" s="2" t="s">
        <v>697</v>
      </c>
      <c r="B244" s="2" t="s">
        <v>698</v>
      </c>
      <c r="C244" s="2" t="s">
        <v>699</v>
      </c>
      <c r="D244" s="4"/>
    </row>
    <row r="245">
      <c r="A245" s="2" t="s">
        <v>700</v>
      </c>
      <c r="B245" s="2" t="s">
        <v>701</v>
      </c>
      <c r="C245" s="2" t="s">
        <v>702</v>
      </c>
      <c r="D245" s="4"/>
    </row>
    <row r="246">
      <c r="A246" s="2" t="s">
        <v>703</v>
      </c>
      <c r="B246" s="2" t="s">
        <v>704</v>
      </c>
      <c r="C246" s="2" t="s">
        <v>705</v>
      </c>
      <c r="D246" s="2" t="s">
        <v>706</v>
      </c>
    </row>
    <row r="247">
      <c r="A247" s="2" t="s">
        <v>707</v>
      </c>
      <c r="B247" s="2" t="s">
        <v>708</v>
      </c>
      <c r="C247" s="2" t="s">
        <v>709</v>
      </c>
      <c r="D247" s="4"/>
    </row>
    <row r="248">
      <c r="A248" s="8"/>
      <c r="B248" s="6"/>
      <c r="C248" s="6"/>
      <c r="D248" s="7"/>
    </row>
    <row r="249">
      <c r="A249" s="2" t="s">
        <v>710</v>
      </c>
      <c r="B249" s="2" t="s">
        <v>711</v>
      </c>
      <c r="C249" s="2" t="s">
        <v>712</v>
      </c>
      <c r="D249" s="4"/>
    </row>
    <row r="250">
      <c r="A250" s="2" t="s">
        <v>713</v>
      </c>
      <c r="B250" s="2" t="s">
        <v>714</v>
      </c>
      <c r="C250" s="2" t="s">
        <v>715</v>
      </c>
      <c r="D250" s="4"/>
    </row>
    <row r="251">
      <c r="A251" s="2" t="s">
        <v>716</v>
      </c>
      <c r="B251" s="2" t="s">
        <v>717</v>
      </c>
      <c r="C251" s="2" t="s">
        <v>718</v>
      </c>
      <c r="D251" s="4"/>
    </row>
    <row r="252">
      <c r="A252" s="2" t="s">
        <v>719</v>
      </c>
      <c r="B252" s="2" t="s">
        <v>720</v>
      </c>
      <c r="C252" s="2" t="s">
        <v>721</v>
      </c>
      <c r="D252" s="4"/>
    </row>
    <row r="253">
      <c r="A253" s="2" t="s">
        <v>722</v>
      </c>
      <c r="B253" s="2" t="s">
        <v>723</v>
      </c>
      <c r="C253" s="2" t="s">
        <v>724</v>
      </c>
      <c r="D253" s="4"/>
    </row>
    <row r="254">
      <c r="A254" s="2" t="s">
        <v>725</v>
      </c>
      <c r="B254" s="2" t="s">
        <v>726</v>
      </c>
      <c r="C254" s="2" t="s">
        <v>727</v>
      </c>
      <c r="D254" s="4"/>
    </row>
    <row r="255">
      <c r="A255" s="2" t="s">
        <v>728</v>
      </c>
      <c r="B255" s="2" t="s">
        <v>729</v>
      </c>
      <c r="C255" s="2" t="s">
        <v>730</v>
      </c>
      <c r="D255" s="4"/>
    </row>
    <row r="256">
      <c r="A256" s="2" t="s">
        <v>731</v>
      </c>
      <c r="B256" s="2" t="s">
        <v>732</v>
      </c>
      <c r="C256" s="2" t="s">
        <v>733</v>
      </c>
      <c r="D256" s="4"/>
    </row>
    <row r="257">
      <c r="A257" s="2" t="s">
        <v>734</v>
      </c>
      <c r="B257" s="2" t="s">
        <v>735</v>
      </c>
      <c r="C257" s="2" t="s">
        <v>736</v>
      </c>
      <c r="D257" s="4"/>
    </row>
    <row r="258">
      <c r="A258" s="2" t="s">
        <v>737</v>
      </c>
      <c r="B258" s="2" t="s">
        <v>738</v>
      </c>
      <c r="C258" s="2" t="s">
        <v>739</v>
      </c>
      <c r="D258" s="4"/>
    </row>
    <row r="259">
      <c r="A259" s="2" t="s">
        <v>740</v>
      </c>
      <c r="B259" s="2" t="s">
        <v>741</v>
      </c>
      <c r="C259" s="2" t="s">
        <v>742</v>
      </c>
      <c r="D259" s="4"/>
    </row>
    <row r="260">
      <c r="A260" s="2" t="s">
        <v>743</v>
      </c>
      <c r="B260" s="2" t="s">
        <v>744</v>
      </c>
      <c r="C260" s="2" t="s">
        <v>745</v>
      </c>
      <c r="D260" s="4"/>
    </row>
    <row r="261">
      <c r="A261" s="2" t="s">
        <v>746</v>
      </c>
      <c r="B261" s="2" t="s">
        <v>747</v>
      </c>
      <c r="C261" s="2" t="s">
        <v>748</v>
      </c>
      <c r="D261" s="4"/>
    </row>
    <row r="262">
      <c r="A262" s="2" t="s">
        <v>749</v>
      </c>
      <c r="B262" s="2" t="s">
        <v>750</v>
      </c>
      <c r="C262" s="2" t="s">
        <v>751</v>
      </c>
      <c r="D262" s="4"/>
    </row>
    <row r="263">
      <c r="A263" s="2" t="s">
        <v>752</v>
      </c>
      <c r="B263" s="2" t="s">
        <v>753</v>
      </c>
      <c r="C263" s="2" t="s">
        <v>754</v>
      </c>
      <c r="D263" s="4"/>
    </row>
    <row r="264">
      <c r="A264" s="2" t="s">
        <v>755</v>
      </c>
      <c r="B264" s="2" t="s">
        <v>756</v>
      </c>
      <c r="C264" s="2" t="s">
        <v>757</v>
      </c>
      <c r="D264" s="4"/>
    </row>
    <row r="265">
      <c r="A265" s="2" t="s">
        <v>758</v>
      </c>
      <c r="B265" s="2" t="s">
        <v>759</v>
      </c>
      <c r="C265" s="2" t="s">
        <v>760</v>
      </c>
      <c r="D265" s="4"/>
    </row>
    <row r="266">
      <c r="A266" s="2" t="s">
        <v>761</v>
      </c>
      <c r="B266" s="2" t="s">
        <v>762</v>
      </c>
      <c r="C266" s="2" t="s">
        <v>763</v>
      </c>
      <c r="D266" s="4"/>
    </row>
    <row r="267">
      <c r="A267" s="8"/>
      <c r="B267" s="6"/>
      <c r="C267" s="6"/>
      <c r="D267" s="7"/>
    </row>
    <row r="268">
      <c r="A268" s="2" t="s">
        <v>764</v>
      </c>
      <c r="B268" s="2" t="s">
        <v>765</v>
      </c>
      <c r="C268" s="2" t="s">
        <v>766</v>
      </c>
      <c r="D268" s="4"/>
    </row>
    <row r="269">
      <c r="A269" s="2" t="s">
        <v>767</v>
      </c>
      <c r="B269" s="2" t="s">
        <v>768</v>
      </c>
      <c r="C269" s="2" t="s">
        <v>769</v>
      </c>
      <c r="D269" s="4"/>
    </row>
    <row r="270">
      <c r="A270" s="2" t="s">
        <v>770</v>
      </c>
      <c r="B270" s="2" t="s">
        <v>771</v>
      </c>
      <c r="C270" s="2" t="s">
        <v>772</v>
      </c>
      <c r="D270" s="4"/>
    </row>
    <row r="271">
      <c r="A271" s="2" t="s">
        <v>773</v>
      </c>
      <c r="B271" s="2" t="s">
        <v>774</v>
      </c>
      <c r="C271" s="2" t="s">
        <v>775</v>
      </c>
      <c r="D271" s="4"/>
    </row>
    <row r="272">
      <c r="A272" s="2" t="s">
        <v>776</v>
      </c>
      <c r="B272" s="2" t="s">
        <v>777</v>
      </c>
      <c r="C272" s="2" t="s">
        <v>778</v>
      </c>
      <c r="D272" s="4"/>
    </row>
    <row r="273">
      <c r="A273" s="2" t="s">
        <v>779</v>
      </c>
      <c r="B273" s="2" t="s">
        <v>780</v>
      </c>
      <c r="C273" s="2" t="s">
        <v>781</v>
      </c>
      <c r="D273" s="4"/>
    </row>
    <row r="274">
      <c r="A274" s="2" t="s">
        <v>782</v>
      </c>
      <c r="B274" s="2" t="s">
        <v>783</v>
      </c>
      <c r="C274" s="2" t="s">
        <v>784</v>
      </c>
      <c r="D274" s="4"/>
    </row>
    <row r="275">
      <c r="A275" s="2" t="s">
        <v>785</v>
      </c>
      <c r="B275" s="2" t="s">
        <v>786</v>
      </c>
      <c r="C275" s="2" t="s">
        <v>787</v>
      </c>
      <c r="D275" s="4"/>
    </row>
    <row r="276">
      <c r="A276" s="2" t="s">
        <v>788</v>
      </c>
      <c r="B276" s="2" t="s">
        <v>789</v>
      </c>
      <c r="C276" s="2" t="s">
        <v>790</v>
      </c>
      <c r="D276" s="4"/>
    </row>
    <row r="277">
      <c r="A277" s="2" t="s">
        <v>791</v>
      </c>
      <c r="B277" s="2" t="s">
        <v>792</v>
      </c>
      <c r="C277" s="2" t="s">
        <v>793</v>
      </c>
      <c r="D277" s="4"/>
    </row>
    <row r="278">
      <c r="A278" s="2" t="s">
        <v>794</v>
      </c>
      <c r="B278" s="2" t="s">
        <v>795</v>
      </c>
      <c r="C278" s="2" t="s">
        <v>796</v>
      </c>
      <c r="D278" s="4"/>
    </row>
    <row r="279">
      <c r="A279" s="2" t="s">
        <v>797</v>
      </c>
      <c r="B279" s="2" t="s">
        <v>798</v>
      </c>
      <c r="C279" s="2" t="s">
        <v>799</v>
      </c>
      <c r="D279" s="4"/>
    </row>
    <row r="280">
      <c r="A280" s="2" t="s">
        <v>800</v>
      </c>
      <c r="B280" s="2" t="s">
        <v>801</v>
      </c>
      <c r="C280" s="2" t="s">
        <v>802</v>
      </c>
      <c r="D280" s="4"/>
    </row>
    <row r="281">
      <c r="A281" s="2" t="s">
        <v>803</v>
      </c>
      <c r="B281" s="2" t="s">
        <v>804</v>
      </c>
      <c r="C281" s="2" t="s">
        <v>805</v>
      </c>
      <c r="D281" s="4"/>
    </row>
    <row r="282">
      <c r="A282" s="2" t="s">
        <v>806</v>
      </c>
      <c r="B282" s="2" t="s">
        <v>807</v>
      </c>
      <c r="C282" s="2" t="s">
        <v>808</v>
      </c>
      <c r="D282" s="4"/>
    </row>
    <row r="283">
      <c r="A283" s="2" t="s">
        <v>809</v>
      </c>
      <c r="B283" s="2" t="s">
        <v>810</v>
      </c>
      <c r="C283" s="2" t="s">
        <v>811</v>
      </c>
      <c r="D283" s="4"/>
    </row>
    <row r="284">
      <c r="A284" s="2" t="s">
        <v>812</v>
      </c>
      <c r="B284" s="2" t="s">
        <v>813</v>
      </c>
      <c r="C284" s="2" t="s">
        <v>814</v>
      </c>
      <c r="D284" s="4"/>
    </row>
    <row r="285">
      <c r="A285" s="2" t="s">
        <v>815</v>
      </c>
      <c r="B285" s="2" t="s">
        <v>816</v>
      </c>
      <c r="C285" s="2" t="s">
        <v>817</v>
      </c>
      <c r="D285" s="4"/>
    </row>
    <row r="286">
      <c r="A286" s="5"/>
      <c r="B286" s="6"/>
      <c r="C286" s="6"/>
      <c r="D286" s="7"/>
    </row>
    <row r="287">
      <c r="A287" s="2" t="s">
        <v>818</v>
      </c>
      <c r="B287" s="2" t="s">
        <v>819</v>
      </c>
      <c r="C287" s="2" t="s">
        <v>820</v>
      </c>
      <c r="D287" s="4"/>
    </row>
    <row r="288">
      <c r="A288" s="2" t="s">
        <v>821</v>
      </c>
      <c r="B288" s="2" t="s">
        <v>822</v>
      </c>
      <c r="C288" s="2" t="s">
        <v>823</v>
      </c>
      <c r="D288" s="4"/>
    </row>
    <row r="289">
      <c r="A289" s="2" t="s">
        <v>824</v>
      </c>
      <c r="B289" s="2" t="s">
        <v>825</v>
      </c>
      <c r="C289" s="2" t="s">
        <v>826</v>
      </c>
      <c r="D289" s="4"/>
    </row>
    <row r="290">
      <c r="A290" s="2" t="s">
        <v>827</v>
      </c>
      <c r="B290" s="2" t="s">
        <v>828</v>
      </c>
      <c r="C290" s="2" t="s">
        <v>829</v>
      </c>
      <c r="D290" s="4"/>
    </row>
    <row r="291">
      <c r="A291" s="2" t="s">
        <v>830</v>
      </c>
      <c r="B291" s="2" t="s">
        <v>831</v>
      </c>
      <c r="C291" s="2" t="s">
        <v>832</v>
      </c>
      <c r="D291" s="4"/>
    </row>
    <row r="292">
      <c r="A292" s="2" t="s">
        <v>833</v>
      </c>
      <c r="B292" s="2" t="s">
        <v>834</v>
      </c>
      <c r="C292" s="2" t="s">
        <v>835</v>
      </c>
      <c r="D292" s="4"/>
    </row>
    <row r="293">
      <c r="A293" s="2" t="s">
        <v>836</v>
      </c>
      <c r="B293" s="2" t="s">
        <v>837</v>
      </c>
      <c r="C293" s="2" t="s">
        <v>838</v>
      </c>
      <c r="D293" s="4"/>
    </row>
    <row r="294">
      <c r="A294" s="2" t="s">
        <v>839</v>
      </c>
      <c r="B294" s="2" t="s">
        <v>840</v>
      </c>
      <c r="C294" s="2" t="s">
        <v>841</v>
      </c>
      <c r="D294" s="4"/>
    </row>
    <row r="295">
      <c r="A295" s="2" t="s">
        <v>842</v>
      </c>
      <c r="B295" s="2" t="s">
        <v>843</v>
      </c>
      <c r="C295" s="2" t="s">
        <v>844</v>
      </c>
      <c r="D295" s="4"/>
    </row>
    <row r="296">
      <c r="A296" s="2" t="s">
        <v>845</v>
      </c>
      <c r="B296" s="2" t="s">
        <v>846</v>
      </c>
      <c r="C296" s="2" t="s">
        <v>847</v>
      </c>
      <c r="D296" s="4"/>
    </row>
    <row r="297">
      <c r="A297" s="2" t="s">
        <v>848</v>
      </c>
      <c r="B297" s="2" t="s">
        <v>849</v>
      </c>
      <c r="C297" s="2" t="s">
        <v>850</v>
      </c>
      <c r="D297" s="4"/>
    </row>
    <row r="298">
      <c r="A298" s="2" t="s">
        <v>851</v>
      </c>
      <c r="B298" s="2" t="s">
        <v>852</v>
      </c>
      <c r="C298" s="2" t="s">
        <v>853</v>
      </c>
      <c r="D298" s="4"/>
    </row>
    <row r="299">
      <c r="A299" s="2" t="s">
        <v>854</v>
      </c>
      <c r="B299" s="2" t="s">
        <v>855</v>
      </c>
      <c r="C299" s="2" t="s">
        <v>856</v>
      </c>
      <c r="D299" s="4"/>
    </row>
    <row r="300">
      <c r="A300" s="2" t="s">
        <v>857</v>
      </c>
      <c r="B300" s="2" t="s">
        <v>858</v>
      </c>
      <c r="C300" s="2" t="s">
        <v>859</v>
      </c>
      <c r="D300" s="4"/>
    </row>
    <row r="301">
      <c r="A301" s="2" t="s">
        <v>860</v>
      </c>
      <c r="B301" s="2" t="s">
        <v>861</v>
      </c>
      <c r="C301" s="2" t="s">
        <v>862</v>
      </c>
      <c r="D301" s="4"/>
    </row>
    <row r="302">
      <c r="A302" s="2" t="s">
        <v>863</v>
      </c>
      <c r="B302" s="2" t="s">
        <v>864</v>
      </c>
      <c r="C302" s="2" t="s">
        <v>865</v>
      </c>
      <c r="D302" s="4"/>
    </row>
    <row r="303">
      <c r="A303" s="2" t="s">
        <v>866</v>
      </c>
      <c r="B303" s="2" t="s">
        <v>867</v>
      </c>
      <c r="C303" s="2" t="s">
        <v>868</v>
      </c>
      <c r="D303" s="4"/>
    </row>
    <row r="304">
      <c r="A304" s="2" t="s">
        <v>869</v>
      </c>
      <c r="B304" s="2" t="s">
        <v>870</v>
      </c>
      <c r="C304" s="2" t="s">
        <v>871</v>
      </c>
      <c r="D304" s="4"/>
    </row>
    <row r="305">
      <c r="A305" s="8"/>
      <c r="B305" s="6"/>
      <c r="C305" s="6"/>
      <c r="D305" s="7"/>
    </row>
    <row r="306">
      <c r="A306" s="2" t="s">
        <v>872</v>
      </c>
      <c r="B306" s="2" t="s">
        <v>873</v>
      </c>
      <c r="C306" s="2" t="s">
        <v>874</v>
      </c>
      <c r="D306" s="4"/>
    </row>
    <row r="307">
      <c r="A307" s="2" t="s">
        <v>875</v>
      </c>
      <c r="B307" s="2" t="s">
        <v>876</v>
      </c>
      <c r="C307" s="2" t="s">
        <v>877</v>
      </c>
      <c r="D307" s="4"/>
    </row>
    <row r="308">
      <c r="A308" s="2" t="s">
        <v>878</v>
      </c>
      <c r="B308" s="2" t="s">
        <v>879</v>
      </c>
      <c r="C308" s="2" t="s">
        <v>880</v>
      </c>
      <c r="D308" s="2" t="s">
        <v>881</v>
      </c>
    </row>
    <row r="309">
      <c r="A309" s="2" t="s">
        <v>882</v>
      </c>
      <c r="B309" s="2" t="s">
        <v>883</v>
      </c>
      <c r="C309" s="2" t="s">
        <v>884</v>
      </c>
      <c r="D309" s="4"/>
    </row>
    <row r="310">
      <c r="A310" s="2" t="s">
        <v>885</v>
      </c>
      <c r="B310" s="2" t="s">
        <v>886</v>
      </c>
      <c r="C310" s="2" t="s">
        <v>887</v>
      </c>
      <c r="D310" s="4"/>
    </row>
    <row r="311">
      <c r="A311" s="2" t="s">
        <v>888</v>
      </c>
      <c r="B311" s="2" t="s">
        <v>889</v>
      </c>
      <c r="C311" s="2" t="s">
        <v>890</v>
      </c>
      <c r="D311" s="4"/>
    </row>
    <row r="312">
      <c r="A312" s="2" t="s">
        <v>891</v>
      </c>
      <c r="B312" s="2" t="s">
        <v>892</v>
      </c>
      <c r="C312" s="2" t="s">
        <v>893</v>
      </c>
      <c r="D312" s="4"/>
    </row>
    <row r="313">
      <c r="A313" s="2" t="s">
        <v>894</v>
      </c>
      <c r="B313" s="2" t="s">
        <v>895</v>
      </c>
      <c r="C313" s="2" t="s">
        <v>896</v>
      </c>
      <c r="D313" s="4"/>
    </row>
    <row r="314">
      <c r="A314" s="2" t="s">
        <v>897</v>
      </c>
      <c r="B314" s="2" t="s">
        <v>898</v>
      </c>
      <c r="C314" s="2" t="s">
        <v>899</v>
      </c>
      <c r="D314" s="4"/>
    </row>
    <row r="315">
      <c r="A315" s="2" t="s">
        <v>900</v>
      </c>
      <c r="B315" s="2" t="s">
        <v>901</v>
      </c>
      <c r="C315" s="2" t="s">
        <v>902</v>
      </c>
      <c r="D315" s="4"/>
    </row>
    <row r="316">
      <c r="A316" s="2" t="s">
        <v>903</v>
      </c>
      <c r="B316" s="2" t="s">
        <v>904</v>
      </c>
      <c r="C316" s="2" t="s">
        <v>905</v>
      </c>
      <c r="D316" s="4"/>
    </row>
    <row r="317">
      <c r="A317" s="2" t="s">
        <v>906</v>
      </c>
      <c r="B317" s="2" t="s">
        <v>907</v>
      </c>
      <c r="C317" s="2" t="s">
        <v>908</v>
      </c>
      <c r="D317" s="4"/>
    </row>
    <row r="318">
      <c r="A318" s="2" t="s">
        <v>909</v>
      </c>
      <c r="B318" s="2" t="s">
        <v>910</v>
      </c>
      <c r="C318" s="2" t="s">
        <v>911</v>
      </c>
      <c r="D318" s="4"/>
    </row>
    <row r="319">
      <c r="A319" s="2" t="s">
        <v>912</v>
      </c>
      <c r="B319" s="2" t="s">
        <v>913</v>
      </c>
      <c r="C319" s="2" t="s">
        <v>914</v>
      </c>
      <c r="D319" s="4"/>
    </row>
    <row r="320" ht="13.5" customHeight="1">
      <c r="A320" s="2" t="s">
        <v>915</v>
      </c>
      <c r="B320" s="2" t="s">
        <v>916</v>
      </c>
      <c r="C320" s="2" t="s">
        <v>917</v>
      </c>
      <c r="D320" s="4"/>
    </row>
    <row r="321">
      <c r="A321" s="2" t="s">
        <v>918</v>
      </c>
      <c r="B321" s="2" t="s">
        <v>919</v>
      </c>
      <c r="C321" s="2" t="s">
        <v>920</v>
      </c>
      <c r="D321" s="4"/>
    </row>
    <row r="322">
      <c r="A322" s="2" t="s">
        <v>921</v>
      </c>
      <c r="B322" s="2" t="s">
        <v>922</v>
      </c>
      <c r="C322" s="2" t="s">
        <v>923</v>
      </c>
      <c r="D322" s="4"/>
    </row>
    <row r="323">
      <c r="A323" s="2" t="s">
        <v>924</v>
      </c>
      <c r="B323" s="2" t="s">
        <v>925</v>
      </c>
      <c r="C323" s="2" t="s">
        <v>926</v>
      </c>
      <c r="D323" s="4"/>
    </row>
    <row r="324">
      <c r="A324" s="8"/>
      <c r="B324" s="6"/>
      <c r="C324" s="6"/>
      <c r="D324" s="7"/>
    </row>
    <row r="325">
      <c r="A325" s="2" t="s">
        <v>927</v>
      </c>
      <c r="B325" s="2" t="s">
        <v>928</v>
      </c>
      <c r="C325" s="2" t="s">
        <v>929</v>
      </c>
      <c r="D325" s="4"/>
    </row>
    <row r="326">
      <c r="A326" s="2" t="s">
        <v>930</v>
      </c>
      <c r="B326" s="2" t="s">
        <v>931</v>
      </c>
      <c r="C326" s="2" t="s">
        <v>932</v>
      </c>
      <c r="D326" s="4"/>
    </row>
    <row r="327">
      <c r="A327" s="2" t="s">
        <v>933</v>
      </c>
      <c r="B327" s="2" t="s">
        <v>934</v>
      </c>
      <c r="C327" s="2" t="s">
        <v>935</v>
      </c>
      <c r="D327" s="4"/>
    </row>
    <row r="328">
      <c r="A328" s="2" t="s">
        <v>936</v>
      </c>
      <c r="B328" s="2" t="s">
        <v>937</v>
      </c>
      <c r="C328" s="2" t="s">
        <v>938</v>
      </c>
      <c r="D328" s="4"/>
    </row>
    <row r="329">
      <c r="A329" s="2" t="s">
        <v>939</v>
      </c>
      <c r="B329" s="2" t="s">
        <v>940</v>
      </c>
      <c r="C329" s="2" t="s">
        <v>941</v>
      </c>
      <c r="D329" s="4"/>
    </row>
    <row r="330">
      <c r="A330" s="2" t="s">
        <v>942</v>
      </c>
      <c r="B330" s="2" t="s">
        <v>943</v>
      </c>
      <c r="C330" s="2" t="s">
        <v>944</v>
      </c>
      <c r="D330" s="4"/>
    </row>
    <row r="331">
      <c r="A331" s="2" t="s">
        <v>945</v>
      </c>
      <c r="B331" s="2" t="s">
        <v>946</v>
      </c>
      <c r="C331" s="2" t="s">
        <v>947</v>
      </c>
      <c r="D331" s="4"/>
    </row>
    <row r="332">
      <c r="A332" s="2" t="s">
        <v>948</v>
      </c>
      <c r="B332" s="2" t="s">
        <v>949</v>
      </c>
      <c r="C332" s="2" t="s">
        <v>950</v>
      </c>
      <c r="D332" s="4"/>
    </row>
    <row r="333">
      <c r="A333" s="2" t="s">
        <v>951</v>
      </c>
      <c r="B333" s="2" t="s">
        <v>952</v>
      </c>
      <c r="C333" s="2" t="s">
        <v>953</v>
      </c>
      <c r="D333" s="4"/>
    </row>
    <row r="334">
      <c r="A334" s="2" t="s">
        <v>954</v>
      </c>
      <c r="B334" s="2" t="s">
        <v>955</v>
      </c>
      <c r="C334" s="2" t="s">
        <v>956</v>
      </c>
      <c r="D334" s="4"/>
    </row>
    <row r="335">
      <c r="A335" s="2" t="s">
        <v>957</v>
      </c>
      <c r="B335" s="2" t="s">
        <v>958</v>
      </c>
      <c r="C335" s="2" t="s">
        <v>959</v>
      </c>
      <c r="D335" s="4"/>
    </row>
    <row r="336">
      <c r="A336" s="2" t="s">
        <v>960</v>
      </c>
      <c r="B336" s="2" t="s">
        <v>961</v>
      </c>
      <c r="C336" s="2" t="s">
        <v>962</v>
      </c>
      <c r="D336" s="4"/>
    </row>
    <row r="337">
      <c r="A337" s="2" t="s">
        <v>963</v>
      </c>
      <c r="B337" s="2" t="s">
        <v>964</v>
      </c>
      <c r="C337" s="2" t="s">
        <v>965</v>
      </c>
      <c r="D337" s="4"/>
    </row>
    <row r="338">
      <c r="A338" s="2" t="s">
        <v>966</v>
      </c>
      <c r="B338" s="2" t="s">
        <v>967</v>
      </c>
      <c r="C338" s="2" t="s">
        <v>968</v>
      </c>
      <c r="D338" s="4"/>
    </row>
    <row r="339">
      <c r="A339" s="2" t="s">
        <v>969</v>
      </c>
      <c r="B339" s="2" t="s">
        <v>970</v>
      </c>
      <c r="C339" s="2" t="s">
        <v>971</v>
      </c>
      <c r="D339" s="4"/>
    </row>
    <row r="340">
      <c r="A340" s="2" t="s">
        <v>972</v>
      </c>
      <c r="B340" s="2" t="s">
        <v>973</v>
      </c>
      <c r="C340" s="2" t="s">
        <v>974</v>
      </c>
      <c r="D340" s="4"/>
    </row>
    <row r="341">
      <c r="A341" s="2" t="s">
        <v>975</v>
      </c>
      <c r="B341" s="2" t="s">
        <v>976</v>
      </c>
      <c r="C341" s="2" t="s">
        <v>977</v>
      </c>
      <c r="D341" s="4"/>
    </row>
    <row r="342">
      <c r="A342" s="8"/>
      <c r="B342" s="6"/>
      <c r="C342" s="6"/>
      <c r="D342" s="7"/>
    </row>
    <row r="343">
      <c r="A343" s="2" t="s">
        <v>978</v>
      </c>
      <c r="B343" s="2" t="s">
        <v>979</v>
      </c>
      <c r="C343" s="2" t="s">
        <v>980</v>
      </c>
      <c r="D343" s="10"/>
    </row>
    <row r="344">
      <c r="A344" s="2" t="s">
        <v>981</v>
      </c>
      <c r="B344" s="2" t="s">
        <v>982</v>
      </c>
      <c r="C344" s="2" t="s">
        <v>823</v>
      </c>
      <c r="D344" s="10"/>
    </row>
    <row r="345">
      <c r="A345" s="2" t="s">
        <v>983</v>
      </c>
      <c r="B345" s="2" t="s">
        <v>984</v>
      </c>
      <c r="C345" s="2" t="s">
        <v>985</v>
      </c>
      <c r="D345" s="10"/>
    </row>
    <row r="346">
      <c r="A346" s="2" t="s">
        <v>986</v>
      </c>
      <c r="B346" s="2" t="s">
        <v>987</v>
      </c>
      <c r="C346" s="2" t="s">
        <v>988</v>
      </c>
      <c r="D346" s="10"/>
    </row>
    <row r="347">
      <c r="A347" s="2" t="s">
        <v>989</v>
      </c>
      <c r="B347" s="2" t="s">
        <v>990</v>
      </c>
      <c r="C347" s="2" t="s">
        <v>991</v>
      </c>
      <c r="D347" s="10"/>
    </row>
    <row r="348">
      <c r="A348" s="2" t="s">
        <v>992</v>
      </c>
      <c r="B348" s="2" t="s">
        <v>993</v>
      </c>
      <c r="C348" s="2" t="s">
        <v>994</v>
      </c>
      <c r="D348" s="10"/>
    </row>
    <row r="349">
      <c r="A349" s="2" t="s">
        <v>995</v>
      </c>
      <c r="B349" s="2" t="s">
        <v>996</v>
      </c>
      <c r="C349" s="2" t="s">
        <v>997</v>
      </c>
      <c r="D349" s="10"/>
    </row>
    <row r="350">
      <c r="A350" s="2" t="s">
        <v>998</v>
      </c>
      <c r="B350" s="2" t="s">
        <v>999</v>
      </c>
      <c r="C350" s="2" t="s">
        <v>1000</v>
      </c>
      <c r="D350" s="10"/>
    </row>
    <row r="351">
      <c r="A351" s="2" t="s">
        <v>1001</v>
      </c>
      <c r="B351" s="2" t="s">
        <v>1002</v>
      </c>
      <c r="C351" s="2" t="s">
        <v>1003</v>
      </c>
      <c r="D351" s="10"/>
    </row>
    <row r="352">
      <c r="A352" s="2" t="s">
        <v>1004</v>
      </c>
      <c r="B352" s="2" t="s">
        <v>1005</v>
      </c>
      <c r="C352" s="2" t="s">
        <v>1006</v>
      </c>
      <c r="D352" s="10"/>
    </row>
    <row r="353">
      <c r="A353" s="2" t="s">
        <v>1007</v>
      </c>
      <c r="B353" s="2" t="s">
        <v>1008</v>
      </c>
      <c r="C353" s="2" t="s">
        <v>1009</v>
      </c>
      <c r="D353" s="10"/>
    </row>
    <row r="354">
      <c r="A354" s="2" t="s">
        <v>1010</v>
      </c>
      <c r="B354" s="2" t="s">
        <v>1011</v>
      </c>
      <c r="C354" s="2" t="s">
        <v>1012</v>
      </c>
      <c r="D354" s="10"/>
    </row>
    <row r="355">
      <c r="A355" s="2" t="s">
        <v>1013</v>
      </c>
      <c r="B355" s="2" t="s">
        <v>1014</v>
      </c>
      <c r="C355" s="2" t="s">
        <v>1015</v>
      </c>
      <c r="D355" s="10"/>
    </row>
    <row r="356">
      <c r="A356" s="2" t="s">
        <v>1016</v>
      </c>
      <c r="B356" s="2" t="s">
        <v>1017</v>
      </c>
      <c r="C356" s="2" t="s">
        <v>1018</v>
      </c>
      <c r="D356" s="10"/>
    </row>
    <row r="357">
      <c r="A357" s="2" t="s">
        <v>1019</v>
      </c>
      <c r="B357" s="2" t="s">
        <v>1020</v>
      </c>
      <c r="C357" s="2" t="s">
        <v>1021</v>
      </c>
      <c r="D357" s="10"/>
    </row>
    <row r="358">
      <c r="A358" s="2" t="s">
        <v>1022</v>
      </c>
      <c r="B358" s="2" t="s">
        <v>1023</v>
      </c>
      <c r="C358" s="2" t="s">
        <v>1024</v>
      </c>
      <c r="D358" s="10"/>
    </row>
    <row r="359">
      <c r="A359" s="2" t="s">
        <v>1025</v>
      </c>
      <c r="B359" s="2" t="s">
        <v>1026</v>
      </c>
      <c r="C359" s="2" t="s">
        <v>1027</v>
      </c>
      <c r="D359" s="4"/>
    </row>
    <row r="360">
      <c r="A360" s="2" t="s">
        <v>1028</v>
      </c>
      <c r="B360" s="2" t="s">
        <v>1029</v>
      </c>
      <c r="C360" s="2" t="s">
        <v>1030</v>
      </c>
      <c r="D360" s="4"/>
    </row>
    <row r="361">
      <c r="A361" s="8"/>
      <c r="B361" s="6"/>
      <c r="C361" s="6"/>
      <c r="D361" s="7"/>
    </row>
    <row r="362">
      <c r="A362" s="2" t="s">
        <v>1031</v>
      </c>
      <c r="B362" s="2" t="s">
        <v>1032</v>
      </c>
      <c r="C362" s="2" t="s">
        <v>1033</v>
      </c>
      <c r="D362" s="4"/>
    </row>
    <row r="363">
      <c r="A363" s="2" t="s">
        <v>1034</v>
      </c>
      <c r="B363" s="2" t="s">
        <v>1035</v>
      </c>
      <c r="C363" s="2" t="s">
        <v>1036</v>
      </c>
      <c r="D363" s="4"/>
    </row>
    <row r="364">
      <c r="A364" s="2" t="s">
        <v>1037</v>
      </c>
      <c r="B364" s="2" t="s">
        <v>1038</v>
      </c>
      <c r="C364" s="2" t="s">
        <v>1039</v>
      </c>
      <c r="D364" s="4"/>
    </row>
    <row r="365">
      <c r="A365" s="2" t="s">
        <v>1040</v>
      </c>
      <c r="B365" s="2" t="s">
        <v>1041</v>
      </c>
      <c r="C365" s="2" t="s">
        <v>1042</v>
      </c>
      <c r="D365" s="4"/>
    </row>
    <row r="366">
      <c r="A366" s="2" t="s">
        <v>1043</v>
      </c>
      <c r="B366" s="2" t="s">
        <v>1044</v>
      </c>
      <c r="C366" s="2" t="s">
        <v>1045</v>
      </c>
      <c r="D366" s="4"/>
    </row>
    <row r="367">
      <c r="A367" s="2" t="s">
        <v>1046</v>
      </c>
      <c r="B367" s="2" t="s">
        <v>1047</v>
      </c>
      <c r="C367" s="2" t="s">
        <v>1048</v>
      </c>
      <c r="D367" s="4"/>
    </row>
    <row r="368">
      <c r="A368" s="2" t="s">
        <v>1049</v>
      </c>
      <c r="B368" s="2" t="s">
        <v>1050</v>
      </c>
      <c r="C368" s="2" t="s">
        <v>1051</v>
      </c>
      <c r="D368" s="4"/>
    </row>
    <row r="369">
      <c r="A369" s="2" t="s">
        <v>1052</v>
      </c>
      <c r="B369" s="2" t="s">
        <v>1053</v>
      </c>
      <c r="C369" s="2" t="s">
        <v>1054</v>
      </c>
      <c r="D369" s="4"/>
    </row>
    <row r="370">
      <c r="A370" s="2" t="s">
        <v>1055</v>
      </c>
      <c r="B370" s="2" t="s">
        <v>1056</v>
      </c>
      <c r="C370" s="9" t="s">
        <v>1057</v>
      </c>
      <c r="D370" s="4"/>
    </row>
    <row r="371">
      <c r="A371" s="2" t="s">
        <v>1058</v>
      </c>
      <c r="B371" s="2" t="s">
        <v>1059</v>
      </c>
      <c r="C371" s="2" t="s">
        <v>1060</v>
      </c>
      <c r="D371" s="4"/>
    </row>
    <row r="372">
      <c r="A372" s="2" t="s">
        <v>1061</v>
      </c>
      <c r="B372" s="2" t="s">
        <v>1062</v>
      </c>
      <c r="C372" s="2" t="s">
        <v>1063</v>
      </c>
      <c r="D372" s="4"/>
    </row>
    <row r="373">
      <c r="A373" s="2" t="s">
        <v>1064</v>
      </c>
      <c r="B373" s="2" t="s">
        <v>1065</v>
      </c>
      <c r="C373" s="2" t="s">
        <v>1066</v>
      </c>
      <c r="D373" s="4"/>
    </row>
    <row r="374">
      <c r="A374" s="2" t="s">
        <v>1067</v>
      </c>
      <c r="B374" s="2" t="s">
        <v>1068</v>
      </c>
      <c r="C374" s="2" t="s">
        <v>1069</v>
      </c>
      <c r="D374" s="4"/>
    </row>
    <row r="375">
      <c r="A375" s="2" t="s">
        <v>1070</v>
      </c>
      <c r="B375" s="2" t="s">
        <v>1071</v>
      </c>
      <c r="C375" s="2" t="s">
        <v>1072</v>
      </c>
      <c r="D375" s="4"/>
    </row>
    <row r="376">
      <c r="A376" s="2" t="s">
        <v>1073</v>
      </c>
      <c r="B376" s="2" t="s">
        <v>1074</v>
      </c>
      <c r="C376" s="2" t="s">
        <v>1075</v>
      </c>
      <c r="D376" s="4"/>
    </row>
    <row r="377">
      <c r="A377" s="2" t="s">
        <v>1076</v>
      </c>
      <c r="B377" s="2" t="s">
        <v>1077</v>
      </c>
      <c r="C377" s="2" t="s">
        <v>1078</v>
      </c>
      <c r="D377" s="4"/>
    </row>
    <row r="378">
      <c r="A378" s="2" t="s">
        <v>1079</v>
      </c>
      <c r="B378" s="2" t="s">
        <v>1080</v>
      </c>
      <c r="C378" s="2" t="s">
        <v>1081</v>
      </c>
      <c r="D378" s="4"/>
    </row>
    <row r="379">
      <c r="A379" s="2" t="s">
        <v>1082</v>
      </c>
      <c r="B379" s="2" t="s">
        <v>1083</v>
      </c>
      <c r="C379" s="2" t="s">
        <v>1084</v>
      </c>
      <c r="D379" s="4"/>
    </row>
    <row r="380">
      <c r="A380" s="8"/>
      <c r="B380" s="6"/>
      <c r="C380" s="6"/>
      <c r="D380" s="7"/>
    </row>
    <row r="381">
      <c r="A381" s="2" t="s">
        <v>1085</v>
      </c>
      <c r="B381" s="2" t="s">
        <v>1086</v>
      </c>
      <c r="C381" s="2" t="s">
        <v>1087</v>
      </c>
      <c r="D381" s="4"/>
    </row>
    <row r="382">
      <c r="A382" s="2" t="s">
        <v>1088</v>
      </c>
      <c r="B382" s="2" t="s">
        <v>1089</v>
      </c>
      <c r="C382" s="2" t="s">
        <v>1090</v>
      </c>
      <c r="D382" s="4"/>
    </row>
    <row r="383">
      <c r="A383" s="2" t="s">
        <v>1091</v>
      </c>
      <c r="B383" s="2" t="s">
        <v>1092</v>
      </c>
      <c r="C383" s="2" t="s">
        <v>1093</v>
      </c>
      <c r="D383" s="4"/>
    </row>
    <row r="384">
      <c r="A384" s="2" t="s">
        <v>1094</v>
      </c>
      <c r="B384" s="2" t="s">
        <v>1095</v>
      </c>
      <c r="C384" s="2" t="s">
        <v>1096</v>
      </c>
      <c r="D384" s="4"/>
    </row>
    <row r="385">
      <c r="A385" s="2" t="s">
        <v>1097</v>
      </c>
      <c r="B385" s="2" t="s">
        <v>1098</v>
      </c>
      <c r="C385" s="2" t="s">
        <v>1099</v>
      </c>
      <c r="D385" s="4"/>
    </row>
    <row r="386">
      <c r="A386" s="2" t="s">
        <v>1100</v>
      </c>
      <c r="B386" s="2" t="s">
        <v>1101</v>
      </c>
      <c r="C386" s="2" t="s">
        <v>1102</v>
      </c>
      <c r="D386" s="4"/>
    </row>
    <row r="387">
      <c r="A387" s="2" t="s">
        <v>1103</v>
      </c>
      <c r="B387" s="2" t="s">
        <v>1104</v>
      </c>
      <c r="C387" s="2" t="s">
        <v>1105</v>
      </c>
      <c r="D387" s="4"/>
    </row>
    <row r="388">
      <c r="A388" s="2" t="s">
        <v>1106</v>
      </c>
      <c r="B388" s="2" t="s">
        <v>1107</v>
      </c>
      <c r="C388" s="2" t="s">
        <v>1108</v>
      </c>
      <c r="D388" s="4"/>
    </row>
    <row r="389">
      <c r="A389" s="2" t="s">
        <v>1109</v>
      </c>
      <c r="B389" s="2" t="s">
        <v>1110</v>
      </c>
      <c r="C389" s="2" t="s">
        <v>1111</v>
      </c>
      <c r="D389" s="4"/>
    </row>
    <row r="390">
      <c r="A390" s="2" t="s">
        <v>1112</v>
      </c>
      <c r="B390" s="2" t="s">
        <v>1113</v>
      </c>
      <c r="C390" s="2" t="s">
        <v>1114</v>
      </c>
      <c r="D390" s="4"/>
    </row>
    <row r="391">
      <c r="A391" s="2" t="s">
        <v>1115</v>
      </c>
      <c r="B391" s="2" t="s">
        <v>1116</v>
      </c>
      <c r="C391" s="2" t="s">
        <v>1117</v>
      </c>
      <c r="D391" s="4"/>
    </row>
    <row r="392">
      <c r="A392" s="2" t="s">
        <v>1118</v>
      </c>
      <c r="B392" s="2" t="s">
        <v>1119</v>
      </c>
      <c r="C392" s="2" t="s">
        <v>1120</v>
      </c>
      <c r="D392" s="4"/>
    </row>
    <row r="393">
      <c r="A393" s="2" t="s">
        <v>1121</v>
      </c>
      <c r="B393" s="2" t="s">
        <v>1122</v>
      </c>
      <c r="C393" s="2" t="s">
        <v>1123</v>
      </c>
      <c r="D393" s="4"/>
    </row>
    <row r="394">
      <c r="A394" s="2" t="s">
        <v>1124</v>
      </c>
      <c r="B394" s="2" t="s">
        <v>1125</v>
      </c>
      <c r="C394" s="2" t="s">
        <v>1126</v>
      </c>
      <c r="D394" s="4"/>
    </row>
    <row r="395">
      <c r="A395" s="2" t="s">
        <v>1127</v>
      </c>
      <c r="B395" s="2" t="s">
        <v>1128</v>
      </c>
      <c r="C395" s="2" t="s">
        <v>1129</v>
      </c>
      <c r="D395" s="4"/>
    </row>
    <row r="396">
      <c r="A396" s="2" t="s">
        <v>1130</v>
      </c>
      <c r="B396" s="2" t="s">
        <v>1131</v>
      </c>
      <c r="C396" s="2" t="s">
        <v>1132</v>
      </c>
      <c r="D396" s="4"/>
    </row>
    <row r="397">
      <c r="A397" s="2" t="s">
        <v>1133</v>
      </c>
      <c r="B397" s="2" t="s">
        <v>1134</v>
      </c>
      <c r="C397" s="2" t="s">
        <v>1135</v>
      </c>
      <c r="D397" s="4"/>
    </row>
    <row r="398">
      <c r="A398" s="2" t="s">
        <v>1136</v>
      </c>
      <c r="B398" s="2" t="s">
        <v>1137</v>
      </c>
      <c r="C398" s="2" t="s">
        <v>1138</v>
      </c>
      <c r="D398" s="4"/>
    </row>
  </sheetData>
  <mergeCells count="20">
    <mergeCell ref="A286:D286"/>
    <mergeCell ref="A229:D229"/>
    <mergeCell ref="A248:D248"/>
    <mergeCell ref="A267:D267"/>
    <mergeCell ref="A153:D153"/>
    <mergeCell ref="A134:D134"/>
    <mergeCell ref="A191:D191"/>
    <mergeCell ref="A172:D172"/>
    <mergeCell ref="A342:D342"/>
    <mergeCell ref="A324:D324"/>
    <mergeCell ref="A361:D361"/>
    <mergeCell ref="A380:D380"/>
    <mergeCell ref="A39:D39"/>
    <mergeCell ref="A77:D77"/>
    <mergeCell ref="A58:D58"/>
    <mergeCell ref="A115:D115"/>
    <mergeCell ref="A96:D96"/>
    <mergeCell ref="A20:D20"/>
    <mergeCell ref="A305:D305"/>
    <mergeCell ref="A210:D2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2.75"/>
  <cols>
    <col customWidth="1" min="1" max="2" width="17.29"/>
    <col customWidth="1" min="3" max="3" width="50.71"/>
    <col customWidth="1" min="4" max="4" width="8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tr">
        <f t="shared" ref="B2:B19" si="1">tra(A2)</f>
        <v>ULB UFL</v>
      </c>
      <c r="C2" s="3" t="str">
        <f>exc("x L2 [L' U' L;D2] L2x'")</f>
        <v>x L U' L D2 L' U L D2 L2 x' </v>
      </c>
      <c r="D2" s="2" t="s">
        <v>5</v>
      </c>
    </row>
    <row r="3">
      <c r="A3" s="2" t="s">
        <v>6</v>
      </c>
      <c r="B3" s="3" t="str">
        <f t="shared" si="1"/>
        <v>ULB UFR</v>
      </c>
      <c r="C3" s="3" t="str">
        <f>INV(MIR(C2))</f>
        <v>x R2 D2 R U R' D2 R U' R x' </v>
      </c>
      <c r="D3" s="4"/>
    </row>
    <row r="4">
      <c r="A4" s="2" t="s">
        <v>7</v>
      </c>
      <c r="B4" s="3" t="str">
        <f t="shared" si="1"/>
        <v>ULB DFR</v>
      </c>
      <c r="C4" s="3" t="str">
        <f>EXC("R' D R[R D' R'; U]R' D' R")</f>
        <v>R' D R2 D' R' U R D R' U' R' D' R </v>
      </c>
      <c r="D4" s="4"/>
    </row>
    <row r="5">
      <c r="A5" s="2" t="s">
        <v>14</v>
      </c>
      <c r="B5" s="3" t="str">
        <f t="shared" si="1"/>
        <v>ULB DLF</v>
      </c>
      <c r="C5" s="3" t="str">
        <f>EXC("[R U R' U';L2]")</f>
        <v>R U R' U' L2 U R U' R' L2 </v>
      </c>
      <c r="D5" s="3" t="str">
        <f>exc("R:D4U")</f>
        <v>R D U </v>
      </c>
    </row>
    <row r="6">
      <c r="A6" s="2" t="s">
        <v>18</v>
      </c>
      <c r="B6" s="3" t="str">
        <f t="shared" si="1"/>
        <v>ULB DBL</v>
      </c>
      <c r="C6" s="2" t="s">
        <v>20</v>
      </c>
      <c r="D6" s="4"/>
    </row>
    <row r="7">
      <c r="A7" s="2" t="s">
        <v>21</v>
      </c>
      <c r="B7" s="3" t="str">
        <f t="shared" si="1"/>
        <v>ULB DRB</v>
      </c>
      <c r="C7" s="3" t="str">
        <f>EXC("[R2 D R2 D' R2; U']")</f>
        <v>R2 D R2 D' R2 U' R2 D R2 D' R2 U </v>
      </c>
      <c r="D7" s="3" t="str">
        <f>mirror("R U R'U'")</f>
        <v>L' U' LU</v>
      </c>
    </row>
    <row r="8">
      <c r="A8" s="2" t="s">
        <v>24</v>
      </c>
      <c r="B8" s="3" t="str">
        <f t="shared" si="1"/>
        <v>ULB FRU</v>
      </c>
      <c r="C8" s="2" t="s">
        <v>26</v>
      </c>
      <c r="D8" s="4"/>
    </row>
    <row r="9">
      <c r="A9" s="2" t="s">
        <v>27</v>
      </c>
      <c r="B9" s="3" t="str">
        <f t="shared" si="1"/>
        <v>ULB FUL</v>
      </c>
      <c r="C9" s="2" t="s">
        <v>29</v>
      </c>
      <c r="D9" s="4"/>
    </row>
    <row r="10">
      <c r="A10" s="2" t="s">
        <v>30</v>
      </c>
      <c r="B10" s="3" t="str">
        <f t="shared" si="1"/>
        <v>ULB FLD</v>
      </c>
      <c r="C10" s="3" t="str">
        <f>EXC("[R D2 R' ; U]")</f>
        <v>R D2 R' U R D2 R' U' </v>
      </c>
      <c r="D10" s="4"/>
    </row>
    <row r="11">
      <c r="A11" s="2" t="s">
        <v>33</v>
      </c>
      <c r="B11" s="3" t="str">
        <f t="shared" si="1"/>
        <v>ULB FRD</v>
      </c>
      <c r="C11" s="3" t="str">
        <f>INV(MIR(C10))</f>
        <v>U' L' D2 L U L' D2 L </v>
      </c>
      <c r="D11" s="4"/>
    </row>
    <row r="12">
      <c r="A12" s="2" t="s">
        <v>36</v>
      </c>
      <c r="B12" s="3" t="str">
        <f t="shared" si="1"/>
        <v>ULB BRD</v>
      </c>
      <c r="C12" s="3" t="str">
        <f>EXC("y[R' D' R; U]y'")</f>
        <v>y R' D' R U R' D R U' y' </v>
      </c>
      <c r="D12" s="2" t="s">
        <v>39</v>
      </c>
    </row>
    <row r="13">
      <c r="A13" s="2" t="s">
        <v>40</v>
      </c>
      <c r="B13" s="3" t="str">
        <f t="shared" si="1"/>
        <v>ULB BDL</v>
      </c>
      <c r="C13" s="3" t="str">
        <f>EXC("U2[U';R' D2 R]U2")</f>
        <v>U R' D2 R U R' D2 R U2 </v>
      </c>
      <c r="D13" s="4"/>
    </row>
    <row r="14">
      <c r="A14" s="2" t="s">
        <v>43</v>
      </c>
      <c r="B14" s="3" t="str">
        <f t="shared" si="1"/>
        <v>ULB LBD</v>
      </c>
      <c r="C14" s="3" t="str">
        <f>EXC("[R D' R'; U]")</f>
        <v>R D' R' U R D R' U' </v>
      </c>
      <c r="D14" s="4"/>
    </row>
    <row r="15">
      <c r="A15" s="2" t="s">
        <v>46</v>
      </c>
      <c r="B15" s="3" t="str">
        <f t="shared" si="1"/>
        <v>ULB RUF</v>
      </c>
      <c r="C15" s="3" t="str">
        <f>EXC("U R2[R' U2 R; D]R2 U'")</f>
        <v>U R U2 R D R' U2 R D' R2 U' </v>
      </c>
      <c r="D15" s="4"/>
    </row>
    <row r="16">
      <c r="A16" s="2" t="s">
        <v>49</v>
      </c>
      <c r="B16" s="3" t="str">
        <f t="shared" si="1"/>
        <v>ULB RFD</v>
      </c>
      <c r="C16" s="3" t="str">
        <f>EXC("U2[U'; R' D' R]U2")</f>
        <v>U R' D' R U R' D R U2 </v>
      </c>
      <c r="D16" s="4"/>
    </row>
    <row r="17">
      <c r="A17" s="2" t="s">
        <v>52</v>
      </c>
      <c r="B17" s="3" t="str">
        <f t="shared" si="1"/>
        <v>ULB RBD</v>
      </c>
      <c r="C17" s="3" t="str">
        <f>EXC("[R D R'; U]")</f>
        <v>R D R' U R D' R' U' </v>
      </c>
      <c r="D17" s="4"/>
    </row>
    <row r="18">
      <c r="A18" s="2" t="s">
        <v>55</v>
      </c>
      <c r="B18" s="3" t="str">
        <f t="shared" si="1"/>
        <v>ULB LFU</v>
      </c>
      <c r="C18" s="3" t="str">
        <f>EXC("U R2[D'; R U2 R']R2 U'")</f>
        <v>U R2 D' R U2 R' D R U2 R U' </v>
      </c>
      <c r="D18" s="4"/>
    </row>
    <row r="19">
      <c r="A19" s="2" t="s">
        <v>58</v>
      </c>
      <c r="B19" s="3" t="str">
        <f t="shared" si="1"/>
        <v>ULB LDF</v>
      </c>
      <c r="C19" s="3" t="str">
        <f>EXC("U2[U'; R' D R]U2")</f>
        <v>U R' D R U R' D' R U2 </v>
      </c>
      <c r="D19" s="4"/>
    </row>
    <row r="20">
      <c r="A20" s="5"/>
      <c r="B20" s="6"/>
      <c r="C20" s="6"/>
      <c r="D20" s="7"/>
    </row>
    <row r="21">
      <c r="A21" s="2" t="s">
        <v>61</v>
      </c>
      <c r="B21" s="3" t="str">
        <f t="shared" ref="B21:B38" si="2">tra(A21)</f>
        <v>UFL ULB</v>
      </c>
      <c r="C21" s="3" t="str">
        <f>EXC(INV(C2))</f>
        <v>x L2 D2 L' U' L D2 L' U L' x' </v>
      </c>
      <c r="D21" s="4"/>
    </row>
    <row r="22">
      <c r="A22" s="2" t="s">
        <v>64</v>
      </c>
      <c r="B22" s="3" t="str">
        <f t="shared" si="2"/>
        <v>UFL UFR</v>
      </c>
      <c r="C22" s="3" t="str">
        <f>EXC("x' R2 [R' U' R; D2] R2 x")</f>
        <v>x' R U' R D2 R' U R D2 R2 x </v>
      </c>
      <c r="D22" s="4"/>
    </row>
    <row r="23">
      <c r="A23" s="2" t="s">
        <v>67</v>
      </c>
      <c r="B23" s="3" t="str">
        <f t="shared" si="2"/>
        <v>UFL LBU</v>
      </c>
      <c r="C23" s="3" t="str">
        <f>EXC("U' x R2[D2; R U2 R']R2 x' U")</f>
        <v>U' x R2 D2 R U2 R' D2 R U2 R x' U </v>
      </c>
      <c r="D23" s="4"/>
    </row>
    <row r="24">
      <c r="A24" s="2" t="s">
        <v>70</v>
      </c>
      <c r="B24" s="3" t="str">
        <f t="shared" si="2"/>
        <v>UFL DFR</v>
      </c>
      <c r="C24" s="3" t="str">
        <f>EXC("R' D R[R D' R';U2]R' D' R")</f>
        <v>R' D R2 D' R' U2 R D R' U2 R' D' R </v>
      </c>
      <c r="D24" s="4"/>
    </row>
    <row r="25">
      <c r="A25" s="2" t="s">
        <v>73</v>
      </c>
      <c r="B25" s="3" t="str">
        <f t="shared" si="2"/>
        <v>UFL DLF</v>
      </c>
      <c r="C25" s="3" t="str">
        <f>EXC("R U[U R' U';L2]U' R'")</f>
        <v>R U2 R' U' L2 U R U' L2 U' R' </v>
      </c>
      <c r="D25" s="4"/>
    </row>
    <row r="26">
      <c r="A26" s="2" t="s">
        <v>76</v>
      </c>
      <c r="B26" s="3" t="str">
        <f t="shared" si="2"/>
        <v>UFL DBL </v>
      </c>
      <c r="C26" s="3" t="str">
        <f>EXC("D2 R' D R[R D' R'; U2]R' D' R D2")</f>
        <v>D2 R' D R2 D' R' U2 R D R' U2 R' D' R D2 </v>
      </c>
      <c r="D26" s="4"/>
    </row>
    <row r="27">
      <c r="A27" s="2" t="s">
        <v>79</v>
      </c>
      <c r="B27" s="3" t="str">
        <f t="shared" si="2"/>
        <v>UFL DRB </v>
      </c>
      <c r="C27" s="3" t="str">
        <f>EXC("[R2 D R2 D' R2; U2]")</f>
        <v>R2 D R2 D' R2 U2 R2 D R2 D' R2 U2 </v>
      </c>
      <c r="D27" s="4"/>
    </row>
    <row r="28">
      <c r="A28" s="2" t="s">
        <v>82</v>
      </c>
      <c r="B28" s="3" t="str">
        <f t="shared" si="2"/>
        <v>UFL FRU</v>
      </c>
      <c r="C28" s="3" t="str">
        <f>EXC("R D[U2;R D' R']D' R")</f>
        <v>R D U2 R D' R' U2 R D R' D' R </v>
      </c>
      <c r="D28" s="4"/>
    </row>
    <row r="29">
      <c r="A29" s="2" t="s">
        <v>85</v>
      </c>
      <c r="B29" s="3" t="str">
        <f t="shared" si="2"/>
        <v>UFL FLD</v>
      </c>
      <c r="C29" s="3" t="str">
        <f>EXC("[R D2 R';U2]")</f>
        <v>R D2 R' U2 R D2 R' U2 </v>
      </c>
      <c r="D29" s="4"/>
    </row>
    <row r="30">
      <c r="A30" s="2" t="s">
        <v>88</v>
      </c>
      <c r="B30" s="3" t="str">
        <f t="shared" si="2"/>
        <v>UFL FRD</v>
      </c>
      <c r="C30" s="3" t="str">
        <f>EXC(C37)</f>
        <v>R D R' U2 R D' R' U2 </v>
      </c>
      <c r="D30" s="4"/>
    </row>
    <row r="31">
      <c r="A31" s="2" t="s">
        <v>91</v>
      </c>
      <c r="B31" s="3" t="str">
        <f t="shared" si="2"/>
        <v>UFL BUL</v>
      </c>
      <c r="C31" s="3" t="str">
        <f>EXC("x' R2[R' U2 R; D2]R2 x")</f>
        <v>x' R U2 R D2 R' U2 R D2 R2 x </v>
      </c>
      <c r="D31" s="2" t="s">
        <v>94</v>
      </c>
    </row>
    <row r="32">
      <c r="A32" s="2" t="s">
        <v>95</v>
      </c>
      <c r="B32" s="3" t="str">
        <f t="shared" si="2"/>
        <v>UFL BRD</v>
      </c>
      <c r="C32" s="3" t="str">
        <f>EXC("[U2;L D2 L']")</f>
        <v>U2 L D2 L' U2 L D2 L' </v>
      </c>
      <c r="D32" s="4"/>
    </row>
    <row r="33">
      <c r="A33" s="2" t="s">
        <v>98</v>
      </c>
      <c r="B33" s="3" t="str">
        <f t="shared" si="2"/>
        <v>UFL BDL</v>
      </c>
      <c r="C33" s="3" t="str">
        <f>EXC("D' [R D R';U2] D")</f>
        <v>D' R D R' U2 R D' R' U2 D </v>
      </c>
      <c r="D33" s="4"/>
    </row>
    <row r="34">
      <c r="A34" s="2" t="s">
        <v>101</v>
      </c>
      <c r="B34" s="3" t="str">
        <f t="shared" si="2"/>
        <v>UFL LBD</v>
      </c>
      <c r="C34" s="3" t="str">
        <f>EXC("[R D R';U2]")</f>
        <v>R D R' U2 R D' R' U2 </v>
      </c>
      <c r="D34" s="4"/>
    </row>
    <row r="35">
      <c r="A35" s="2" t="s">
        <v>103</v>
      </c>
      <c r="B35" s="3" t="str">
        <f t="shared" si="2"/>
        <v>UFL RUF</v>
      </c>
      <c r="C35" s="3" t="str">
        <f>EXC("U x R2 [R U2 R'; D2] R2 x' U'")</f>
        <v>U x R' U2 R' D2 R U2 R' D2 R2 x' U' </v>
      </c>
      <c r="D35" s="4"/>
    </row>
    <row r="36">
      <c r="A36" s="2" t="s">
        <v>106</v>
      </c>
      <c r="B36" s="3" t="str">
        <f t="shared" si="2"/>
        <v>UFL RFD</v>
      </c>
      <c r="C36" s="3" t="str">
        <f>EXC("U[R' D' R;U2]U'")</f>
        <v>U R' D' R U2 R' D R U </v>
      </c>
      <c r="D36" s="4"/>
    </row>
    <row r="37">
      <c r="A37" s="2" t="s">
        <v>109</v>
      </c>
      <c r="B37" s="3" t="str">
        <f t="shared" si="2"/>
        <v>UFL RBD</v>
      </c>
      <c r="C37" s="3" t="str">
        <f>EXC("[R D R'; U2]")</f>
        <v>R D R' U2 R D' R' U2 </v>
      </c>
      <c r="D37" s="4"/>
    </row>
    <row r="38">
      <c r="A38" s="2" t="s">
        <v>111</v>
      </c>
      <c r="B38" s="3" t="str">
        <f t="shared" si="2"/>
        <v>UFL LDF</v>
      </c>
      <c r="C38" s="3" t="str">
        <f>EXC("U [R' D R;U2] U'")</f>
        <v>U R' D R U2 R' D' R U </v>
      </c>
      <c r="D38" s="4"/>
    </row>
    <row r="39">
      <c r="A39" s="8"/>
      <c r="B39" s="6"/>
      <c r="C39" s="6"/>
      <c r="D39" s="7"/>
    </row>
    <row r="40">
      <c r="A40" s="2" t="s">
        <v>114</v>
      </c>
      <c r="B40" s="3" t="str">
        <f t="shared" ref="B40:B57" si="3">tra(A40)</f>
        <v>UFR ULB</v>
      </c>
      <c r="C40" s="3" t="str">
        <f>EXC("x R2[R U R' ;D2]R2 x'")</f>
        <v>x R' U R' D2 R U' R' D2 R2 x' </v>
      </c>
      <c r="D40" s="4"/>
    </row>
    <row r="41">
      <c r="A41" s="2" t="s">
        <v>117</v>
      </c>
      <c r="B41" s="3" t="str">
        <f t="shared" si="3"/>
        <v>UFR UFL</v>
      </c>
      <c r="C41" s="3" t="str">
        <f>EXC("x' R2[ D2;R' U' R ]R2x")</f>
        <v>x' R2 D2 R' U' R D2 R' U R' x </v>
      </c>
      <c r="D41" s="4"/>
    </row>
    <row r="42">
      <c r="A42" s="2" t="s">
        <v>120</v>
      </c>
      <c r="B42" s="3" t="str">
        <f t="shared" si="3"/>
        <v>UFR LBU</v>
      </c>
      <c r="C42" s="3" t="str">
        <f>EXC("R2[D; R' U R]R2")</f>
        <v>R2 D R' U R D' R' U' R' </v>
      </c>
      <c r="D42" s="4"/>
    </row>
    <row r="43">
      <c r="A43" s="2" t="s">
        <v>123</v>
      </c>
      <c r="B43" s="3" t="str">
        <f t="shared" si="3"/>
        <v>UFR DFR</v>
      </c>
      <c r="C43" s="3" t="str">
        <f>EXC("D' x' [R U R';D2] x D")</f>
        <v>D' x' R U R' D2 R U' R' D2 x D </v>
      </c>
      <c r="D43" s="4"/>
    </row>
    <row r="44">
      <c r="A44" s="2" t="s">
        <v>126</v>
      </c>
      <c r="B44" s="3" t="str">
        <f t="shared" si="3"/>
        <v>UFR DLF</v>
      </c>
      <c r="C44" s="3" t="str">
        <f>EXC("x'[R U R';D2]x")</f>
        <v>x' R U R' D2 R U' R' D2 x </v>
      </c>
      <c r="D44" s="4"/>
    </row>
    <row r="45">
      <c r="A45" s="2" t="s">
        <v>129</v>
      </c>
      <c r="B45" s="3" t="str">
        <f t="shared" si="3"/>
        <v>UFR DBL</v>
      </c>
      <c r="C45" s="3" t="str">
        <f>EXC("x[D2; R' U' R]x'")</f>
        <v>x D2 R' U' R D2 R' U R x' </v>
      </c>
      <c r="D45" s="4"/>
    </row>
    <row r="46">
      <c r="A46" s="2" t="s">
        <v>132</v>
      </c>
      <c r="B46" s="3" t="str">
        <f t="shared" si="3"/>
        <v>UFR DRB</v>
      </c>
      <c r="C46" s="3" t="str">
        <f>EXC("[R2 D R2 D' R2; U']")</f>
        <v>R2 D R2 D' R2 U' R2 D R2 D' R2 U </v>
      </c>
      <c r="D46" s="4"/>
    </row>
    <row r="47">
      <c r="A47" s="2" t="s">
        <v>134</v>
      </c>
      <c r="B47" s="3" t="str">
        <f t="shared" si="3"/>
        <v>UFR FUL</v>
      </c>
      <c r="C47" s="3" t="str">
        <f>EXC("R2[D; R' U2 R]R2")</f>
        <v>R2 D R' U2 R D' R' U2 R' </v>
      </c>
      <c r="D47" s="4"/>
    </row>
    <row r="48">
      <c r="A48" s="2" t="s">
        <v>137</v>
      </c>
      <c r="B48" s="3" t="str">
        <f t="shared" si="3"/>
        <v>UFR FLD</v>
      </c>
      <c r="C48" s="3" t="str">
        <f>EXC("[R D2 R';U']")</f>
        <v>R D2 R' U' R D2 R' U </v>
      </c>
      <c r="D48" s="4"/>
    </row>
    <row r="49">
      <c r="A49" s="2" t="s">
        <v>140</v>
      </c>
      <c r="B49" s="3" t="str">
        <f t="shared" si="3"/>
        <v>UFR FRD</v>
      </c>
      <c r="C49" s="3" t="str">
        <f>EXC("D[R D R';U']D'")</f>
        <v>D R D R' U' R D' R' U D' </v>
      </c>
      <c r="D49" s="3" t="str">
        <f>exc("D'[U; R D' R']D")</f>
        <v>D' U R D' R' U' R D R' D </v>
      </c>
    </row>
    <row r="50">
      <c r="A50" s="2" t="s">
        <v>144</v>
      </c>
      <c r="B50" s="3" t="str">
        <f t="shared" si="3"/>
        <v>UFR BUL</v>
      </c>
      <c r="C50" s="3" t="str">
        <f>EXC("R2[R U2 R';D']R2")</f>
        <v>R' U2 R' D' R U2 R' D R2 </v>
      </c>
      <c r="D50" s="4"/>
    </row>
    <row r="51">
      <c r="A51" s="2" t="s">
        <v>147</v>
      </c>
      <c r="B51" s="3" t="str">
        <f t="shared" si="3"/>
        <v>UFR BRD</v>
      </c>
      <c r="C51" s="3" t="str">
        <f>EXC("D'[U;R' D' R]D")</f>
        <v>D' U R' D' R U' R' D R D </v>
      </c>
      <c r="D51" s="4"/>
    </row>
    <row r="52">
      <c r="A52" s="2" t="s">
        <v>150</v>
      </c>
      <c r="B52" s="3" t="str">
        <f t="shared" si="3"/>
        <v>UFR BDL</v>
      </c>
      <c r="C52" s="3" t="str">
        <f>EXC("[U;R' D2 R]")</f>
        <v>U R' D2 R U' R' D2 R </v>
      </c>
      <c r="D52" s="4"/>
    </row>
    <row r="53">
      <c r="A53" s="2" t="s">
        <v>153</v>
      </c>
      <c r="B53" s="3" t="str">
        <f t="shared" si="3"/>
        <v>UFR LBD</v>
      </c>
      <c r="C53" s="3" t="str">
        <f>EXC("[R D' R;U']")</f>
        <v>R D' R U' R' D R' U </v>
      </c>
      <c r="D53" s="4"/>
    </row>
    <row r="54">
      <c r="A54" s="2" t="s">
        <v>156</v>
      </c>
      <c r="B54" s="3" t="str">
        <f t="shared" si="3"/>
        <v>UFR RFD</v>
      </c>
      <c r="C54" s="3" t="str">
        <f>exc("[U;R' D' R]")</f>
        <v>U R' D' R U' R' D R </v>
      </c>
      <c r="D54" s="4"/>
    </row>
    <row r="55">
      <c r="A55" s="2" t="s">
        <v>159</v>
      </c>
      <c r="B55" s="3" t="str">
        <f t="shared" si="3"/>
        <v>UFR RBD</v>
      </c>
      <c r="C55" s="3" t="str">
        <f>EXC("[R D R';U']")</f>
        <v>R D R' U' R D' R' U </v>
      </c>
      <c r="D55" s="4"/>
    </row>
    <row r="56">
      <c r="A56" s="2" t="s">
        <v>162</v>
      </c>
      <c r="B56" s="3" t="str">
        <f t="shared" si="3"/>
        <v>UFR LFU</v>
      </c>
      <c r="C56" s="3" t="str">
        <f>EXC("R2[R U' R';D']R2")</f>
        <v>R' U' R' D' R U R' D R2 </v>
      </c>
      <c r="D56" s="4"/>
    </row>
    <row r="57">
      <c r="A57" s="2" t="s">
        <v>165</v>
      </c>
      <c r="B57" s="3" t="str">
        <f t="shared" si="3"/>
        <v>UFR LDF</v>
      </c>
      <c r="C57" s="3" t="str">
        <f>exc("[U; R' D R]")</f>
        <v>U R' D R U' R' D' R </v>
      </c>
      <c r="D57" s="4"/>
    </row>
    <row r="58">
      <c r="A58" s="8"/>
      <c r="B58" s="6"/>
      <c r="C58" s="6"/>
      <c r="D58" s="7"/>
    </row>
    <row r="59">
      <c r="A59" s="2" t="s">
        <v>168</v>
      </c>
      <c r="B59" s="3" t="str">
        <f t="shared" ref="B59:B76" si="4">tra(A59)</f>
        <v>LBU UFL</v>
      </c>
      <c r="C59" s="3" t="str">
        <f>exc("U' x R2 [D2; R U2 R'] R2 x' U")</f>
        <v>U' x R2 D2 R U2 R' D2 R U2 R x' U </v>
      </c>
      <c r="D59" s="2" t="s">
        <v>170</v>
      </c>
    </row>
    <row r="60">
      <c r="A60" s="2" t="s">
        <v>171</v>
      </c>
      <c r="B60" s="3" t="str">
        <f t="shared" si="4"/>
        <v>LBU UFR</v>
      </c>
      <c r="C60" s="3" t="str">
        <f>exc(inv(C42))</f>
        <v>R U R D R' U' R D' R2 </v>
      </c>
      <c r="D60" s="4"/>
    </row>
    <row r="61">
      <c r="A61" s="2" t="s">
        <v>174</v>
      </c>
      <c r="B61" s="3" t="str">
        <f t="shared" si="4"/>
        <v>LBU DFR</v>
      </c>
      <c r="C61" s="3" t="str">
        <f>exc("[R2; U' L' U]")</f>
        <v>R2 U' L' U R2 U' L U </v>
      </c>
      <c r="D61" s="4"/>
    </row>
    <row r="62">
      <c r="A62" s="2" t="s">
        <v>177</v>
      </c>
      <c r="B62" s="3" t="str">
        <f t="shared" si="4"/>
        <v>LBU DLF</v>
      </c>
      <c r="C62" s="3" t="str">
        <f>EXC("F[U R U'; L']F'")</f>
        <v>F U R U' L' U R' U' L F' </v>
      </c>
      <c r="D62" s="4"/>
    </row>
    <row r="63">
      <c r="A63" s="2" t="s">
        <v>180</v>
      </c>
      <c r="B63" s="3" t="str">
        <f t="shared" si="4"/>
        <v>LBU DBL</v>
      </c>
      <c r="C63" s="3" t="str">
        <f>EXC("L2[L D L'; U2]L2")</f>
        <v>L' D L' U2 L D' L' U2 L2 </v>
      </c>
      <c r="D63" s="4"/>
    </row>
    <row r="64">
      <c r="A64" s="2" t="s">
        <v>183</v>
      </c>
      <c r="B64" s="3" t="str">
        <f t="shared" si="4"/>
        <v>LBU DRB</v>
      </c>
      <c r="C64" s="3" t="str">
        <f>EXC("D' [R2; U' L' U] D")</f>
        <v>D' R2 U' L' U R2 U' L U D </v>
      </c>
      <c r="D64" s="4"/>
    </row>
    <row r="65">
      <c r="A65" s="2" t="s">
        <v>186</v>
      </c>
      <c r="B65" s="3" t="str">
        <f t="shared" si="4"/>
        <v>LBU FRU</v>
      </c>
      <c r="C65" s="3" t="str">
        <f>EXC("[R; U' L' U]")</f>
        <v>R U' L' U R' U' L U </v>
      </c>
      <c r="D65" s="4"/>
    </row>
    <row r="66">
      <c r="A66" s="2" t="s">
        <v>189</v>
      </c>
      <c r="B66" s="3" t="str">
        <f t="shared" si="4"/>
        <v>LBU FUL</v>
      </c>
      <c r="C66" s="2" t="s">
        <v>191</v>
      </c>
      <c r="D66" s="4"/>
    </row>
    <row r="67">
      <c r="A67" s="2" t="s">
        <v>192</v>
      </c>
      <c r="B67" s="3" t="str">
        <f t="shared" si="4"/>
        <v>LBU FLD</v>
      </c>
      <c r="C67" s="2" t="s">
        <v>194</v>
      </c>
      <c r="D67" s="4"/>
    </row>
    <row r="68">
      <c r="A68" s="2" t="s">
        <v>195</v>
      </c>
      <c r="B68" s="3" t="str">
        <f t="shared" si="4"/>
        <v>LBU FRD</v>
      </c>
      <c r="C68" s="3" t="str">
        <f>EXC("F'[R; U' L' U] F")</f>
        <v>F' R U' L' U R' U' L U F </v>
      </c>
      <c r="D68" s="4"/>
    </row>
    <row r="69">
      <c r="A69" s="2" t="s">
        <v>198</v>
      </c>
      <c r="B69" s="3" t="str">
        <f t="shared" si="4"/>
        <v>LBU BRD</v>
      </c>
      <c r="C69" s="3" t="str">
        <f>EXC("[R'; U' L' U]")</f>
        <v>R' U' L' U R U' L U </v>
      </c>
      <c r="D69" s="4"/>
    </row>
    <row r="70">
      <c r="A70" s="2" t="s">
        <v>201</v>
      </c>
      <c r="B70" s="3" t="str">
        <f t="shared" si="4"/>
        <v>LBU BDL</v>
      </c>
      <c r="C70" s="3" t="str">
        <f>EXC("D[U R U';L2] D'")</f>
        <v>D U R U' L2 U R' U' L2 D' </v>
      </c>
      <c r="D70" s="4"/>
    </row>
    <row r="71">
      <c r="A71" s="2" t="s">
        <v>204</v>
      </c>
      <c r="B71" s="3" t="str">
        <f t="shared" si="4"/>
        <v>LBU LBD</v>
      </c>
      <c r="C71" s="3" t="str">
        <f>exc("[U R U'; L]")</f>
        <v>U R U' L U R' U' L' </v>
      </c>
      <c r="D71" s="4"/>
    </row>
    <row r="72">
      <c r="A72" s="2" t="s">
        <v>207</v>
      </c>
      <c r="B72" s="3" t="str">
        <f t="shared" si="4"/>
        <v>LBU RUF</v>
      </c>
      <c r="C72" s="3" t="str">
        <f>EXC("x U2[L2; U' R2 U]U2 x'")</f>
        <v>x U2 L2 U' R2 U L2 U' R2 U' x' </v>
      </c>
      <c r="D72" s="4"/>
    </row>
    <row r="73">
      <c r="A73" s="2" t="s">
        <v>210</v>
      </c>
      <c r="B73" s="3" t="str">
        <f t="shared" si="4"/>
        <v>LBU RFD</v>
      </c>
      <c r="C73" s="3" t="str">
        <f>EXC("x[D; L U2 L']x'")</f>
        <v>x D L U2 L' D' L U2 L' x' </v>
      </c>
      <c r="D73" s="4"/>
    </row>
    <row r="74">
      <c r="A74" s="2" t="s">
        <v>213</v>
      </c>
      <c r="B74" s="3" t="str">
        <f t="shared" si="4"/>
        <v>LBU RBD</v>
      </c>
      <c r="C74" s="3" t="str">
        <f>EXC("R2[U2;R' D' R]R2")</f>
        <v>R2 U2 R' D' R U2 R' D R' </v>
      </c>
      <c r="D74" s="4"/>
    </row>
    <row r="75">
      <c r="A75" s="2" t="s">
        <v>216</v>
      </c>
      <c r="B75" s="3" t="str">
        <f t="shared" si="4"/>
        <v>LBU LFU</v>
      </c>
      <c r="C75" s="3" t="str">
        <f>EXC("[U R U';L']")</f>
        <v>U R U' L' U R' U' L </v>
      </c>
      <c r="D75" s="4"/>
    </row>
    <row r="76">
      <c r="A76" s="2" t="s">
        <v>219</v>
      </c>
      <c r="B76" s="3" t="str">
        <f t="shared" si="4"/>
        <v>LBU LDF</v>
      </c>
      <c r="C76" s="3" t="str">
        <f>EXC("[U R U';L2]")</f>
        <v>U R U' L2 U R' U' L2 </v>
      </c>
      <c r="D76" s="4"/>
    </row>
    <row r="77">
      <c r="A77" s="8"/>
      <c r="B77" s="6"/>
      <c r="C77" s="6"/>
      <c r="D77" s="7"/>
    </row>
    <row r="78">
      <c r="A78" s="2" t="s">
        <v>222</v>
      </c>
      <c r="B78" s="3" t="str">
        <f t="shared" ref="B78:B95" si="5">tra(A78)</f>
        <v>DFR ULB</v>
      </c>
      <c r="C78" s="3" t="str">
        <f>EXC(INV(C4))</f>
        <v>R' D R U R D' R' U' R D R2 D' R </v>
      </c>
      <c r="D78" s="4"/>
    </row>
    <row r="79">
      <c r="A79" s="2" t="s">
        <v>225</v>
      </c>
      <c r="B79" s="3" t="str">
        <f t="shared" si="5"/>
        <v>DFR UFR</v>
      </c>
      <c r="C79" s="3" t="str">
        <f>EXC(INV(C43))</f>
        <v>D' x' D2 R U R' D2 R U' R' x D </v>
      </c>
      <c r="D79" s="4"/>
    </row>
    <row r="80">
      <c r="A80" s="2" t="s">
        <v>228</v>
      </c>
      <c r="B80" s="3" t="str">
        <f t="shared" si="5"/>
        <v>DFR LBU</v>
      </c>
      <c r="C80" s="3" t="str">
        <f>(INV(C61))</f>
        <v>U' L' U R2 U' L U R2 </v>
      </c>
      <c r="D80" s="4"/>
    </row>
    <row r="81">
      <c r="A81" s="2" t="s">
        <v>231</v>
      </c>
      <c r="B81" s="3" t="str">
        <f t="shared" si="5"/>
        <v>DFR DLF</v>
      </c>
      <c r="C81" s="3" t="str">
        <f>EXC("[U' L2 U;R2]")</f>
        <v>U' L2 U R2 U' L2 U R2 </v>
      </c>
      <c r="D81" s="4"/>
    </row>
    <row r="82">
      <c r="A82" s="2" t="s">
        <v>234</v>
      </c>
      <c r="B82" s="3" t="str">
        <f t="shared" si="5"/>
        <v>DFR DBL</v>
      </c>
      <c r="C82" s="3" t="str">
        <f>EXC("R' U R [R U' R';D2] R' U' R")</f>
        <v>R' U R2 U' R' D2 R U R' D2 R' U' R </v>
      </c>
      <c r="D82" s="4"/>
    </row>
    <row r="83">
      <c r="A83" s="2" t="s">
        <v>237</v>
      </c>
      <c r="B83" s="3" t="str">
        <f t="shared" si="5"/>
        <v>DFR DRB</v>
      </c>
      <c r="C83" s="3" t="str">
        <f>EXC("[D;R2 U' R2 U R2]")</f>
        <v>D R2 U' R2 U R2 D' R2 U' R2 U R2 </v>
      </c>
      <c r="D83" s="4"/>
    </row>
    <row r="84">
      <c r="A84" s="2" t="s">
        <v>240</v>
      </c>
      <c r="B84" s="3" t="str">
        <f t="shared" si="5"/>
        <v>DFR FRU</v>
      </c>
      <c r="C84" s="3" t="str">
        <f>EXC("D'[R; U' L2 U]D")</f>
        <v>D' R U' L2 U R' U' L2 U D </v>
      </c>
      <c r="D84" s="4"/>
    </row>
    <row r="85">
      <c r="A85" s="2" t="s">
        <v>243</v>
      </c>
      <c r="B85" s="3" t="str">
        <f t="shared" si="5"/>
        <v>DFR FUL</v>
      </c>
      <c r="C85" s="3" t="str">
        <f>EXC("z' [U2; R' D R] z")</f>
        <v>z' U2 R' D R U2 R' D' R z </v>
      </c>
      <c r="D85" s="4"/>
    </row>
    <row r="86">
      <c r="A86" s="2" t="s">
        <v>246</v>
      </c>
      <c r="B86" s="3" t="str">
        <f t="shared" si="5"/>
        <v>DFR FLD</v>
      </c>
      <c r="C86" s="3" t="str">
        <f>EXC("U' R' [R' U R;D2] R U")</f>
        <v>U' R2 U R D2 R' U' R D2 R U </v>
      </c>
      <c r="D86" s="4"/>
    </row>
    <row r="87">
      <c r="A87" s="2" t="s">
        <v>249</v>
      </c>
      <c r="B87" s="3" t="str">
        <f t="shared" si="5"/>
        <v>DFR BUL</v>
      </c>
      <c r="C87" s="3" t="str">
        <f>EXC("D' R'[U2 ;R' D R]RD")</f>
        <v>D' R' U2 R' D R U2 R' D' R2 D </v>
      </c>
      <c r="D87" s="4"/>
    </row>
    <row r="88">
      <c r="A88" s="2" t="s">
        <v>252</v>
      </c>
      <c r="B88" s="3" t="str">
        <f t="shared" si="5"/>
        <v>DFR BRD</v>
      </c>
      <c r="C88" s="3" t="str">
        <f>EXC("z' x R2[D2; R U R'] R2x' z")</f>
        <v>z' x R2 D2 R U R' D2 R U' R x' z </v>
      </c>
      <c r="D88" s="4"/>
    </row>
    <row r="89">
      <c r="A89" s="2" t="s">
        <v>255</v>
      </c>
      <c r="B89" s="3" t="str">
        <f t="shared" si="5"/>
        <v>DFR BDL</v>
      </c>
      <c r="C89" s="3" t="str">
        <f>EXC("[U' L U;R2]")</f>
        <v>U' L U R2 U' L' U R2 </v>
      </c>
      <c r="D89" s="4"/>
    </row>
    <row r="90">
      <c r="A90" s="2" t="s">
        <v>258</v>
      </c>
      <c r="B90" s="3" t="str">
        <f t="shared" si="5"/>
        <v>DFR LBD</v>
      </c>
      <c r="C90" s="3" t="str">
        <f>EXC("U' R'[R' U R;D]R U")</f>
        <v>U' R2 U R D R' U' R D' R U </v>
      </c>
      <c r="D90" s="4"/>
    </row>
    <row r="91">
      <c r="A91" s="2" t="s">
        <v>261</v>
      </c>
      <c r="B91" s="3" t="str">
        <f t="shared" si="5"/>
        <v>DFR RUF</v>
      </c>
      <c r="C91" s="2" t="s">
        <v>263</v>
      </c>
      <c r="D91" s="4"/>
    </row>
    <row r="92">
      <c r="A92" s="2" t="s">
        <v>264</v>
      </c>
      <c r="B92" s="3" t="str">
        <f t="shared" si="5"/>
        <v>DFR RBD</v>
      </c>
      <c r="C92" s="2" t="s">
        <v>266</v>
      </c>
      <c r="D92" s="4"/>
    </row>
    <row r="93">
      <c r="A93" s="2" t="s">
        <v>267</v>
      </c>
      <c r="B93" s="3" t="str">
        <f t="shared" si="5"/>
        <v>DFR LFU</v>
      </c>
      <c r="C93" s="2" t="s">
        <v>269</v>
      </c>
      <c r="D93" s="4"/>
    </row>
    <row r="94">
      <c r="A94" s="2" t="s">
        <v>270</v>
      </c>
      <c r="B94" s="3" t="str">
        <f t="shared" si="5"/>
        <v>DFR LDF</v>
      </c>
      <c r="C94" s="2" t="s">
        <v>272</v>
      </c>
      <c r="D94" s="4"/>
    </row>
    <row r="95">
      <c r="A95" s="2" t="s">
        <v>273</v>
      </c>
      <c r="B95" s="3" t="str">
        <f t="shared" si="5"/>
        <v>DFR UFL</v>
      </c>
      <c r="C95" s="2" t="s">
        <v>275</v>
      </c>
      <c r="D95" s="4"/>
    </row>
    <row r="96">
      <c r="A96" s="5"/>
      <c r="B96" s="6"/>
      <c r="C96" s="6"/>
      <c r="D96" s="7"/>
    </row>
    <row r="97">
      <c r="A97" s="2" t="s">
        <v>276</v>
      </c>
      <c r="B97" s="3" t="str">
        <f t="shared" ref="B97:B114" si="6">tra(A97)</f>
        <v>DLF ULB</v>
      </c>
      <c r="C97" s="3" t="str">
        <f>EXC(INV(C5))</f>
        <v>L2 R U R' U' L2 U R U' R' </v>
      </c>
      <c r="D97" s="4"/>
    </row>
    <row r="98">
      <c r="A98" s="2" t="s">
        <v>279</v>
      </c>
      <c r="B98" s="3" t="str">
        <f t="shared" si="6"/>
        <v>DLF UFR</v>
      </c>
      <c r="C98" s="3" t="str">
        <f>EXC(INV(C44))</f>
        <v>x' D2 R U R' D2 R U' R' x </v>
      </c>
      <c r="D98" s="4"/>
    </row>
    <row r="99">
      <c r="A99" s="2" t="s">
        <v>282</v>
      </c>
      <c r="B99" s="3" t="str">
        <f t="shared" si="6"/>
        <v>DLF LBU</v>
      </c>
      <c r="C99" s="3" t="str">
        <f>EXC(INV(C62))</f>
        <v>F L' U R U' L U R' U' F' </v>
      </c>
      <c r="D99" s="4"/>
    </row>
    <row r="100">
      <c r="A100" s="2" t="s">
        <v>285</v>
      </c>
      <c r="B100" s="3" t="str">
        <f t="shared" si="6"/>
        <v>DLF DFR</v>
      </c>
      <c r="C100" s="3" t="str">
        <f>(INV(C81))</f>
        <v>R2 U' L2 U R2 U' L2 U </v>
      </c>
      <c r="D100" s="4"/>
    </row>
    <row r="101">
      <c r="A101" s="2" t="s">
        <v>288</v>
      </c>
      <c r="B101" s="3" t="str">
        <f t="shared" si="6"/>
        <v>DLF DBL</v>
      </c>
      <c r="C101" s="3" t="str">
        <f>exc("x[L' U' L;D2]x'")</f>
        <v>x L' U' L D2 L' U L D2 x' </v>
      </c>
      <c r="D101" s="4"/>
    </row>
    <row r="102">
      <c r="A102" s="2" t="s">
        <v>291</v>
      </c>
      <c r="B102" s="3" t="str">
        <f t="shared" si="6"/>
        <v>DLF DRB</v>
      </c>
      <c r="C102" s="3" t="str">
        <f>EXC("[D2;R2 U' R2 U R2]")</f>
        <v>D2 R2 U' R2 U R2 D2 R2 U' R2 U R2 </v>
      </c>
      <c r="D102" s="4"/>
    </row>
    <row r="103">
      <c r="A103" s="2" t="s">
        <v>294</v>
      </c>
      <c r="B103" s="3" t="str">
        <f t="shared" si="6"/>
        <v>DLF FRU</v>
      </c>
      <c r="C103" s="3" t="str">
        <f>EXC("[R;U'L2U]")</f>
        <v>R U' L2 U R' U' L2 U </v>
      </c>
      <c r="D103" s="4"/>
    </row>
    <row r="104">
      <c r="A104" s="2" t="s">
        <v>297</v>
      </c>
      <c r="B104" s="3" t="str">
        <f t="shared" si="6"/>
        <v>DLF FUL</v>
      </c>
      <c r="C104" s="3" t="str">
        <f>EXC("x[L';U R' U']x'")</f>
        <v>x L' U R' U' L U R U' x' </v>
      </c>
      <c r="D104" s="4"/>
    </row>
    <row r="105">
      <c r="A105" s="2" t="s">
        <v>300</v>
      </c>
      <c r="B105" s="3" t="str">
        <f t="shared" si="6"/>
        <v>DLF FRD</v>
      </c>
      <c r="C105" s="3" t="str">
        <f>EXC("L[L U' L';D2]L'")</f>
        <v>L2 U' L' D2 L U L' D2 L' </v>
      </c>
      <c r="D105" s="4"/>
    </row>
    <row r="106">
      <c r="A106" s="2" t="s">
        <v>303</v>
      </c>
      <c r="B106" s="3" t="str">
        <f t="shared" si="6"/>
        <v>DLF BUL</v>
      </c>
      <c r="C106" s="3" t="str">
        <f>EXC("R'[U2;R' D R]R")</f>
        <v>R' U2 R' D R U2 R' D' R2 </v>
      </c>
      <c r="D106" s="4"/>
    </row>
    <row r="107">
      <c r="A107" s="2" t="s">
        <v>306</v>
      </c>
      <c r="B107" s="3" t="str">
        <f t="shared" si="6"/>
        <v>DLF BRD</v>
      </c>
      <c r="C107" s="3" t="str">
        <f>EXC("[R';U'L2 U]")</f>
        <v>R' U' L2 U R U' L2 U </v>
      </c>
      <c r="D107" s="4"/>
    </row>
    <row r="108">
      <c r="A108" s="2" t="s">
        <v>309</v>
      </c>
      <c r="B108" s="3" t="str">
        <f t="shared" si="6"/>
        <v>DLF BDL</v>
      </c>
      <c r="C108" s="3" t="str">
        <f>EXC("D' R' [U;R'D2R]R D")</f>
        <v>D' R' U R' D2 R U' R' D2 R2 D </v>
      </c>
      <c r="D108" s="4"/>
    </row>
    <row r="109">
      <c r="A109" s="2" t="s">
        <v>312</v>
      </c>
      <c r="B109" s="3" t="str">
        <f t="shared" si="6"/>
        <v>DLF LBD</v>
      </c>
      <c r="C109" s="3" t="str">
        <f>EXC("y' R'[R' U R ;D2]Ry")</f>
        <v>y' R2 U R D2 R' U' R D2 R y </v>
      </c>
      <c r="D109" s="4"/>
    </row>
    <row r="110">
      <c r="A110" s="2" t="s">
        <v>315</v>
      </c>
      <c r="B110" s="3" t="str">
        <f t="shared" si="6"/>
        <v>DLF RUF</v>
      </c>
      <c r="C110" s="3" t="str">
        <f>exc("F' U' [R' D' R;U2] U F")</f>
        <v>F' U' R' D' R U2 R' D R U' F </v>
      </c>
      <c r="D110" s="4"/>
    </row>
    <row r="111">
      <c r="A111" s="2" t="s">
        <v>318</v>
      </c>
      <c r="B111" s="3" t="str">
        <f t="shared" si="6"/>
        <v>DLF RBD</v>
      </c>
      <c r="C111" s="3" t="str">
        <f>EXC("R2[R U R'; D]R2")</f>
        <v>R' U R' D R U' R' D' R2 </v>
      </c>
      <c r="D111" s="4"/>
    </row>
    <row r="112">
      <c r="A112" s="2" t="s">
        <v>321</v>
      </c>
      <c r="B112" s="3" t="str">
        <f t="shared" si="6"/>
        <v>DLF LFU</v>
      </c>
      <c r="C112" s="3" t="str">
        <f>EXC("R2[R U' R'; D]R2")</f>
        <v>R' U' R' D R U R' D' R2 </v>
      </c>
      <c r="D112" s="4"/>
    </row>
    <row r="113">
      <c r="A113" s="2" t="s">
        <v>324</v>
      </c>
      <c r="B113" s="3" t="str">
        <f t="shared" si="6"/>
        <v>DLF RFD</v>
      </c>
      <c r="C113" s="2" t="s">
        <v>326</v>
      </c>
      <c r="D113" s="4"/>
    </row>
    <row r="114">
      <c r="A114" s="2" t="s">
        <v>327</v>
      </c>
      <c r="B114" s="3" t="str">
        <f t="shared" si="6"/>
        <v>DLF UFL</v>
      </c>
      <c r="C114" s="2" t="s">
        <v>329</v>
      </c>
      <c r="D114" s="4"/>
    </row>
    <row r="115">
      <c r="A115" s="8"/>
      <c r="B115" s="6"/>
      <c r="C115" s="6"/>
      <c r="D115" s="7"/>
    </row>
    <row r="116">
      <c r="A116" s="2" t="s">
        <v>330</v>
      </c>
      <c r="B116" s="3" t="str">
        <f t="shared" ref="B116:B133" si="7">tra(A116)</f>
        <v>DBL ULB</v>
      </c>
      <c r="C116" s="3" t="str">
        <f>EXC(INV(C6))</f>
        <v>U x D2 R' U' R D2 R' U l U' </v>
      </c>
      <c r="D116" s="4"/>
    </row>
    <row r="117">
      <c r="A117" s="2" t="s">
        <v>333</v>
      </c>
      <c r="B117" s="3" t="str">
        <f t="shared" si="7"/>
        <v>DBL UFL</v>
      </c>
      <c r="C117" s="3" t="str">
        <f>EXC(INV(C26))</f>
        <v>D2 R' D R U2 R D' R' U2 R D R2 D' R D2 </v>
      </c>
      <c r="D117" s="2" t="s">
        <v>336</v>
      </c>
    </row>
    <row r="118">
      <c r="A118" s="2" t="s">
        <v>337</v>
      </c>
      <c r="B118" s="3" t="str">
        <f t="shared" si="7"/>
        <v>DBL UFR</v>
      </c>
      <c r="C118" s="3" t="str">
        <f>EXC(INV(C45))</f>
        <v>x R' U' R D2 R' U R D2 x' </v>
      </c>
      <c r="D118" s="4"/>
    </row>
    <row r="119">
      <c r="A119" s="2" t="s">
        <v>340</v>
      </c>
      <c r="B119" s="3" t="str">
        <f t="shared" si="7"/>
        <v>DBL LBU</v>
      </c>
      <c r="C119" s="3" t="str">
        <f>EXC(INV(C63))</f>
        <v>L2 U2 L D L' U2 L D' L </v>
      </c>
      <c r="D119" s="4"/>
    </row>
    <row r="120">
      <c r="A120" s="2" t="s">
        <v>343</v>
      </c>
      <c r="B120" s="3" t="str">
        <f t="shared" si="7"/>
        <v>DBL DFR</v>
      </c>
      <c r="C120" s="3" t="str">
        <f>EXC(INV(C82))</f>
        <v>R' U R D2 R U' R' D2 R U R2 U' R </v>
      </c>
      <c r="D120" s="4"/>
    </row>
    <row r="121">
      <c r="A121" s="2" t="s">
        <v>346</v>
      </c>
      <c r="B121" s="3" t="str">
        <f t="shared" si="7"/>
        <v>DBL DLF</v>
      </c>
      <c r="C121" s="3" t="str">
        <f>EXC(INV(C101))</f>
        <v>x D2 L' U' L D2 L' U L x' </v>
      </c>
      <c r="D121" s="4"/>
    </row>
    <row r="122">
      <c r="A122" s="2" t="s">
        <v>349</v>
      </c>
      <c r="B122" s="3" t="str">
        <f t="shared" si="7"/>
        <v>DBL DRB</v>
      </c>
      <c r="C122" s="3" t="str">
        <f>EXC("[D';R2 U' R2 U R2]")</f>
        <v>D' R2 U' R2 U R2 D R2 U' R2 U R2 </v>
      </c>
      <c r="D122" s="4"/>
    </row>
    <row r="123">
      <c r="A123" s="2" t="s">
        <v>352</v>
      </c>
      <c r="B123" s="3" t="str">
        <f t="shared" si="7"/>
        <v>DBL FRU</v>
      </c>
      <c r="C123" s="3" t="str">
        <f>EXC("x[D2;L'U2L]x'")</f>
        <v>x D2 L' U2 L D2 L' U2 L x' </v>
      </c>
      <c r="D123" s="4"/>
    </row>
    <row r="124">
      <c r="A124" s="2" t="s">
        <v>355</v>
      </c>
      <c r="B124" s="3" t="str">
        <f t="shared" si="7"/>
        <v>DBL FUL</v>
      </c>
      <c r="C124" s="2" t="s">
        <v>357</v>
      </c>
      <c r="D124" s="4"/>
    </row>
    <row r="125">
      <c r="A125" s="2" t="s">
        <v>358</v>
      </c>
      <c r="B125" s="3" t="str">
        <f t="shared" si="7"/>
        <v>DBL FLD</v>
      </c>
      <c r="C125" s="2" t="s">
        <v>360</v>
      </c>
      <c r="D125" s="4"/>
    </row>
    <row r="126">
      <c r="A126" s="2" t="s">
        <v>361</v>
      </c>
      <c r="B126" s="3" t="str">
        <f t="shared" si="7"/>
        <v>DBL FRD</v>
      </c>
      <c r="C126" s="2" t="s">
        <v>363</v>
      </c>
      <c r="D126" s="4"/>
    </row>
    <row r="127">
      <c r="A127" s="2" t="s">
        <v>364</v>
      </c>
      <c r="B127" s="3" t="str">
        <f t="shared" si="7"/>
        <v>DBL BUL</v>
      </c>
      <c r="C127" s="2" t="s">
        <v>366</v>
      </c>
      <c r="D127" s="4"/>
    </row>
    <row r="128">
      <c r="A128" s="2" t="s">
        <v>367</v>
      </c>
      <c r="B128" s="3" t="str">
        <f t="shared" si="7"/>
        <v>DBL BRD</v>
      </c>
      <c r="C128" s="2" t="s">
        <v>369</v>
      </c>
      <c r="D128" s="4"/>
    </row>
    <row r="129">
      <c r="A129" s="2" t="s">
        <v>370</v>
      </c>
      <c r="B129" s="3" t="str">
        <f t="shared" si="7"/>
        <v>DBL RUF</v>
      </c>
      <c r="C129" s="2" t="s">
        <v>372</v>
      </c>
      <c r="D129" s="4"/>
    </row>
    <row r="130">
      <c r="A130" s="2" t="s">
        <v>373</v>
      </c>
      <c r="B130" s="3" t="str">
        <f t="shared" si="7"/>
        <v>DBL RFD</v>
      </c>
      <c r="C130" s="2" t="s">
        <v>375</v>
      </c>
      <c r="D130" s="4"/>
    </row>
    <row r="131">
      <c r="A131" s="2" t="s">
        <v>376</v>
      </c>
      <c r="B131" s="3" t="str">
        <f t="shared" si="7"/>
        <v>DBL RBD</v>
      </c>
      <c r="C131" s="2" t="s">
        <v>378</v>
      </c>
      <c r="D131" s="4"/>
    </row>
    <row r="132">
      <c r="A132" s="2" t="s">
        <v>379</v>
      </c>
      <c r="B132" s="3" t="str">
        <f t="shared" si="7"/>
        <v>DBL LFU</v>
      </c>
      <c r="C132" s="2" t="s">
        <v>381</v>
      </c>
      <c r="D132" s="4"/>
    </row>
    <row r="133">
      <c r="A133" s="2" t="s">
        <v>382</v>
      </c>
      <c r="B133" s="3" t="str">
        <f t="shared" si="7"/>
        <v>DBL LDF</v>
      </c>
      <c r="C133" s="2" t="s">
        <v>384</v>
      </c>
      <c r="D133" s="4"/>
    </row>
    <row r="134">
      <c r="A134" s="8"/>
      <c r="B134" s="6"/>
      <c r="C134" s="6"/>
      <c r="D134" s="7"/>
    </row>
    <row r="135">
      <c r="A135" s="2" t="s">
        <v>385</v>
      </c>
      <c r="B135" s="3" t="str">
        <f t="shared" ref="B135:B152" si="8">tra(A135)</f>
        <v>DRB ULB</v>
      </c>
      <c r="C135" s="3" t="str">
        <f>EXC(INV(C7))</f>
        <v>U' R2 D R2 D' R2 U R2 D R2 D' R2 </v>
      </c>
      <c r="D135" s="4"/>
    </row>
    <row r="136">
      <c r="A136" s="2" t="s">
        <v>388</v>
      </c>
      <c r="B136" s="3" t="str">
        <f t="shared" si="8"/>
        <v>DRB UFL</v>
      </c>
      <c r="C136" s="3" t="str">
        <f>EXC(INV(C27))</f>
        <v>U2 R2 D R2 D' R2 U2 R2 D R2 D' R2 </v>
      </c>
      <c r="D136" s="4"/>
    </row>
    <row r="137">
      <c r="A137" s="2" t="s">
        <v>391</v>
      </c>
      <c r="B137" s="3" t="str">
        <f t="shared" si="8"/>
        <v>DRB UFR</v>
      </c>
      <c r="C137" s="3" t="str">
        <f>(INV(C46))</f>
        <v>U' R2 D R2 D' R2 U R2 D R2 D' R2 </v>
      </c>
      <c r="D137" s="4"/>
    </row>
    <row r="138">
      <c r="A138" s="2" t="s">
        <v>393</v>
      </c>
      <c r="B138" s="3" t="str">
        <f t="shared" si="8"/>
        <v>DRB LBU</v>
      </c>
      <c r="C138" s="3" t="str">
        <f>(INV(C64))</f>
        <v>D' U' L' U R2 U' L U R2 D </v>
      </c>
      <c r="D138" s="4"/>
    </row>
    <row r="139">
      <c r="A139" s="2" t="s">
        <v>396</v>
      </c>
      <c r="B139" s="3" t="str">
        <f t="shared" si="8"/>
        <v>DRB DFR</v>
      </c>
      <c r="C139" s="3" t="str">
        <f>(INV(C83))</f>
        <v>R2 U' R2 U R2 D R2 U' R2 U R2 D' </v>
      </c>
      <c r="D139" s="4"/>
    </row>
    <row r="140">
      <c r="A140" s="2" t="s">
        <v>399</v>
      </c>
      <c r="B140" s="3" t="str">
        <f t="shared" si="8"/>
        <v>DRB DLF</v>
      </c>
      <c r="C140" s="3" t="str">
        <f>(INV(C102))</f>
        <v>R2 U' R2 U R2 D2 R2 U' R2 U R2 D2 </v>
      </c>
      <c r="D140" s="4"/>
    </row>
    <row r="141">
      <c r="A141" s="2" t="s">
        <v>402</v>
      </c>
      <c r="B141" s="3" t="str">
        <f t="shared" si="8"/>
        <v>DRB DBL</v>
      </c>
      <c r="C141" s="3" t="str">
        <f>(INV(C122))</f>
        <v>R2 U' R2 U R2 D' R2 U' R2 U R2 D </v>
      </c>
      <c r="D141" s="4"/>
    </row>
    <row r="142">
      <c r="A142" s="2" t="s">
        <v>405</v>
      </c>
      <c r="B142" s="3" t="str">
        <f t="shared" si="8"/>
        <v>DRB FRU</v>
      </c>
      <c r="C142" s="3" t="str">
        <f>EXC("U2[L; U' R2 U]U2")</f>
        <v>U2 L U' R2 U L' U' R2 U' </v>
      </c>
      <c r="D142" s="4"/>
    </row>
    <row r="143">
      <c r="A143" s="2" t="s">
        <v>408</v>
      </c>
      <c r="B143" s="3" t="str">
        <f t="shared" si="8"/>
        <v>DRB FUL</v>
      </c>
      <c r="C143" s="2" t="s">
        <v>410</v>
      </c>
      <c r="D143" s="4"/>
    </row>
    <row r="144">
      <c r="A144" s="2" t="s">
        <v>411</v>
      </c>
      <c r="B144" s="3" t="str">
        <f t="shared" si="8"/>
        <v>DRB FLD</v>
      </c>
      <c r="C144" s="2" t="s">
        <v>413</v>
      </c>
      <c r="D144" s="4"/>
    </row>
    <row r="145">
      <c r="A145" s="2" t="s">
        <v>414</v>
      </c>
      <c r="B145" s="3" t="str">
        <f t="shared" si="8"/>
        <v>DRB FRD</v>
      </c>
      <c r="C145" s="2" t="s">
        <v>416</v>
      </c>
      <c r="D145" s="4"/>
    </row>
    <row r="146">
      <c r="A146" s="2" t="s">
        <v>417</v>
      </c>
      <c r="B146" s="3" t="str">
        <f t="shared" si="8"/>
        <v>DRB BUL</v>
      </c>
      <c r="C146" s="2" t="s">
        <v>419</v>
      </c>
      <c r="D146" s="4"/>
    </row>
    <row r="147">
      <c r="A147" s="2" t="s">
        <v>420</v>
      </c>
      <c r="B147" s="3" t="str">
        <f t="shared" si="8"/>
        <v>DRB BDL</v>
      </c>
      <c r="C147" s="2" t="s">
        <v>422</v>
      </c>
      <c r="D147" s="4"/>
    </row>
    <row r="148">
      <c r="A148" s="2" t="s">
        <v>423</v>
      </c>
      <c r="B148" s="3" t="str">
        <f t="shared" si="8"/>
        <v>DRB LBD</v>
      </c>
      <c r="C148" s="2" t="s">
        <v>425</v>
      </c>
      <c r="D148" s="4"/>
    </row>
    <row r="149">
      <c r="A149" s="2" t="s">
        <v>426</v>
      </c>
      <c r="B149" s="3" t="str">
        <f t="shared" si="8"/>
        <v>DRB RUF</v>
      </c>
      <c r="C149" s="2" t="s">
        <v>428</v>
      </c>
      <c r="D149" s="4"/>
    </row>
    <row r="150">
      <c r="A150" s="2" t="s">
        <v>429</v>
      </c>
      <c r="B150" s="3" t="str">
        <f t="shared" si="8"/>
        <v>DRB RFD</v>
      </c>
      <c r="C150" s="2" t="s">
        <v>431</v>
      </c>
      <c r="D150" s="4"/>
    </row>
    <row r="151">
      <c r="A151" s="2" t="s">
        <v>432</v>
      </c>
      <c r="B151" s="3" t="str">
        <f t="shared" si="8"/>
        <v>DRB LFU</v>
      </c>
      <c r="C151" s="2" t="s">
        <v>434</v>
      </c>
      <c r="D151" s="4"/>
    </row>
    <row r="152">
      <c r="A152" s="2" t="s">
        <v>435</v>
      </c>
      <c r="B152" s="3" t="str">
        <f t="shared" si="8"/>
        <v>DRB LDF</v>
      </c>
      <c r="C152" s="2" t="s">
        <v>437</v>
      </c>
      <c r="D152" s="4"/>
    </row>
    <row r="153">
      <c r="A153" s="8"/>
      <c r="B153" s="6"/>
      <c r="C153" s="6"/>
      <c r="D153" s="7"/>
    </row>
    <row r="154">
      <c r="A154" s="2" t="s">
        <v>438</v>
      </c>
      <c r="B154" s="3" t="str">
        <f t="shared" ref="B154:B171" si="9">tra(A154)</f>
        <v>FRU ULB</v>
      </c>
      <c r="C154" s="2" t="s">
        <v>440</v>
      </c>
      <c r="D154" s="4"/>
    </row>
    <row r="155">
      <c r="A155" s="2" t="s">
        <v>441</v>
      </c>
      <c r="B155" s="3" t="str">
        <f t="shared" si="9"/>
        <v>FRU UFL</v>
      </c>
      <c r="C155" s="2" t="s">
        <v>443</v>
      </c>
      <c r="D155" s="4"/>
    </row>
    <row r="156">
      <c r="A156" s="2" t="s">
        <v>444</v>
      </c>
      <c r="B156" s="3" t="str">
        <f t="shared" si="9"/>
        <v>FRU LBU</v>
      </c>
      <c r="C156" s="2" t="s">
        <v>446</v>
      </c>
      <c r="D156" s="4"/>
    </row>
    <row r="157">
      <c r="A157" s="2" t="s">
        <v>447</v>
      </c>
      <c r="B157" s="3" t="str">
        <f t="shared" si="9"/>
        <v>FRU DFR</v>
      </c>
      <c r="C157" s="3" t="str">
        <f>(INV(C84))</f>
        <v>D' U' L2 U R U' L2 U R' D </v>
      </c>
      <c r="D157" s="4"/>
    </row>
    <row r="158">
      <c r="A158" s="2" t="s">
        <v>450</v>
      </c>
      <c r="B158" s="3" t="str">
        <f t="shared" si="9"/>
        <v>FRU DLF</v>
      </c>
      <c r="C158" s="3" t="str">
        <f>(INV(C103))</f>
        <v>U' L2 U R U' L2 U R' </v>
      </c>
      <c r="D158" s="4"/>
    </row>
    <row r="159">
      <c r="A159" s="2" t="s">
        <v>453</v>
      </c>
      <c r="B159" s="3" t="str">
        <f t="shared" si="9"/>
        <v>FRU DBL</v>
      </c>
      <c r="C159" s="3" t="str">
        <f>(INV(C123))</f>
        <v>x L' U2 L D2 L' U2 L D2 x' </v>
      </c>
      <c r="D159" s="4"/>
    </row>
    <row r="160">
      <c r="A160" s="2" t="s">
        <v>456</v>
      </c>
      <c r="B160" s="3" t="str">
        <f t="shared" si="9"/>
        <v>FRU DRB</v>
      </c>
      <c r="C160" s="3" t="str">
        <f>(INV(C142))</f>
        <v>U R2 U L U' R2 U L' U2 </v>
      </c>
      <c r="D160" s="4"/>
    </row>
    <row r="161">
      <c r="A161" s="2" t="s">
        <v>459</v>
      </c>
      <c r="B161" s="3" t="str">
        <f t="shared" si="9"/>
        <v>FRU FUL</v>
      </c>
      <c r="C161" s="2" t="s">
        <v>461</v>
      </c>
      <c r="D161" s="4"/>
    </row>
    <row r="162">
      <c r="A162" s="2" t="s">
        <v>462</v>
      </c>
      <c r="B162" s="3" t="str">
        <f t="shared" si="9"/>
        <v>FRU FLD</v>
      </c>
      <c r="C162" s="2" t="s">
        <v>464</v>
      </c>
      <c r="D162" s="4"/>
    </row>
    <row r="163">
      <c r="A163" s="2" t="s">
        <v>465</v>
      </c>
      <c r="B163" s="3" t="str">
        <f t="shared" si="9"/>
        <v>FRU FRD</v>
      </c>
      <c r="C163" s="2" t="s">
        <v>467</v>
      </c>
      <c r="D163" s="4"/>
    </row>
    <row r="164">
      <c r="A164" s="2" t="s">
        <v>468</v>
      </c>
      <c r="B164" s="3" t="str">
        <f t="shared" si="9"/>
        <v>FRU BUL</v>
      </c>
      <c r="C164" s="2" t="s">
        <v>470</v>
      </c>
      <c r="D164" s="4"/>
    </row>
    <row r="165">
      <c r="A165" s="2" t="s">
        <v>471</v>
      </c>
      <c r="B165" s="3" t="str">
        <f t="shared" si="9"/>
        <v>FRU BRD</v>
      </c>
      <c r="C165" s="2" t="s">
        <v>473</v>
      </c>
      <c r="D165" s="4"/>
    </row>
    <row r="166">
      <c r="A166" s="2" t="s">
        <v>474</v>
      </c>
      <c r="B166" s="3" t="str">
        <f t="shared" si="9"/>
        <v>FRU BDL</v>
      </c>
      <c r="C166" s="2" t="s">
        <v>476</v>
      </c>
      <c r="D166" s="4"/>
    </row>
    <row r="167">
      <c r="A167" s="2" t="s">
        <v>477</v>
      </c>
      <c r="B167" s="3" t="str">
        <f t="shared" si="9"/>
        <v>FRU LBD</v>
      </c>
      <c r="C167" s="2" t="s">
        <v>479</v>
      </c>
      <c r="D167" s="4"/>
    </row>
    <row r="168">
      <c r="A168" s="2" t="s">
        <v>480</v>
      </c>
      <c r="B168" s="3" t="str">
        <f t="shared" si="9"/>
        <v>FRU RFD</v>
      </c>
      <c r="C168" s="2" t="s">
        <v>482</v>
      </c>
      <c r="D168" s="4"/>
    </row>
    <row r="169">
      <c r="A169" s="2" t="s">
        <v>483</v>
      </c>
      <c r="B169" s="3" t="str">
        <f t="shared" si="9"/>
        <v>FRU RBD</v>
      </c>
      <c r="C169" s="2" t="s">
        <v>485</v>
      </c>
      <c r="D169" s="4"/>
    </row>
    <row r="170">
      <c r="A170" s="2" t="s">
        <v>486</v>
      </c>
      <c r="B170" s="3" t="str">
        <f t="shared" si="9"/>
        <v>FRU LFU</v>
      </c>
      <c r="C170" s="2" t="s">
        <v>488</v>
      </c>
      <c r="D170" s="4"/>
    </row>
    <row r="171">
      <c r="A171" s="2" t="s">
        <v>489</v>
      </c>
      <c r="B171" s="3" t="str">
        <f t="shared" si="9"/>
        <v>FRU LDF</v>
      </c>
      <c r="C171" s="2" t="s">
        <v>491</v>
      </c>
      <c r="D171" s="4"/>
    </row>
    <row r="172">
      <c r="A172" s="8"/>
      <c r="B172" s="6"/>
      <c r="C172" s="6"/>
      <c r="D172" s="7"/>
    </row>
    <row r="173">
      <c r="A173" s="2" t="s">
        <v>492</v>
      </c>
      <c r="B173" s="3" t="str">
        <f t="shared" ref="B173:B190" si="10">tra(A173)</f>
        <v>FUL ULB</v>
      </c>
      <c r="C173" s="2" t="s">
        <v>494</v>
      </c>
      <c r="D173" s="4"/>
    </row>
    <row r="174">
      <c r="A174" s="2" t="s">
        <v>495</v>
      </c>
      <c r="B174" s="3" t="str">
        <f t="shared" si="10"/>
        <v>FUL UFR</v>
      </c>
      <c r="C174" s="3" t="str">
        <f>(INV(C47))</f>
        <v>R U2 R D R' U2 R D' R2 </v>
      </c>
      <c r="D174" s="4"/>
    </row>
    <row r="175">
      <c r="A175" s="2" t="s">
        <v>498</v>
      </c>
      <c r="B175" s="3" t="str">
        <f t="shared" si="10"/>
        <v>FUL LBU</v>
      </c>
      <c r="C175" s="2" t="s">
        <v>500</v>
      </c>
      <c r="D175" s="4"/>
    </row>
    <row r="176">
      <c r="A176" s="2" t="s">
        <v>501</v>
      </c>
      <c r="B176" s="3" t="str">
        <f t="shared" si="10"/>
        <v>FUL DFR</v>
      </c>
      <c r="C176" s="2" t="s">
        <v>503</v>
      </c>
      <c r="D176" s="4"/>
    </row>
    <row r="177">
      <c r="A177" s="2" t="s">
        <v>504</v>
      </c>
      <c r="B177" s="3" t="str">
        <f t="shared" si="10"/>
        <v>FUL DLF</v>
      </c>
      <c r="C177" s="2" t="s">
        <v>506</v>
      </c>
      <c r="D177" s="4"/>
    </row>
    <row r="178">
      <c r="A178" s="2" t="s">
        <v>507</v>
      </c>
      <c r="B178" s="3" t="str">
        <f t="shared" si="10"/>
        <v>FUL DBL </v>
      </c>
      <c r="C178" s="2" t="s">
        <v>509</v>
      </c>
      <c r="D178" s="4"/>
    </row>
    <row r="179">
      <c r="A179" s="2" t="s">
        <v>510</v>
      </c>
      <c r="B179" s="3" t="str">
        <f t="shared" si="10"/>
        <v>FUL DRB </v>
      </c>
      <c r="C179" s="3" t="str">
        <f>EXC(INV(C143))</f>
        <v>z' R2 D R U2 R' D' R U2 R z </v>
      </c>
      <c r="D179" s="4"/>
    </row>
    <row r="180">
      <c r="A180" s="2" t="s">
        <v>513</v>
      </c>
      <c r="B180" s="3" t="str">
        <f t="shared" si="10"/>
        <v>FUL FRU</v>
      </c>
      <c r="C180" s="3" t="str">
        <f>EXC(INV(C161))</f>
        <v>U L U' R' U L' U' R </v>
      </c>
      <c r="D180" s="4"/>
    </row>
    <row r="181">
      <c r="A181" s="2" t="s">
        <v>516</v>
      </c>
      <c r="B181" s="3" t="str">
        <f t="shared" si="10"/>
        <v>FUL FLD</v>
      </c>
      <c r="C181" s="2" t="s">
        <v>518</v>
      </c>
      <c r="D181" s="4"/>
    </row>
    <row r="182">
      <c r="A182" s="2" t="s">
        <v>519</v>
      </c>
      <c r="B182" s="3" t="str">
        <f t="shared" si="10"/>
        <v>FUL FRD</v>
      </c>
      <c r="C182" s="2" t="s">
        <v>521</v>
      </c>
      <c r="D182" s="4"/>
    </row>
    <row r="183">
      <c r="A183" s="2" t="s">
        <v>522</v>
      </c>
      <c r="B183" s="3" t="str">
        <f t="shared" si="10"/>
        <v>FUL BUL</v>
      </c>
      <c r="C183" s="2" t="s">
        <v>524</v>
      </c>
      <c r="D183" s="4"/>
    </row>
    <row r="184">
      <c r="A184" s="2" t="s">
        <v>525</v>
      </c>
      <c r="B184" s="3" t="str">
        <f t="shared" si="10"/>
        <v>FUL BRD</v>
      </c>
      <c r="C184" s="2" t="s">
        <v>527</v>
      </c>
      <c r="D184" s="4"/>
    </row>
    <row r="185">
      <c r="A185" s="2" t="s">
        <v>528</v>
      </c>
      <c r="B185" s="3" t="str">
        <f t="shared" si="10"/>
        <v>FUL BDL</v>
      </c>
      <c r="C185" s="2" t="s">
        <v>530</v>
      </c>
      <c r="D185" s="4"/>
    </row>
    <row r="186">
      <c r="A186" s="2" t="s">
        <v>531</v>
      </c>
      <c r="B186" s="3" t="str">
        <f t="shared" si="10"/>
        <v>FUL LBD</v>
      </c>
      <c r="C186" s="2" t="s">
        <v>533</v>
      </c>
      <c r="D186" s="4"/>
    </row>
    <row r="187">
      <c r="A187" s="2" t="s">
        <v>534</v>
      </c>
      <c r="B187" s="3" t="str">
        <f t="shared" si="10"/>
        <v>FUL RUF</v>
      </c>
      <c r="C187" s="2" t="s">
        <v>536</v>
      </c>
      <c r="D187" s="4"/>
    </row>
    <row r="188">
      <c r="A188" s="2" t="s">
        <v>537</v>
      </c>
      <c r="B188" s="3" t="str">
        <f t="shared" si="10"/>
        <v>FUL RFD</v>
      </c>
      <c r="C188" s="2" t="s">
        <v>539</v>
      </c>
      <c r="D188" s="4"/>
    </row>
    <row r="189">
      <c r="A189" s="2" t="s">
        <v>540</v>
      </c>
      <c r="B189" s="3" t="str">
        <f t="shared" si="10"/>
        <v>FUL RBD</v>
      </c>
      <c r="C189" s="2" t="s">
        <v>542</v>
      </c>
      <c r="D189" s="4"/>
    </row>
    <row r="190">
      <c r="A190" s="2" t="s">
        <v>543</v>
      </c>
      <c r="B190" s="3" t="str">
        <f t="shared" si="10"/>
        <v>FUL LDF</v>
      </c>
      <c r="C190" s="2" t="s">
        <v>545</v>
      </c>
      <c r="D190" s="4"/>
    </row>
    <row r="191">
      <c r="A191" s="8"/>
      <c r="B191" s="6"/>
      <c r="C191" s="6"/>
      <c r="D191" s="7"/>
    </row>
    <row r="192">
      <c r="A192" s="2" t="s">
        <v>546</v>
      </c>
      <c r="B192" s="3" t="str">
        <f t="shared" ref="B192:B209" si="11">tra(A192)</f>
        <v>FLD ULB</v>
      </c>
      <c r="C192" s="3" t="str">
        <f>(inv(C10))</f>
        <v>U R D2 R' U' R D2 R' </v>
      </c>
      <c r="D192" s="4"/>
    </row>
    <row r="193">
      <c r="A193" s="2" t="s">
        <v>549</v>
      </c>
      <c r="B193" s="3" t="str">
        <f t="shared" si="11"/>
        <v>FLD UFR</v>
      </c>
      <c r="C193" s="3" t="str">
        <f>(inv(C48))</f>
        <v>U' R D2 R' U R D2 R' </v>
      </c>
      <c r="D193" s="4"/>
    </row>
    <row r="194">
      <c r="A194" s="2" t="s">
        <v>552</v>
      </c>
      <c r="B194" s="3" t="str">
        <f t="shared" si="11"/>
        <v>FLD LBU</v>
      </c>
      <c r="C194" s="2" t="s">
        <v>554</v>
      </c>
      <c r="D194" s="4"/>
    </row>
    <row r="195">
      <c r="A195" s="2" t="s">
        <v>555</v>
      </c>
      <c r="B195" s="3" t="str">
        <f t="shared" si="11"/>
        <v>FLD DFR</v>
      </c>
      <c r="C195" s="2" t="s">
        <v>557</v>
      </c>
      <c r="D195" s="4"/>
    </row>
    <row r="196">
      <c r="A196" s="2" t="s">
        <v>558</v>
      </c>
      <c r="B196" s="3" t="str">
        <f t="shared" si="11"/>
        <v>FLD DBL</v>
      </c>
      <c r="C196" s="2" t="s">
        <v>560</v>
      </c>
      <c r="D196" s="4"/>
    </row>
    <row r="197">
      <c r="A197" s="2" t="s">
        <v>561</v>
      </c>
      <c r="B197" s="3" t="str">
        <f t="shared" si="11"/>
        <v>FLD DRB</v>
      </c>
      <c r="C197" s="2" t="s">
        <v>563</v>
      </c>
      <c r="D197" s="4"/>
    </row>
    <row r="198">
      <c r="A198" s="2" t="s">
        <v>564</v>
      </c>
      <c r="B198" s="3" t="str">
        <f t="shared" si="11"/>
        <v>FLD FRU</v>
      </c>
      <c r="C198" s="2" t="s">
        <v>566</v>
      </c>
      <c r="D198" s="4"/>
    </row>
    <row r="199">
      <c r="A199" s="2" t="s">
        <v>567</v>
      </c>
      <c r="B199" s="3" t="str">
        <f t="shared" si="11"/>
        <v>FLD FUL</v>
      </c>
      <c r="C199" s="2" t="s">
        <v>569</v>
      </c>
      <c r="D199" s="4"/>
    </row>
    <row r="200">
      <c r="A200" s="2" t="s">
        <v>570</v>
      </c>
      <c r="B200" s="3" t="str">
        <f t="shared" si="11"/>
        <v>FLD FRD</v>
      </c>
      <c r="C200" s="2" t="s">
        <v>572</v>
      </c>
      <c r="D200" s="4"/>
    </row>
    <row r="201">
      <c r="A201" s="2" t="s">
        <v>573</v>
      </c>
      <c r="B201" s="3" t="str">
        <f t="shared" si="11"/>
        <v> FLD BUL</v>
      </c>
      <c r="C201" s="2" t="s">
        <v>575</v>
      </c>
      <c r="D201" s="4"/>
    </row>
    <row r="202">
      <c r="A202" s="2" t="s">
        <v>576</v>
      </c>
      <c r="B202" s="3" t="str">
        <f t="shared" si="11"/>
        <v>FLD BRD</v>
      </c>
      <c r="C202" s="2" t="s">
        <v>578</v>
      </c>
      <c r="D202" s="4"/>
    </row>
    <row r="203">
      <c r="A203" s="2" t="s">
        <v>579</v>
      </c>
      <c r="B203" s="3" t="str">
        <f t="shared" si="11"/>
        <v>FLD BDL</v>
      </c>
      <c r="C203" s="2" t="s">
        <v>581</v>
      </c>
      <c r="D203" s="4"/>
    </row>
    <row r="204">
      <c r="A204" s="2" t="s">
        <v>582</v>
      </c>
      <c r="B204" s="3" t="str">
        <f t="shared" si="11"/>
        <v> FLD LBD</v>
      </c>
      <c r="C204" s="2" t="s">
        <v>584</v>
      </c>
      <c r="D204" s="4"/>
    </row>
    <row r="205">
      <c r="A205" s="2" t="s">
        <v>585</v>
      </c>
      <c r="B205" s="3" t="str">
        <f t="shared" si="11"/>
        <v>FLD RUF</v>
      </c>
      <c r="C205" s="2" t="s">
        <v>1139</v>
      </c>
      <c r="D205" s="4"/>
    </row>
    <row r="206">
      <c r="A206" s="2" t="s">
        <v>588</v>
      </c>
      <c r="B206" s="3" t="str">
        <f t="shared" si="11"/>
        <v>FLD RBD</v>
      </c>
      <c r="C206" s="2" t="s">
        <v>590</v>
      </c>
      <c r="D206" s="4"/>
    </row>
    <row r="207">
      <c r="A207" s="2" t="s">
        <v>591</v>
      </c>
      <c r="B207" s="3" t="str">
        <f t="shared" si="11"/>
        <v>FLD LFU</v>
      </c>
      <c r="C207" s="2" t="s">
        <v>1140</v>
      </c>
      <c r="D207" s="4"/>
    </row>
    <row r="208">
      <c r="A208" s="2" t="s">
        <v>594</v>
      </c>
      <c r="B208" s="3" t="str">
        <f t="shared" si="11"/>
        <v>FLD RFD</v>
      </c>
      <c r="C208" s="2" t="s">
        <v>596</v>
      </c>
      <c r="D208" s="4"/>
    </row>
    <row r="209">
      <c r="A209" s="2" t="s">
        <v>597</v>
      </c>
      <c r="B209" s="3" t="str">
        <f t="shared" si="11"/>
        <v>FLD UFL</v>
      </c>
      <c r="C209" s="2" t="s">
        <v>599</v>
      </c>
      <c r="D209" s="4"/>
    </row>
    <row r="210">
      <c r="A210" s="8"/>
      <c r="B210" s="6"/>
      <c r="C210" s="6"/>
      <c r="D210" s="7"/>
    </row>
    <row r="211">
      <c r="A211" s="2" t="s">
        <v>600</v>
      </c>
      <c r="B211" s="3" t="str">
        <f t="shared" ref="B211:B228" si="12">tra(A211)</f>
        <v>FRD ULB</v>
      </c>
      <c r="C211" s="2" t="s">
        <v>602</v>
      </c>
      <c r="D211" s="2" t="s">
        <v>94</v>
      </c>
    </row>
    <row r="212">
      <c r="A212" s="2" t="s">
        <v>603</v>
      </c>
      <c r="B212" s="3" t="str">
        <f t="shared" si="12"/>
        <v>FRD UFL</v>
      </c>
      <c r="C212" s="2" t="s">
        <v>605</v>
      </c>
      <c r="D212" s="4"/>
    </row>
    <row r="213">
      <c r="A213" s="2" t="s">
        <v>606</v>
      </c>
      <c r="B213" s="3" t="str">
        <f t="shared" si="12"/>
        <v>FRD UFR</v>
      </c>
      <c r="C213" s="2" t="s">
        <v>608</v>
      </c>
      <c r="D213" s="4"/>
    </row>
    <row r="214">
      <c r="A214" s="2" t="s">
        <v>609</v>
      </c>
      <c r="B214" s="3" t="str">
        <f t="shared" si="12"/>
        <v>FRD LBU</v>
      </c>
      <c r="C214" s="2" t="s">
        <v>611</v>
      </c>
      <c r="D214" s="4"/>
    </row>
    <row r="215">
      <c r="A215" s="2" t="s">
        <v>612</v>
      </c>
      <c r="B215" s="3" t="str">
        <f t="shared" si="12"/>
        <v>FRD DLF</v>
      </c>
      <c r="C215" s="2" t="s">
        <v>614</v>
      </c>
      <c r="D215" s="4"/>
    </row>
    <row r="216">
      <c r="A216" s="2" t="s">
        <v>615</v>
      </c>
      <c r="B216" s="3" t="str">
        <f t="shared" si="12"/>
        <v>FRD DBL</v>
      </c>
      <c r="C216" s="2" t="s">
        <v>617</v>
      </c>
      <c r="D216" s="4"/>
    </row>
    <row r="217">
      <c r="A217" s="2" t="s">
        <v>618</v>
      </c>
      <c r="B217" s="3" t="str">
        <f t="shared" si="12"/>
        <v>FRD DRB</v>
      </c>
      <c r="C217" s="2" t="s">
        <v>620</v>
      </c>
      <c r="D217" s="4"/>
    </row>
    <row r="218">
      <c r="A218" s="2" t="s">
        <v>621</v>
      </c>
      <c r="B218" s="3" t="str">
        <f t="shared" si="12"/>
        <v>FRD FRU</v>
      </c>
      <c r="C218" s="2" t="s">
        <v>623</v>
      </c>
      <c r="D218" s="4"/>
    </row>
    <row r="219">
      <c r="A219" s="2" t="s">
        <v>624</v>
      </c>
      <c r="B219" s="3" t="str">
        <f t="shared" si="12"/>
        <v>FRD FUL</v>
      </c>
      <c r="C219" s="2" t="s">
        <v>626</v>
      </c>
      <c r="D219" s="4"/>
    </row>
    <row r="220">
      <c r="A220" s="2" t="s">
        <v>627</v>
      </c>
      <c r="B220" s="3" t="str">
        <f t="shared" si="12"/>
        <v>FRD FLD</v>
      </c>
      <c r="C220" s="2" t="s">
        <v>629</v>
      </c>
      <c r="D220" s="4"/>
    </row>
    <row r="221">
      <c r="A221" s="2" t="s">
        <v>630</v>
      </c>
      <c r="B221" s="3" t="str">
        <f t="shared" si="12"/>
        <v>FRD BUL</v>
      </c>
      <c r="C221" s="2" t="s">
        <v>632</v>
      </c>
      <c r="D221" s="4"/>
    </row>
    <row r="222">
      <c r="A222" s="2" t="s">
        <v>633</v>
      </c>
      <c r="B222" s="3" t="str">
        <f t="shared" si="12"/>
        <v>FRD BRD</v>
      </c>
      <c r="C222" s="2" t="s">
        <v>635</v>
      </c>
      <c r="D222" s="4"/>
    </row>
    <row r="223">
      <c r="A223" s="2" t="s">
        <v>636</v>
      </c>
      <c r="B223" s="3" t="str">
        <f t="shared" si="12"/>
        <v>FRD BDL</v>
      </c>
      <c r="C223" s="2" t="s">
        <v>638</v>
      </c>
      <c r="D223" s="4"/>
    </row>
    <row r="224">
      <c r="A224" s="2" t="s">
        <v>639</v>
      </c>
      <c r="B224" s="3" t="str">
        <f t="shared" si="12"/>
        <v>FRD LBD</v>
      </c>
      <c r="C224" s="2" t="s">
        <v>641</v>
      </c>
      <c r="D224" s="4"/>
    </row>
    <row r="225">
      <c r="A225" s="2" t="s">
        <v>642</v>
      </c>
      <c r="B225" s="3" t="str">
        <f t="shared" si="12"/>
        <v>FRD RUF</v>
      </c>
      <c r="C225" s="2" t="s">
        <v>644</v>
      </c>
      <c r="D225" s="4"/>
    </row>
    <row r="226">
      <c r="A226" s="2" t="s">
        <v>645</v>
      </c>
      <c r="B226" s="3" t="str">
        <f t="shared" si="12"/>
        <v>FRD RBD</v>
      </c>
      <c r="C226" s="2" t="s">
        <v>647</v>
      </c>
      <c r="D226" s="4"/>
    </row>
    <row r="227">
      <c r="A227" s="2" t="s">
        <v>648</v>
      </c>
      <c r="B227" s="3" t="str">
        <f t="shared" si="12"/>
        <v>FRD LFU</v>
      </c>
      <c r="C227" s="2" t="s">
        <v>650</v>
      </c>
      <c r="D227" s="4"/>
    </row>
    <row r="228">
      <c r="A228" s="2" t="s">
        <v>651</v>
      </c>
      <c r="B228" s="3" t="str">
        <f t="shared" si="12"/>
        <v>FRD LDF</v>
      </c>
      <c r="C228" s="2" t="s">
        <v>653</v>
      </c>
      <c r="D228" s="4"/>
    </row>
    <row r="229">
      <c r="A229" s="8"/>
      <c r="B229" s="6"/>
      <c r="C229" s="6"/>
      <c r="D229" s="7"/>
    </row>
    <row r="230">
      <c r="A230" s="2" t="s">
        <v>654</v>
      </c>
      <c r="B230" s="3" t="str">
        <f t="shared" ref="B230:B247" si="13">tra(A230)</f>
        <v>BUL UFL</v>
      </c>
      <c r="C230" s="2" t="s">
        <v>656</v>
      </c>
      <c r="D230" s="4"/>
    </row>
    <row r="231">
      <c r="A231" s="2" t="s">
        <v>657</v>
      </c>
      <c r="B231" s="3" t="str">
        <f t="shared" si="13"/>
        <v>BUL UFR</v>
      </c>
      <c r="C231" s="2" t="s">
        <v>659</v>
      </c>
      <c r="D231" s="4"/>
    </row>
    <row r="232">
      <c r="A232" s="2" t="s">
        <v>660</v>
      </c>
      <c r="B232" s="3" t="str">
        <f t="shared" si="13"/>
        <v>BUL DFR</v>
      </c>
      <c r="C232" s="2" t="s">
        <v>662</v>
      </c>
      <c r="D232" s="4"/>
    </row>
    <row r="233">
      <c r="A233" s="2" t="s">
        <v>663</v>
      </c>
      <c r="B233" s="3" t="str">
        <f t="shared" si="13"/>
        <v>BUL DLF</v>
      </c>
      <c r="C233" s="2" t="s">
        <v>665</v>
      </c>
      <c r="D233" s="4"/>
    </row>
    <row r="234">
      <c r="A234" s="2" t="s">
        <v>666</v>
      </c>
      <c r="B234" s="3" t="str">
        <f t="shared" si="13"/>
        <v>BUL DBL</v>
      </c>
      <c r="C234" s="2" t="s">
        <v>668</v>
      </c>
      <c r="D234" s="4"/>
    </row>
    <row r="235">
      <c r="A235" s="2" t="s">
        <v>669</v>
      </c>
      <c r="B235" s="3" t="str">
        <f t="shared" si="13"/>
        <v>BUL DRB</v>
      </c>
      <c r="C235" s="2" t="s">
        <v>671</v>
      </c>
      <c r="D235" s="4"/>
    </row>
    <row r="236">
      <c r="A236" s="2" t="s">
        <v>672</v>
      </c>
      <c r="B236" s="3" t="str">
        <f t="shared" si="13"/>
        <v>BUL FRU</v>
      </c>
      <c r="C236" s="2" t="s">
        <v>674</v>
      </c>
      <c r="D236" s="4"/>
    </row>
    <row r="237">
      <c r="A237" s="2" t="s">
        <v>675</v>
      </c>
      <c r="B237" s="3" t="str">
        <f t="shared" si="13"/>
        <v>BUL FUL</v>
      </c>
      <c r="C237" s="2" t="s">
        <v>677</v>
      </c>
      <c r="D237" s="4"/>
    </row>
    <row r="238">
      <c r="A238" s="2" t="s">
        <v>678</v>
      </c>
      <c r="B238" s="3" t="str">
        <f t="shared" si="13"/>
        <v>BUL FLD</v>
      </c>
      <c r="C238" s="2" t="s">
        <v>680</v>
      </c>
      <c r="D238" s="4"/>
    </row>
    <row r="239">
      <c r="A239" s="2" t="s">
        <v>681</v>
      </c>
      <c r="B239" s="3" t="str">
        <f t="shared" si="13"/>
        <v>BUL FRD</v>
      </c>
      <c r="C239" s="2" t="s">
        <v>683</v>
      </c>
      <c r="D239" s="4"/>
    </row>
    <row r="240">
      <c r="A240" s="2" t="s">
        <v>684</v>
      </c>
      <c r="B240" s="3" t="str">
        <f t="shared" si="13"/>
        <v>BUL BRD</v>
      </c>
      <c r="C240" s="2" t="s">
        <v>686</v>
      </c>
      <c r="D240" s="4"/>
    </row>
    <row r="241">
      <c r="A241" s="2" t="s">
        <v>687</v>
      </c>
      <c r="B241" s="3" t="str">
        <f t="shared" si="13"/>
        <v>BUL BDL</v>
      </c>
      <c r="C241" s="2" t="s">
        <v>689</v>
      </c>
      <c r="D241" s="4"/>
    </row>
    <row r="242">
      <c r="A242" s="2" t="s">
        <v>690</v>
      </c>
      <c r="B242" s="3" t="str">
        <f t="shared" si="13"/>
        <v>BUL LBD</v>
      </c>
      <c r="C242" s="2" t="s">
        <v>692</v>
      </c>
      <c r="D242" s="4"/>
    </row>
    <row r="243">
      <c r="A243" s="2" t="s">
        <v>693</v>
      </c>
      <c r="B243" s="3" t="str">
        <f t="shared" si="13"/>
        <v>BUL RUF</v>
      </c>
      <c r="C243" s="2" t="s">
        <v>695</v>
      </c>
      <c r="D243" s="2" t="s">
        <v>696</v>
      </c>
    </row>
    <row r="244">
      <c r="A244" s="2" t="s">
        <v>697</v>
      </c>
      <c r="B244" s="3" t="str">
        <f t="shared" si="13"/>
        <v>BUL RFD</v>
      </c>
      <c r="C244" s="2" t="s">
        <v>699</v>
      </c>
      <c r="D244" s="4"/>
    </row>
    <row r="245">
      <c r="A245" s="2" t="s">
        <v>700</v>
      </c>
      <c r="B245" s="3" t="str">
        <f t="shared" si="13"/>
        <v>BUL RBD</v>
      </c>
      <c r="C245" s="2" t="s">
        <v>702</v>
      </c>
      <c r="D245" s="4"/>
    </row>
    <row r="246">
      <c r="A246" s="2" t="s">
        <v>703</v>
      </c>
      <c r="B246" s="3" t="str">
        <f t="shared" si="13"/>
        <v>BUL LFU</v>
      </c>
      <c r="C246" s="2" t="s">
        <v>705</v>
      </c>
      <c r="D246" s="2" t="s">
        <v>706</v>
      </c>
    </row>
    <row r="247">
      <c r="A247" s="2" t="s">
        <v>707</v>
      </c>
      <c r="B247" s="3" t="str">
        <f t="shared" si="13"/>
        <v>BUL LDF</v>
      </c>
      <c r="C247" s="2" t="s">
        <v>709</v>
      </c>
      <c r="D247" s="4"/>
    </row>
    <row r="248">
      <c r="A248" s="8"/>
      <c r="B248" s="6"/>
      <c r="C248" s="6"/>
      <c r="D248" s="7"/>
    </row>
    <row r="249">
      <c r="A249" s="2" t="s">
        <v>710</v>
      </c>
      <c r="B249" s="3" t="str">
        <f t="shared" ref="B249:B266" si="14">tra(A249)</f>
        <v>BRD ULB</v>
      </c>
      <c r="C249" s="3" t="str">
        <f>INV(C12)</f>
        <v>y U R' D' R U' R' D R y' </v>
      </c>
      <c r="D249" s="4"/>
    </row>
    <row r="250">
      <c r="A250" s="2" t="s">
        <v>713</v>
      </c>
      <c r="B250" s="3" t="str">
        <f t="shared" si="14"/>
        <v>BRD UFL</v>
      </c>
      <c r="C250" s="3" t="str">
        <f>INV(C32)</f>
        <v>L D2 L' U2 L D2 L' U2 </v>
      </c>
      <c r="D250" s="4"/>
    </row>
    <row r="251">
      <c r="A251" s="2" t="s">
        <v>716</v>
      </c>
      <c r="B251" s="3" t="str">
        <f t="shared" si="14"/>
        <v>BRD UFR</v>
      </c>
      <c r="C251" s="3" t="str">
        <f>INV(C51)</f>
        <v>D' R' D' R U R' D R U' D </v>
      </c>
      <c r="D251" s="4"/>
    </row>
    <row r="252">
      <c r="A252" s="2" t="s">
        <v>719</v>
      </c>
      <c r="B252" s="3" t="str">
        <f t="shared" si="14"/>
        <v>BRD LBU</v>
      </c>
      <c r="C252" s="3" t="str">
        <f>INV(C69)</f>
        <v>U' L' U R' U' L U R </v>
      </c>
      <c r="D252" s="4"/>
    </row>
    <row r="253">
      <c r="A253" s="2" t="s">
        <v>722</v>
      </c>
      <c r="B253" s="3" t="str">
        <f t="shared" si="14"/>
        <v>BRD DFR</v>
      </c>
      <c r="C253" s="3" t="str">
        <f>INV(C88)</f>
        <v>z' x R' U R' D2 R U' R' D2 R2 x' z </v>
      </c>
      <c r="D253" s="4"/>
    </row>
    <row r="254">
      <c r="A254" s="2" t="s">
        <v>725</v>
      </c>
      <c r="B254" s="3" t="str">
        <f t="shared" si="14"/>
        <v>BRD DLF</v>
      </c>
      <c r="C254" s="3" t="str">
        <f>INV(C107)</f>
        <v>U' L2 U R' U' L2 U R </v>
      </c>
      <c r="D254" s="4"/>
    </row>
    <row r="255">
      <c r="A255" s="2" t="s">
        <v>728</v>
      </c>
      <c r="B255" s="3" t="str">
        <f t="shared" si="14"/>
        <v>BRD DBL</v>
      </c>
      <c r="C255" s="3" t="str">
        <f>INV(C128)</f>
        <v>L' D2 L' U2 L D2 L' U2 L2 </v>
      </c>
      <c r="D255" s="4"/>
    </row>
    <row r="256">
      <c r="A256" s="2" t="s">
        <v>731</v>
      </c>
      <c r="B256" s="3" t="str">
        <f t="shared" si="14"/>
        <v>BRD FRU</v>
      </c>
      <c r="C256" s="3" t="str">
        <f>INV(C165)</f>
        <v>y' U2 L2 U' R' U L2 U' R U' y </v>
      </c>
      <c r="D256" s="4"/>
    </row>
    <row r="257">
      <c r="A257" s="2" t="s">
        <v>734</v>
      </c>
      <c r="B257" s="3" t="str">
        <f t="shared" si="14"/>
        <v>BRD FUL</v>
      </c>
      <c r="C257" s="3" t="str">
        <f>INV(C184)</f>
        <v>l U' L2 U R' U' L2 U x </v>
      </c>
      <c r="D257" s="4"/>
    </row>
    <row r="258">
      <c r="A258" s="2" t="s">
        <v>737</v>
      </c>
      <c r="B258" s="3" t="str">
        <f t="shared" si="14"/>
        <v>BRD FLD</v>
      </c>
      <c r="C258" s="3" t="str">
        <f>INV(C202)</f>
        <v>D2 L' U2 L D2 L' U2 L </v>
      </c>
      <c r="D258" s="4"/>
    </row>
    <row r="259">
      <c r="A259" s="2" t="s">
        <v>740</v>
      </c>
      <c r="B259" s="3" t="str">
        <f t="shared" si="14"/>
        <v>BRD FRD</v>
      </c>
      <c r="C259" s="3" t="str">
        <f>INV(C222)</f>
        <v>D' R' D' R U R' D2 R U' R' D' R D </v>
      </c>
      <c r="D259" s="4"/>
    </row>
    <row r="260">
      <c r="A260" s="2" t="s">
        <v>743</v>
      </c>
      <c r="B260" s="3" t="str">
        <f t="shared" si="14"/>
        <v>BRD BUL</v>
      </c>
      <c r="C260" s="3" t="str">
        <f>INV(C240)</f>
        <v>L2 D2 L' U2 L D2 L' U2 L' </v>
      </c>
      <c r="D260" s="4"/>
    </row>
    <row r="261">
      <c r="A261" s="2" t="s">
        <v>746</v>
      </c>
      <c r="B261" s="3" t="str">
        <f t="shared" si="14"/>
        <v>BRD BDL</v>
      </c>
      <c r="C261" s="3" t="str">
        <f>INV(C280)</f>
        <v>U' L U R' U' L' U R </v>
      </c>
      <c r="D261" s="4"/>
    </row>
    <row r="262">
      <c r="A262" s="2" t="s">
        <v>749</v>
      </c>
      <c r="B262" s="3" t="str">
        <f t="shared" si="14"/>
        <v>BRD RUF</v>
      </c>
      <c r="C262" s="2" t="s">
        <v>751</v>
      </c>
      <c r="D262" s="4"/>
    </row>
    <row r="263">
      <c r="A263" s="2" t="s">
        <v>752</v>
      </c>
      <c r="B263" s="3" t="str">
        <f t="shared" si="14"/>
        <v>BRD RFD</v>
      </c>
      <c r="C263" s="2" t="s">
        <v>754</v>
      </c>
      <c r="D263" s="4"/>
    </row>
    <row r="264">
      <c r="A264" s="2" t="s">
        <v>755</v>
      </c>
      <c r="B264" s="3" t="str">
        <f t="shared" si="14"/>
        <v>BRD LBD</v>
      </c>
      <c r="C264" s="2" t="s">
        <v>757</v>
      </c>
      <c r="D264" s="4"/>
    </row>
    <row r="265">
      <c r="A265" s="2" t="s">
        <v>758</v>
      </c>
      <c r="B265" s="3" t="str">
        <f t="shared" si="14"/>
        <v>BRD LFU</v>
      </c>
      <c r="C265" s="2" t="s">
        <v>760</v>
      </c>
      <c r="D265" s="4"/>
    </row>
    <row r="266">
      <c r="A266" s="2" t="s">
        <v>761</v>
      </c>
      <c r="B266" s="3" t="str">
        <f t="shared" si="14"/>
        <v>BRD LDF</v>
      </c>
      <c r="C266" s="2" t="s">
        <v>763</v>
      </c>
      <c r="D266" s="4"/>
    </row>
    <row r="267">
      <c r="A267" s="8"/>
      <c r="B267" s="6"/>
      <c r="C267" s="6"/>
      <c r="D267" s="7"/>
    </row>
    <row r="268">
      <c r="A268" s="2" t="s">
        <v>764</v>
      </c>
      <c r="B268" s="3" t="str">
        <f t="shared" ref="B268:B284" si="15">tra(A268)</f>
        <v>BDL ULB</v>
      </c>
      <c r="C268" s="2" t="s">
        <v>766</v>
      </c>
      <c r="D268" s="4"/>
    </row>
    <row r="269">
      <c r="A269" s="2" t="s">
        <v>767</v>
      </c>
      <c r="B269" s="3" t="str">
        <f t="shared" si="15"/>
        <v>BDL UFL</v>
      </c>
      <c r="C269" s="3" t="str">
        <f>(INV(C33))</f>
        <v>D' U2 R D R' U2 R D' R' D </v>
      </c>
      <c r="D269" s="4"/>
    </row>
    <row r="270">
      <c r="A270" s="2" t="s">
        <v>770</v>
      </c>
      <c r="B270" s="3" t="str">
        <f t="shared" si="15"/>
        <v>BDL UFR</v>
      </c>
      <c r="C270" s="3" t="str">
        <f>(INV(C52))</f>
        <v>R' D2 R U R' D2 R U' </v>
      </c>
      <c r="D270" s="4"/>
    </row>
    <row r="271">
      <c r="A271" s="2" t="s">
        <v>773</v>
      </c>
      <c r="B271" s="3" t="str">
        <f t="shared" si="15"/>
        <v>BDL LBU</v>
      </c>
      <c r="C271" s="3" t="str">
        <f>(INV(C70))</f>
        <v>D L2 U R U' L2 U R' U' D' </v>
      </c>
      <c r="D271" s="4"/>
    </row>
    <row r="272">
      <c r="A272" s="2" t="s">
        <v>776</v>
      </c>
      <c r="B272" s="3" t="str">
        <f t="shared" si="15"/>
        <v>BDL DFR</v>
      </c>
      <c r="C272" s="3" t="str">
        <f>(INV(C89))</f>
        <v>R2 U' L U R2 U' L' U </v>
      </c>
      <c r="D272" s="4"/>
    </row>
    <row r="273">
      <c r="A273" s="2" t="s">
        <v>779</v>
      </c>
      <c r="B273" s="3" t="str">
        <f t="shared" si="15"/>
        <v>BDL DLF</v>
      </c>
      <c r="C273" s="3" t="str">
        <f>(INV(C108))</f>
        <v>D' R2 D2 R U R' D2 R U' R D </v>
      </c>
      <c r="D273" s="4"/>
    </row>
    <row r="274">
      <c r="A274" s="2" t="s">
        <v>782</v>
      </c>
      <c r="B274" s="3" t="str">
        <f t="shared" si="15"/>
        <v>BDL DRB</v>
      </c>
      <c r="C274" s="3" t="str">
        <f>EXC(INV(C147))</f>
        <v>U2 R D2 R U' R' D2 R U R2 U2 </v>
      </c>
      <c r="D274" s="4"/>
    </row>
    <row r="275">
      <c r="A275" s="2" t="s">
        <v>785</v>
      </c>
      <c r="B275" s="3" t="str">
        <f t="shared" si="15"/>
        <v>BDL FRU</v>
      </c>
      <c r="C275" s="3" t="str">
        <f>(INV(C166))</f>
        <v>R U' L U R' U' L' U </v>
      </c>
      <c r="D275" s="4"/>
    </row>
    <row r="276">
      <c r="A276" s="2" t="s">
        <v>788</v>
      </c>
      <c r="B276" s="3" t="str">
        <f t="shared" si="15"/>
        <v>BDL FUL</v>
      </c>
      <c r="C276" s="3" t="str">
        <f>(INV(C185))</f>
        <v>x L2 U R' U' L2 U R U' x' </v>
      </c>
      <c r="D276" s="4"/>
    </row>
    <row r="277">
      <c r="A277" s="2" t="s">
        <v>791</v>
      </c>
      <c r="B277" s="3" t="str">
        <f t="shared" si="15"/>
        <v>BDL FLD</v>
      </c>
      <c r="C277" s="3" t="str">
        <f>(INV(C203))</f>
        <v>D R' D R U R' D2 R U' R' D R D' </v>
      </c>
      <c r="D277" s="4"/>
    </row>
    <row r="278">
      <c r="A278" s="2" t="s">
        <v>794</v>
      </c>
      <c r="B278" s="3" t="str">
        <f t="shared" si="15"/>
        <v>BDL FRD</v>
      </c>
      <c r="C278" s="3" t="str">
        <f>(INV(C223))</f>
        <v>D' R' U' R D2 R' U R D' </v>
      </c>
      <c r="D278" s="4"/>
    </row>
    <row r="279">
      <c r="A279" s="2" t="s">
        <v>797</v>
      </c>
      <c r="B279" s="3" t="str">
        <f t="shared" si="15"/>
        <v>BDL BUL</v>
      </c>
      <c r="C279" s="3" t="str">
        <f>(INV(C241))</f>
        <v>R' U R' D' R' U2 R D R' U R </v>
      </c>
      <c r="D279" s="4"/>
    </row>
    <row r="280">
      <c r="A280" s="2" t="s">
        <v>800</v>
      </c>
      <c r="B280" s="3" t="str">
        <f t="shared" si="15"/>
        <v>BDL BRD</v>
      </c>
      <c r="C280" s="2" t="s">
        <v>802</v>
      </c>
      <c r="D280" s="4"/>
    </row>
    <row r="281">
      <c r="A281" s="2" t="s">
        <v>803</v>
      </c>
      <c r="B281" s="3" t="str">
        <f t="shared" si="15"/>
        <v>BDL RUF</v>
      </c>
      <c r="C281" s="2" t="s">
        <v>805</v>
      </c>
      <c r="D281" s="4"/>
    </row>
    <row r="282">
      <c r="A282" s="2" t="s">
        <v>806</v>
      </c>
      <c r="B282" s="3" t="str">
        <f t="shared" si="15"/>
        <v>BDL RFD</v>
      </c>
      <c r="C282" s="2" t="s">
        <v>808</v>
      </c>
      <c r="D282" s="4"/>
    </row>
    <row r="283">
      <c r="A283" s="2" t="s">
        <v>809</v>
      </c>
      <c r="B283" s="3" t="str">
        <f t="shared" si="15"/>
        <v>BDL RBD</v>
      </c>
      <c r="C283" s="2" t="s">
        <v>811</v>
      </c>
      <c r="D283" s="4"/>
    </row>
    <row r="284">
      <c r="A284" s="2" t="s">
        <v>812</v>
      </c>
      <c r="B284" s="3" t="str">
        <f t="shared" si="15"/>
        <v>BDL LFU</v>
      </c>
      <c r="C284" s="2" t="s">
        <v>814</v>
      </c>
      <c r="D284" s="4"/>
    </row>
    <row r="285">
      <c r="A285" s="2" t="s">
        <v>815</v>
      </c>
      <c r="B285" s="2" t="s">
        <v>816</v>
      </c>
      <c r="C285" s="2" t="s">
        <v>817</v>
      </c>
      <c r="D285" s="4"/>
    </row>
    <row r="286">
      <c r="A286" s="5"/>
      <c r="B286" s="6"/>
      <c r="C286" s="6"/>
      <c r="D286" s="7"/>
    </row>
    <row r="287">
      <c r="A287" s="2" t="s">
        <v>818</v>
      </c>
      <c r="B287" s="3" t="str">
        <f t="shared" ref="B287:B304" si="16">tra(A287)</f>
        <v>LBD ULB</v>
      </c>
      <c r="C287" s="3" t="str">
        <f>INV(C14)</f>
        <v>U R D' R' U' R D R' </v>
      </c>
      <c r="D287" s="4"/>
    </row>
    <row r="288">
      <c r="A288" s="2" t="s">
        <v>821</v>
      </c>
      <c r="B288" s="3" t="str">
        <f t="shared" si="16"/>
        <v>LBD UFL</v>
      </c>
      <c r="C288" s="3" t="str">
        <f>inv(C34)</f>
        <v>U2 R D R' U2 R D' R' </v>
      </c>
      <c r="D288" s="4"/>
    </row>
    <row r="289">
      <c r="A289" s="2" t="s">
        <v>824</v>
      </c>
      <c r="B289" s="3" t="str">
        <f t="shared" si="16"/>
        <v>LBD UFR</v>
      </c>
      <c r="C289" s="3" t="str">
        <f>inv(C53)</f>
        <v>U' R D' R U R' D R' </v>
      </c>
      <c r="D289" s="4"/>
    </row>
    <row r="290">
      <c r="A290" s="2" t="s">
        <v>827</v>
      </c>
      <c r="B290" s="3" t="str">
        <f t="shared" si="16"/>
        <v>LBD LBU</v>
      </c>
      <c r="C290" s="3" t="str">
        <f>inv(C71)</f>
        <v>L U R U' L' U R' U' </v>
      </c>
      <c r="D290" s="4"/>
    </row>
    <row r="291">
      <c r="A291" s="2" t="s">
        <v>830</v>
      </c>
      <c r="B291" s="3" t="str">
        <f t="shared" si="16"/>
        <v>LBD DFR</v>
      </c>
      <c r="C291" s="3" t="str">
        <f>inv(C90)</f>
        <v>U' R' D R' U R D' R' U' R2 U </v>
      </c>
      <c r="D291" s="4"/>
    </row>
    <row r="292">
      <c r="A292" s="2" t="s">
        <v>833</v>
      </c>
      <c r="B292" s="3" t="str">
        <f t="shared" si="16"/>
        <v>LBD DLF</v>
      </c>
      <c r="C292" s="3" t="str">
        <f>inv(C109)</f>
        <v>y' R' D2 R' U R D2 R' U' R2 y </v>
      </c>
      <c r="D292" s="4"/>
    </row>
    <row r="293">
      <c r="A293" s="2" t="s">
        <v>836</v>
      </c>
      <c r="B293" s="3" t="str">
        <f t="shared" si="16"/>
        <v>LBD DRB</v>
      </c>
      <c r="C293" s="3" t="str">
        <f>inv(C148)</f>
        <v>x' U R2 D R' U2 R D' R' U2 R' U' x </v>
      </c>
      <c r="D293" s="4"/>
    </row>
    <row r="294">
      <c r="A294" s="2" t="s">
        <v>839</v>
      </c>
      <c r="B294" s="3" t="str">
        <f t="shared" si="16"/>
        <v>LBD FRU</v>
      </c>
      <c r="C294" s="3" t="str">
        <f>inv(C167)</f>
        <v>U L2 U' R' U L2 U' R </v>
      </c>
      <c r="D294" s="4"/>
    </row>
    <row r="295">
      <c r="A295" s="2" t="s">
        <v>842</v>
      </c>
      <c r="B295" s="3" t="str">
        <f t="shared" si="16"/>
        <v>LBD FUL</v>
      </c>
      <c r="C295" s="3" t="str">
        <f>inv(C186)</f>
        <v>l' U2 R' D R U' R' D' R U' l </v>
      </c>
      <c r="D295" s="4"/>
    </row>
    <row r="296">
      <c r="A296" s="2" t="s">
        <v>845</v>
      </c>
      <c r="B296" s="3" t="str">
        <f t="shared" si="16"/>
        <v>LBD FLD</v>
      </c>
      <c r="C296" s="3" t="str">
        <f>inv(C204)</f>
        <v>D L' U2 L D' L' U2 L </v>
      </c>
      <c r="D296" s="4"/>
    </row>
    <row r="297">
      <c r="A297" s="2" t="s">
        <v>848</v>
      </c>
      <c r="B297" s="3" t="str">
        <f t="shared" si="16"/>
        <v>LBD FRD</v>
      </c>
      <c r="C297" s="3" t="str">
        <f>inv(C224)</f>
        <v>F D L' U2 L D' L' U2 L F' </v>
      </c>
      <c r="D297" s="4"/>
    </row>
    <row r="298">
      <c r="A298" s="2" t="s">
        <v>851</v>
      </c>
      <c r="B298" s="3" t="str">
        <f t="shared" si="16"/>
        <v>LBD BUL</v>
      </c>
      <c r="C298" s="3" t="str">
        <f>inv(C242)</f>
        <v>U2 R U2 R D' R' U2 R D R2 U2 </v>
      </c>
      <c r="D298" s="4"/>
    </row>
    <row r="299">
      <c r="A299" s="2" t="s">
        <v>854</v>
      </c>
      <c r="B299" s="3" t="str">
        <f t="shared" si="16"/>
        <v>LBD BRD</v>
      </c>
      <c r="C299" s="3" t="str">
        <f>exc("y [D'; R U R'] y''")</f>
        <v>y D' R U R' D R U' R' y' </v>
      </c>
      <c r="D299" s="4"/>
    </row>
    <row r="300">
      <c r="A300" s="2" t="s">
        <v>857</v>
      </c>
      <c r="B300" s="3" t="str">
        <f t="shared" si="16"/>
        <v>LBD RUF</v>
      </c>
      <c r="C300" s="3" t="str">
        <f>EXC("x U2 [L'; U' R2 U] U2 x'")</f>
        <v>x U2 L' U' R2 U L U' R2 U' x' </v>
      </c>
      <c r="D300" s="4"/>
    </row>
    <row r="301">
      <c r="A301" s="2" t="s">
        <v>860</v>
      </c>
      <c r="B301" s="3" t="str">
        <f t="shared" si="16"/>
        <v>LBD RFD</v>
      </c>
      <c r="C301" s="2" t="s">
        <v>862</v>
      </c>
      <c r="D301" s="4"/>
    </row>
    <row r="302">
      <c r="A302" s="2" t="s">
        <v>863</v>
      </c>
      <c r="B302" s="3" t="str">
        <f t="shared" si="16"/>
        <v>LBD RBD</v>
      </c>
      <c r="C302" s="2" t="s">
        <v>865</v>
      </c>
      <c r="D302" s="4"/>
    </row>
    <row r="303">
      <c r="A303" s="2" t="s">
        <v>866</v>
      </c>
      <c r="B303" s="3" t="str">
        <f t="shared" si="16"/>
        <v>LBD LFU</v>
      </c>
      <c r="C303" s="2" t="s">
        <v>868</v>
      </c>
      <c r="D303" s="4"/>
    </row>
    <row r="304">
      <c r="A304" s="2" t="s">
        <v>869</v>
      </c>
      <c r="B304" s="3" t="str">
        <f t="shared" si="16"/>
        <v>LBD LDF</v>
      </c>
      <c r="C304" s="2" t="s">
        <v>871</v>
      </c>
      <c r="D304" s="4"/>
    </row>
    <row r="305">
      <c r="A305" s="8"/>
      <c r="B305" s="6"/>
      <c r="C305" s="6"/>
      <c r="D305" s="7"/>
    </row>
    <row r="306">
      <c r="A306" s="2" t="s">
        <v>872</v>
      </c>
      <c r="B306" s="3" t="str">
        <f t="shared" ref="B306:B307" si="17">tra(A306)</f>
        <v>RUF ULB</v>
      </c>
      <c r="C306" s="3" t="str">
        <f>inv(C15)</f>
        <v>U R2 D R' U2 R D' R' U2 R' U' </v>
      </c>
      <c r="D306" s="4"/>
    </row>
    <row r="307">
      <c r="A307" s="2" t="s">
        <v>875</v>
      </c>
      <c r="B307" s="3" t="str">
        <f t="shared" si="17"/>
        <v>RUF UFL</v>
      </c>
      <c r="C307" s="3" t="str">
        <f>inv(C35)</f>
        <v>U x R2 D2 R U2 R' D2 R U2 R x' U' </v>
      </c>
      <c r="D307" s="4"/>
    </row>
    <row r="308">
      <c r="A308" s="2" t="s">
        <v>878</v>
      </c>
      <c r="B308" s="3" t="str">
        <f t="shared" ref="B308:B309" si="18">(tra(A308))</f>
        <v>RUF LBU</v>
      </c>
      <c r="C308" s="2" t="s">
        <v>880</v>
      </c>
      <c r="D308" s="2" t="s">
        <v>881</v>
      </c>
    </row>
    <row r="309">
      <c r="A309" s="2" t="s">
        <v>882</v>
      </c>
      <c r="B309" s="3" t="str">
        <f t="shared" si="18"/>
        <v>RUF DFR</v>
      </c>
      <c r="C309" s="3" t="str">
        <f>inv(C91)</f>
        <v>B2 R U R' D2 R U' R' D2 B2 </v>
      </c>
      <c r="D309" s="4"/>
    </row>
    <row r="310">
      <c r="A310" s="2" t="s">
        <v>885</v>
      </c>
      <c r="B310" s="3" t="str">
        <f t="shared" ref="B310:B323" si="19">tra(A310)</f>
        <v>RUF DLF</v>
      </c>
      <c r="C310" s="3" t="str">
        <f>inv(C110)</f>
        <v>F' U R' D' R U2 R' D R U F </v>
      </c>
      <c r="D310" s="4"/>
    </row>
    <row r="311">
      <c r="A311" s="2" t="s">
        <v>888</v>
      </c>
      <c r="B311" s="3" t="str">
        <f t="shared" si="19"/>
        <v>RUF DBL</v>
      </c>
      <c r="C311" s="3" t="str">
        <f>inv(C129)</f>
        <v>U R2 D' R' U2 R D R' U2 R' U' </v>
      </c>
      <c r="D311" s="4"/>
    </row>
    <row r="312">
      <c r="A312" s="2" t="s">
        <v>891</v>
      </c>
      <c r="B312" s="3" t="str">
        <f t="shared" si="19"/>
        <v>RUF DRB</v>
      </c>
      <c r="C312" s="3" t="str">
        <f>inv(C149)</f>
        <v>D2 F' U R' D' R U2 R' D R U F D2 </v>
      </c>
      <c r="D312" s="4"/>
    </row>
    <row r="313">
      <c r="A313" s="2" t="s">
        <v>894</v>
      </c>
      <c r="B313" s="3" t="str">
        <f t="shared" si="19"/>
        <v>RUF FUL</v>
      </c>
      <c r="C313" s="3" t="str">
        <f>inv(C187)</f>
        <v>U' R' U2 R' D' R U2 R' D R2 U </v>
      </c>
      <c r="D313" s="4"/>
    </row>
    <row r="314">
      <c r="A314" s="2" t="s">
        <v>897</v>
      </c>
      <c r="B314" s="3" t="str">
        <f t="shared" si="19"/>
        <v>RUF FLD</v>
      </c>
      <c r="C314" s="3" t="str">
        <f>inv(C205)</f>
        <v>U R U' R' D R U2 R' D' R U R' U' </v>
      </c>
      <c r="D314" s="4"/>
    </row>
    <row r="315">
      <c r="A315" s="2" t="s">
        <v>900</v>
      </c>
      <c r="B315" s="3" t="str">
        <f t="shared" si="19"/>
        <v>RUF FRD</v>
      </c>
      <c r="C315" s="3" t="str">
        <f>inv(C225)</f>
        <v>D' U' R' U2 R' D R U2 R' D' R2 U D </v>
      </c>
      <c r="D315" s="4"/>
    </row>
    <row r="316">
      <c r="A316" s="2" t="s">
        <v>903</v>
      </c>
      <c r="B316" s="3" t="str">
        <f t="shared" si="19"/>
        <v>RUF BUL</v>
      </c>
      <c r="C316" s="3" t="str">
        <f>inv(C243)</f>
        <v>R' D R2 D' R2 U R2 D R2 D' R2 U' R' </v>
      </c>
      <c r="D316" s="4"/>
    </row>
    <row r="317">
      <c r="A317" s="2" t="s">
        <v>906</v>
      </c>
      <c r="B317" s="3" t="str">
        <f t="shared" si="19"/>
        <v>RUF BRD</v>
      </c>
      <c r="C317" s="3" t="str">
        <f>inv(C262)</f>
        <v>U R U R' D' R U2 R' D R U R' U' </v>
      </c>
      <c r="D317" s="4"/>
    </row>
    <row r="318">
      <c r="A318" s="2" t="s">
        <v>909</v>
      </c>
      <c r="B318" s="3" t="str">
        <f t="shared" si="19"/>
        <v>RUF BDL</v>
      </c>
      <c r="C318" s="3" t="str">
        <f>inv(C281)</f>
        <v>U' R' U2 R' D2 R U2 R' D2 R2 U </v>
      </c>
      <c r="D318" s="4"/>
    </row>
    <row r="319">
      <c r="A319" s="2" t="s">
        <v>912</v>
      </c>
      <c r="B319" s="3" t="str">
        <f t="shared" si="19"/>
        <v>RUF LBD</v>
      </c>
      <c r="C319" s="3" t="str">
        <f>INV(C300)</f>
        <v>x U R2 U L' U' R2 U L U2 x' </v>
      </c>
      <c r="D319" s="4"/>
    </row>
    <row r="320" ht="13.5" customHeight="1">
      <c r="A320" s="2" t="s">
        <v>915</v>
      </c>
      <c r="B320" s="3" t="str">
        <f t="shared" si="19"/>
        <v>RUF RFD</v>
      </c>
      <c r="C320" s="2" t="s">
        <v>917</v>
      </c>
      <c r="D320" s="4"/>
    </row>
    <row r="321">
      <c r="A321" s="2" t="s">
        <v>918</v>
      </c>
      <c r="B321" s="3" t="str">
        <f t="shared" si="19"/>
        <v>RUF RBD</v>
      </c>
      <c r="C321" s="2" t="s">
        <v>920</v>
      </c>
      <c r="D321" s="4"/>
    </row>
    <row r="322">
      <c r="A322" s="2" t="s">
        <v>921</v>
      </c>
      <c r="B322" s="3" t="str">
        <f t="shared" si="19"/>
        <v>RUF LFU</v>
      </c>
      <c r="C322" s="2" t="s">
        <v>923</v>
      </c>
      <c r="D322" s="4"/>
    </row>
    <row r="323">
      <c r="A323" s="2" t="s">
        <v>924</v>
      </c>
      <c r="B323" s="3" t="str">
        <f t="shared" si="19"/>
        <v>RUF LDF</v>
      </c>
      <c r="C323" s="2" t="s">
        <v>926</v>
      </c>
      <c r="D323" s="4"/>
    </row>
    <row r="324">
      <c r="A324" s="8"/>
      <c r="B324" s="6"/>
      <c r="C324" s="6"/>
      <c r="D324" s="7"/>
    </row>
    <row r="325">
      <c r="A325" s="2" t="s">
        <v>927</v>
      </c>
      <c r="B325" s="3" t="str">
        <f t="shared" ref="B325:B341" si="20">tra(A325)</f>
        <v>RFD ULB</v>
      </c>
      <c r="C325" s="3" t="str">
        <f>INV(C16)</f>
        <v>U2 R' D' R U' R' D R U' </v>
      </c>
      <c r="D325" s="4"/>
    </row>
    <row r="326">
      <c r="A326" s="2" t="s">
        <v>930</v>
      </c>
      <c r="B326" s="3" t="str">
        <f t="shared" si="20"/>
        <v>RFD UFL</v>
      </c>
      <c r="C326" s="3" t="str">
        <f>INV(C36)</f>
        <v>U' R' D' R U2 R' D R U' </v>
      </c>
      <c r="D326" s="4"/>
    </row>
    <row r="327">
      <c r="A327" s="2" t="s">
        <v>933</v>
      </c>
      <c r="B327" s="3" t="str">
        <f t="shared" si="20"/>
        <v>RFD UFR</v>
      </c>
      <c r="C327" s="3" t="str">
        <f>INV(C54)</f>
        <v>R' D' R U R' D R U' </v>
      </c>
      <c r="D327" s="4"/>
    </row>
    <row r="328">
      <c r="A328" s="2" t="s">
        <v>936</v>
      </c>
      <c r="B328" s="3" t="str">
        <f t="shared" si="20"/>
        <v>RFD LBU</v>
      </c>
      <c r="C328" s="3" t="str">
        <f>INV(C73)</f>
        <v>x L U2 L' D L U2 L' D' x' </v>
      </c>
      <c r="D328" s="4"/>
    </row>
    <row r="329">
      <c r="A329" s="2" t="s">
        <v>939</v>
      </c>
      <c r="B329" s="3" t="str">
        <f t="shared" si="20"/>
        <v>RFD DLF</v>
      </c>
      <c r="C329" s="3" t="str">
        <f>INV(C113)</f>
        <v>x' D' R U R' D' R U' R' D2 x </v>
      </c>
      <c r="D329" s="4"/>
    </row>
    <row r="330">
      <c r="A330" s="2" t="s">
        <v>942</v>
      </c>
      <c r="B330" s="3" t="str">
        <f t="shared" si="20"/>
        <v>RFD DBL</v>
      </c>
      <c r="C330" s="3" t="str">
        <f>INV(C130)</f>
        <v>x U' D2 R' U' R D2 R' U R U x' </v>
      </c>
      <c r="D330" s="4"/>
    </row>
    <row r="331">
      <c r="A331" s="2" t="s">
        <v>945</v>
      </c>
      <c r="B331" s="3" t="str">
        <f t="shared" si="20"/>
        <v>RFD FRU</v>
      </c>
      <c r="C331" s="3" t="str">
        <f>INV(C168)</f>
        <v>U' R2 U' L' U R2 U' L U2 </v>
      </c>
      <c r="D331" s="4"/>
    </row>
    <row r="332">
      <c r="A332" s="2" t="s">
        <v>948</v>
      </c>
      <c r="B332" s="3" t="str">
        <f t="shared" si="20"/>
        <v>RFD FUL</v>
      </c>
      <c r="C332" s="3" t="str">
        <f>INV(C188)</f>
        <v>l' U2 R' D' R U' R' D R U' l </v>
      </c>
      <c r="D332" s="4"/>
    </row>
    <row r="333">
      <c r="A333" s="2" t="s">
        <v>951</v>
      </c>
      <c r="B333" s="3" t="str">
        <f t="shared" si="20"/>
        <v>RFD FLD</v>
      </c>
      <c r="C333" s="3" t="str">
        <f>INV(test!C208)</f>
        <v>D' L' U2 L D L' U2 L </v>
      </c>
      <c r="D333" s="4"/>
    </row>
    <row r="334">
      <c r="A334" s="2" t="s">
        <v>954</v>
      </c>
      <c r="B334" s="3" t="str">
        <f t="shared" si="20"/>
        <v>RFD BUL</v>
      </c>
      <c r="C334" s="3" t="str">
        <f>INV(test!C244)</f>
        <v>L2 D' L' U2 L D L' U2 L' </v>
      </c>
      <c r="D334" s="4"/>
    </row>
    <row r="335">
      <c r="A335" s="2" t="s">
        <v>957</v>
      </c>
      <c r="B335" s="3" t="str">
        <f t="shared" si="20"/>
        <v>RFD BRD</v>
      </c>
      <c r="C335" s="3" t="str">
        <f>INV(C263)</f>
        <v>y D R U R' D' R U' R' y' </v>
      </c>
      <c r="D335" s="4"/>
    </row>
    <row r="336">
      <c r="A336" s="2" t="s">
        <v>960</v>
      </c>
      <c r="B336" s="3" t="str">
        <f t="shared" si="20"/>
        <v>RFD BDL</v>
      </c>
      <c r="C336" s="3" t="str">
        <f>INV(C282)</f>
        <v>l U2 R' D' R U' R' D R U' l' </v>
      </c>
      <c r="D336" s="4"/>
    </row>
    <row r="337">
      <c r="A337" s="2" t="s">
        <v>963</v>
      </c>
      <c r="B337" s="3" t="str">
        <f t="shared" si="20"/>
        <v>RFD LBD</v>
      </c>
      <c r="C337" s="3" t="str">
        <f>INV(test!C301)</f>
        <v>r L U2 L' D L U2 L' D' r' </v>
      </c>
      <c r="D337" s="4"/>
    </row>
    <row r="338">
      <c r="A338" s="2" t="s">
        <v>966</v>
      </c>
      <c r="B338" s="3" t="str">
        <f t="shared" si="20"/>
        <v>RFD RUF</v>
      </c>
      <c r="C338" s="3" t="str">
        <f>INV(test!C320)</f>
        <v>x U2 L U' R2 U L' U' R2 U' x' </v>
      </c>
      <c r="D338" s="4"/>
    </row>
    <row r="339">
      <c r="A339" s="2" t="s">
        <v>969</v>
      </c>
      <c r="B339" s="3" t="str">
        <f t="shared" si="20"/>
        <v>RFD RBD</v>
      </c>
      <c r="C339" s="2" t="s">
        <v>971</v>
      </c>
      <c r="D339" s="4"/>
    </row>
    <row r="340">
      <c r="A340" s="2" t="s">
        <v>972</v>
      </c>
      <c r="B340" s="3" t="str">
        <f t="shared" si="20"/>
        <v>RFD LFU</v>
      </c>
      <c r="C340" s="2" t="s">
        <v>974</v>
      </c>
      <c r="D340" s="4"/>
    </row>
    <row r="341">
      <c r="A341" s="2" t="s">
        <v>975</v>
      </c>
      <c r="B341" s="3" t="str">
        <f t="shared" si="20"/>
        <v>RFD LDF</v>
      </c>
      <c r="C341" s="2" t="s">
        <v>977</v>
      </c>
      <c r="D341" s="4"/>
    </row>
    <row r="342">
      <c r="A342" s="8"/>
      <c r="B342" s="6"/>
      <c r="C342" s="6"/>
      <c r="D342" s="7"/>
    </row>
    <row r="343">
      <c r="A343" s="2" t="s">
        <v>978</v>
      </c>
      <c r="B343" s="3" t="str">
        <f t="shared" ref="B343:B360" si="21">tra(A343)</f>
        <v>RBD ULB</v>
      </c>
      <c r="C343" s="3" t="str">
        <f>EXC("[U; R D R']")</f>
        <v>U R D R' U' R D' R' </v>
      </c>
      <c r="D343" s="10"/>
    </row>
    <row r="344">
      <c r="A344" s="2" t="s">
        <v>981</v>
      </c>
      <c r="B344" s="3" t="str">
        <f t="shared" si="21"/>
        <v>RBD UFL</v>
      </c>
      <c r="C344" s="3" t="str">
        <f>INV(test!C37)</f>
        <v>U2 R D R' U2 R D' R' </v>
      </c>
      <c r="D344" s="10"/>
    </row>
    <row r="345">
      <c r="A345" s="2" t="s">
        <v>983</v>
      </c>
      <c r="B345" s="3" t="str">
        <f t="shared" si="21"/>
        <v>RBD UFR</v>
      </c>
      <c r="C345" s="3" t="str">
        <f>INV(test!C55)</f>
        <v>U' R D R' U R D' R' </v>
      </c>
      <c r="D345" s="10"/>
    </row>
    <row r="346">
      <c r="A346" s="2" t="s">
        <v>986</v>
      </c>
      <c r="B346" s="3" t="str">
        <f t="shared" si="21"/>
        <v>RBD LBU</v>
      </c>
      <c r="C346" s="3" t="str">
        <f>INV(test!C74)</f>
        <v>R D' R U2 R' D R U2 R2 </v>
      </c>
      <c r="D346" s="10"/>
    </row>
    <row r="347">
      <c r="A347" s="2" t="s">
        <v>989</v>
      </c>
      <c r="B347" s="3" t="str">
        <f t="shared" si="21"/>
        <v>RBD DFR</v>
      </c>
      <c r="C347" s="3" t="str">
        <f>INV(C92)</f>
        <v>F2 U2 R D R' U2 R D' R' F2 </v>
      </c>
      <c r="D347" s="10"/>
    </row>
    <row r="348">
      <c r="A348" s="2" t="s">
        <v>992</v>
      </c>
      <c r="B348" s="3" t="str">
        <f t="shared" si="21"/>
        <v>RBD DLF</v>
      </c>
      <c r="C348" s="3" t="str">
        <f>INV(C111)</f>
        <v>R2 D R U R' D' R U' R </v>
      </c>
      <c r="D348" s="10"/>
    </row>
    <row r="349">
      <c r="A349" s="2" t="s">
        <v>995</v>
      </c>
      <c r="B349" s="3" t="str">
        <f t="shared" si="21"/>
        <v>RBD DBL</v>
      </c>
      <c r="C349" s="3" t="str">
        <f>INV(C131)</f>
        <v>R2 D2 R U R' D2 R U' R </v>
      </c>
      <c r="D349" s="10"/>
    </row>
    <row r="350">
      <c r="A350" s="2" t="s">
        <v>998</v>
      </c>
      <c r="B350" s="3" t="str">
        <f t="shared" si="21"/>
        <v>RBD FRU</v>
      </c>
      <c r="C350" s="3" t="str">
        <f>INV(C169)</f>
        <v>y' U R U' L U R' U' L' y </v>
      </c>
      <c r="D350" s="10"/>
    </row>
    <row r="351">
      <c r="A351" s="2" t="s">
        <v>1001</v>
      </c>
      <c r="B351" s="3" t="str">
        <f t="shared" si="21"/>
        <v>RBD FUL</v>
      </c>
      <c r="C351" s="3" t="str">
        <f>inv(C189)</f>
        <v>l' U R D R' U' R D' x' </v>
      </c>
      <c r="D351" s="10"/>
    </row>
    <row r="352">
      <c r="A352" s="2" t="s">
        <v>1004</v>
      </c>
      <c r="B352" s="3" t="str">
        <f t="shared" si="21"/>
        <v>RBD FLD</v>
      </c>
      <c r="C352" s="3" t="str">
        <f>INV(test!C206)</f>
        <v>l' U2 R D R' U2 R D' x' </v>
      </c>
      <c r="D352" s="10"/>
    </row>
    <row r="353">
      <c r="A353" s="2" t="s">
        <v>1007</v>
      </c>
      <c r="B353" s="3" t="str">
        <f t="shared" si="21"/>
        <v>RBD FRD</v>
      </c>
      <c r="C353" s="3" t="str">
        <f>INV(test!C226)</f>
        <v>R' U' R D R' U R D' </v>
      </c>
      <c r="D353" s="10"/>
    </row>
    <row r="354">
      <c r="A354" s="2" t="s">
        <v>1010</v>
      </c>
      <c r="B354" s="3" t="str">
        <f t="shared" si="21"/>
        <v>RBD BUL</v>
      </c>
      <c r="C354" s="3" t="str">
        <f>INV(test!C245)</f>
        <v>l U2 R D R' U2 R D' R' l' </v>
      </c>
      <c r="D354" s="10"/>
    </row>
    <row r="355">
      <c r="A355" s="2" t="s">
        <v>1013</v>
      </c>
      <c r="B355" s="3" t="str">
        <f t="shared" si="21"/>
        <v>RBD BDL</v>
      </c>
      <c r="C355" s="3" t="str">
        <f>INV(test!C283)</f>
        <v>R' U' R D' R' U R D </v>
      </c>
      <c r="D355" s="10"/>
    </row>
    <row r="356">
      <c r="A356" s="2" t="s">
        <v>1016</v>
      </c>
      <c r="B356" s="3" t="str">
        <f t="shared" si="21"/>
        <v>RBD LBD</v>
      </c>
      <c r="C356" s="3" t="str">
        <f>INV(test!C302)</f>
        <v>l' R' U' R D2 R' U R D2 l </v>
      </c>
      <c r="D356" s="10"/>
    </row>
    <row r="357">
      <c r="A357" s="2" t="s">
        <v>1019</v>
      </c>
      <c r="B357" s="3" t="str">
        <f t="shared" si="21"/>
        <v>RBD RUF</v>
      </c>
      <c r="C357" s="3" t="str">
        <f>INV(test!C321)</f>
        <v>y' R2 D2 R U2 R' D2 R U2 R y </v>
      </c>
      <c r="D357" s="10"/>
    </row>
    <row r="358">
      <c r="A358" s="2" t="s">
        <v>1022</v>
      </c>
      <c r="B358" s="3" t="str">
        <f t="shared" si="21"/>
        <v>RBD RFD</v>
      </c>
      <c r="C358" s="3" t="str">
        <f>INV(C339)</f>
        <v>y' U R' U' L U R U' L' y </v>
      </c>
      <c r="D358" s="10"/>
    </row>
    <row r="359">
      <c r="A359" s="2" t="s">
        <v>1025</v>
      </c>
      <c r="B359" s="3" t="str">
        <f t="shared" si="21"/>
        <v>RBD LFU</v>
      </c>
      <c r="C359" s="2" t="s">
        <v>1141</v>
      </c>
      <c r="D359" s="4"/>
    </row>
    <row r="360">
      <c r="A360" s="2" t="s">
        <v>1028</v>
      </c>
      <c r="B360" s="3" t="str">
        <f t="shared" si="21"/>
        <v>RBD LDF</v>
      </c>
      <c r="C360" s="3" t="str">
        <f>EXC("[R' U' R;D2]")</f>
        <v>R' U' R D2 R' U R D2 </v>
      </c>
      <c r="D360" s="4"/>
    </row>
    <row r="361">
      <c r="A361" s="8"/>
      <c r="B361" s="6"/>
      <c r="C361" s="6"/>
      <c r="D361" s="7"/>
    </row>
    <row r="362">
      <c r="A362" s="2" t="s">
        <v>1031</v>
      </c>
      <c r="B362" s="3" t="str">
        <f t="shared" ref="B362:B379" si="22">tra(A362)</f>
        <v>LFU ULB</v>
      </c>
      <c r="C362" s="3" t="str">
        <f>INV(test!C18)</f>
        <v>U R' U2 R' D' R U2 R' D R2 U' </v>
      </c>
      <c r="D362" s="4"/>
    </row>
    <row r="363">
      <c r="A363" s="2" t="s">
        <v>1034</v>
      </c>
      <c r="B363" s="3" t="str">
        <f t="shared" si="22"/>
        <v>LFU UFR</v>
      </c>
      <c r="C363" s="3" t="str">
        <f>INV(test!C56)</f>
        <v>R2 D' R U' R' D R U R </v>
      </c>
      <c r="D363" s="4"/>
    </row>
    <row r="364">
      <c r="A364" s="2" t="s">
        <v>1037</v>
      </c>
      <c r="B364" s="3" t="str">
        <f t="shared" si="22"/>
        <v>LFU LBU</v>
      </c>
      <c r="C364" s="3" t="str">
        <f>INV(test!C75)</f>
        <v>L' U R U' L U R' U' </v>
      </c>
      <c r="D364" s="4"/>
    </row>
    <row r="365">
      <c r="A365" s="2" t="s">
        <v>1040</v>
      </c>
      <c r="B365" s="3" t="str">
        <f t="shared" si="22"/>
        <v>LFU DFR</v>
      </c>
      <c r="C365" s="3" t="str">
        <f>INV(test!C93)</f>
        <v>D' R2 D R U' R' D' R U R D </v>
      </c>
      <c r="D365" s="4"/>
    </row>
    <row r="366">
      <c r="A366" s="2" t="s">
        <v>1043</v>
      </c>
      <c r="B366" s="3" t="str">
        <f t="shared" si="22"/>
        <v>LFU DLF</v>
      </c>
      <c r="C366" s="3" t="str">
        <f>INV(test!C112)</f>
        <v>R2 D R U' R' D' R U R </v>
      </c>
      <c r="D366" s="4"/>
    </row>
    <row r="367">
      <c r="A367" s="2" t="s">
        <v>1046</v>
      </c>
      <c r="B367" s="3" t="str">
        <f t="shared" si="22"/>
        <v>LFU DBL</v>
      </c>
      <c r="C367" s="3" t="str">
        <f>INV(test!C132)</f>
        <v>R2 D2 R U' R' D2 R U R </v>
      </c>
      <c r="D367" s="4"/>
    </row>
    <row r="368">
      <c r="A368" s="2" t="s">
        <v>1049</v>
      </c>
      <c r="B368" s="3" t="str">
        <f t="shared" si="22"/>
        <v>LFU DRB</v>
      </c>
      <c r="C368" s="3" t="str">
        <f>INV(test!C151)</f>
        <v>D2 R2 D R U' R' D' R U R D2 </v>
      </c>
      <c r="D368" s="4"/>
    </row>
    <row r="369">
      <c r="A369" s="2" t="s">
        <v>1052</v>
      </c>
      <c r="B369" s="3" t="str">
        <f t="shared" si="22"/>
        <v>LFU FRU</v>
      </c>
      <c r="C369" s="3" t="str">
        <f>INV(test!C170)</f>
        <v>l U L' U' R' U L U' x </v>
      </c>
      <c r="D369" s="4"/>
    </row>
    <row r="370">
      <c r="A370" s="2" t="s">
        <v>1055</v>
      </c>
      <c r="B370" s="3" t="str">
        <f t="shared" si="22"/>
        <v>LFU FLD</v>
      </c>
      <c r="C370" s="3" t="str">
        <f>INV(test!C207)</f>
        <v>z' R D2 R U R' D2 R U' R2 z </v>
      </c>
      <c r="D370" s="4"/>
    </row>
    <row r="371">
      <c r="A371" s="2" t="s">
        <v>1058</v>
      </c>
      <c r="B371" s="3" t="str">
        <f t="shared" si="22"/>
        <v>LFU FRD</v>
      </c>
      <c r="C371" s="3" t="str">
        <f>INV(test!C227)</f>
        <v>F R D2 R' U' R D2 R' U F' </v>
      </c>
      <c r="D371" s="4"/>
    </row>
    <row r="372">
      <c r="A372" s="2" t="s">
        <v>1061</v>
      </c>
      <c r="B372" s="3" t="str">
        <f t="shared" si="22"/>
        <v>LFU BUL</v>
      </c>
      <c r="C372" s="3" t="str">
        <f>INV(test!C246)</f>
        <v>L2 D L' U2 L D' L' U2 L' </v>
      </c>
      <c r="D372" s="4"/>
    </row>
    <row r="373">
      <c r="A373" s="2" t="s">
        <v>1064</v>
      </c>
      <c r="B373" s="3" t="str">
        <f t="shared" si="22"/>
        <v>LFU BRD</v>
      </c>
      <c r="C373" s="3" t="str">
        <f>INV(test!C265)</f>
        <v>D L2 D' R D L2 D' R' </v>
      </c>
      <c r="D373" s="4"/>
    </row>
    <row r="374">
      <c r="A374" s="2" t="s">
        <v>1067</v>
      </c>
      <c r="B374" s="3" t="str">
        <f t="shared" si="22"/>
        <v>LFU BDL</v>
      </c>
      <c r="C374" s="3" t="str">
        <f>INV(test!C284)</f>
        <v>l U2 R' D R U' R' D' R U' l' </v>
      </c>
      <c r="D374" s="4"/>
    </row>
    <row r="375">
      <c r="A375" s="2" t="s">
        <v>1070</v>
      </c>
      <c r="B375" s="3" t="str">
        <f t="shared" si="22"/>
        <v>LFU LBD</v>
      </c>
      <c r="C375" s="3" t="str">
        <f>INV(test!C303)</f>
        <v>L2 D' R D L2 D' R' D </v>
      </c>
      <c r="D375" s="4"/>
    </row>
    <row r="376">
      <c r="A376" s="2" t="s">
        <v>1073</v>
      </c>
      <c r="B376" s="3" t="str">
        <f t="shared" si="22"/>
        <v>LFU RUF</v>
      </c>
      <c r="C376" s="3" t="str">
        <f>INV(test!C322)</f>
        <v>l U' R2 D R U2 R' D' R U2 R U l' </v>
      </c>
      <c r="D376" s="4"/>
    </row>
    <row r="377">
      <c r="A377" s="2" t="s">
        <v>1076</v>
      </c>
      <c r="B377" s="3" t="str">
        <f t="shared" si="22"/>
        <v>LFU RFD</v>
      </c>
      <c r="C377" s="3" t="str">
        <f>INV(C340)</f>
        <v>r' U L D2 L' U' L D2 x </v>
      </c>
      <c r="D377" s="4"/>
    </row>
    <row r="378">
      <c r="A378" s="2" t="s">
        <v>1079</v>
      </c>
      <c r="B378" s="3" t="str">
        <f t="shared" si="22"/>
        <v>LFU RBD</v>
      </c>
      <c r="C378" s="3" t="str">
        <f>INV(C359)</f>
        <v>l D2 R' U R D2 R' U x </v>
      </c>
      <c r="D378" s="4"/>
    </row>
    <row r="379">
      <c r="A379" s="2" t="s">
        <v>1082</v>
      </c>
      <c r="B379" s="3" t="str">
        <f t="shared" si="22"/>
        <v>LFU LDF</v>
      </c>
      <c r="C379" s="2" t="s">
        <v>1084</v>
      </c>
      <c r="D379" s="4"/>
    </row>
    <row r="380">
      <c r="A380" s="8"/>
      <c r="B380" s="6"/>
      <c r="C380" s="6"/>
      <c r="D380" s="7"/>
    </row>
    <row r="381">
      <c r="A381" s="2" t="s">
        <v>1085</v>
      </c>
      <c r="B381" s="3" t="str">
        <f t="shared" ref="B381:B398" si="23">tra(A381)</f>
        <v>LDF ULB</v>
      </c>
      <c r="C381" s="3" t="str">
        <f>INV(test!C19)</f>
        <v>U2 R' D R U' R' D' R U' </v>
      </c>
      <c r="D381" s="4"/>
    </row>
    <row r="382">
      <c r="A382" s="2" t="s">
        <v>1088</v>
      </c>
      <c r="B382" s="3" t="str">
        <f t="shared" si="23"/>
        <v>LDF UFL</v>
      </c>
      <c r="C382" s="3" t="str">
        <f>INV(test!C38)</f>
        <v>U' R' D R U2 R' D' R U' </v>
      </c>
      <c r="D382" s="4"/>
    </row>
    <row r="383">
      <c r="A383" s="2" t="s">
        <v>1091</v>
      </c>
      <c r="B383" s="3" t="str">
        <f t="shared" si="23"/>
        <v>LDF UFR</v>
      </c>
      <c r="C383" s="3" t="str">
        <f>INV(test!C57)</f>
        <v>R' D R U R' D' R U' </v>
      </c>
      <c r="D383" s="4"/>
    </row>
    <row r="384">
      <c r="A384" s="2" t="s">
        <v>1094</v>
      </c>
      <c r="B384" s="3" t="str">
        <f t="shared" si="23"/>
        <v>LDF LBU</v>
      </c>
      <c r="C384" s="3" t="str">
        <f>INV(test!C189)</f>
        <v>l' U R D R' U' R D' x' </v>
      </c>
      <c r="D384" s="4"/>
    </row>
    <row r="385">
      <c r="A385" s="2" t="s">
        <v>1097</v>
      </c>
      <c r="B385" s="3" t="str">
        <f t="shared" si="23"/>
        <v>LDF DFR</v>
      </c>
      <c r="C385" s="3" t="str">
        <f>INV(test!C94)</f>
        <v>z' R' D' R U2 R' D R U2 z </v>
      </c>
      <c r="D385" s="4"/>
    </row>
    <row r="386">
      <c r="A386" s="2" t="s">
        <v>1100</v>
      </c>
      <c r="B386" s="3" t="str">
        <f t="shared" si="23"/>
        <v>LDF DBL</v>
      </c>
      <c r="C386" s="3" t="str">
        <f>INV(test!C133)</f>
        <v>D L' D2 L' U' L D2 L' U L2 D' </v>
      </c>
      <c r="D386" s="4"/>
    </row>
    <row r="387">
      <c r="A387" s="2" t="s">
        <v>1103</v>
      </c>
      <c r="B387" s="3" t="str">
        <f t="shared" si="23"/>
        <v>LDF DRB</v>
      </c>
      <c r="C387" s="3" t="str">
        <f>INV(test!C152)</f>
        <v>D2 R2 D R U R' D' R U' R D2 </v>
      </c>
      <c r="D387" s="4"/>
    </row>
    <row r="388">
      <c r="A388" s="2" t="s">
        <v>1106</v>
      </c>
      <c r="B388" s="3" t="str">
        <f t="shared" si="23"/>
        <v>LDF FRU</v>
      </c>
      <c r="C388" s="3" t="str">
        <f>INV(test!C171)</f>
        <v>U L' U' R' U L U' R </v>
      </c>
      <c r="D388" s="4"/>
    </row>
    <row r="389">
      <c r="A389" s="2" t="s">
        <v>1109</v>
      </c>
      <c r="B389" s="3" t="str">
        <f t="shared" si="23"/>
        <v>LDF FUL</v>
      </c>
      <c r="C389" s="3" t="str">
        <f>INV(test!C190)</f>
        <v>D' x L2 U R' U' L2 U R U' x' D </v>
      </c>
      <c r="D389" s="4"/>
    </row>
    <row r="390">
      <c r="A390" s="2" t="s">
        <v>1112</v>
      </c>
      <c r="B390" s="3" t="str">
        <f t="shared" si="23"/>
        <v>LDF FRD</v>
      </c>
      <c r="C390" s="3" t="str">
        <f>INV(test!C228)</f>
        <v>D2 R' U' R D' R' U R D' </v>
      </c>
      <c r="D390" s="4"/>
    </row>
    <row r="391">
      <c r="A391" s="2" t="s">
        <v>1115</v>
      </c>
      <c r="B391" s="3" t="str">
        <f t="shared" si="23"/>
        <v>LDF BUL</v>
      </c>
      <c r="C391" s="3" t="str">
        <f>INV(test!C247)</f>
        <v>R' U R D2 R' U2 R D2 R' U R </v>
      </c>
      <c r="D391" s="4"/>
    </row>
    <row r="392">
      <c r="A392" s="2" t="s">
        <v>1118</v>
      </c>
      <c r="B392" s="3" t="str">
        <f t="shared" si="23"/>
        <v>LDF BRD</v>
      </c>
      <c r="C392" s="3" t="str">
        <f>INV(test!C266)</f>
        <v>U' R' U R' D R U R' D' R U2 R U </v>
      </c>
      <c r="D392" s="4"/>
    </row>
    <row r="393">
      <c r="A393" s="2" t="s">
        <v>1121</v>
      </c>
      <c r="B393" s="3" t="str">
        <f t="shared" si="23"/>
        <v>LDF BDL</v>
      </c>
      <c r="C393" s="3" t="str">
        <f>INV(test!C285)</f>
        <v>D2 R' U' R D R' U R D </v>
      </c>
      <c r="D393" s="4"/>
    </row>
    <row r="394">
      <c r="A394" s="2" t="s">
        <v>1124</v>
      </c>
      <c r="B394" s="3" t="str">
        <f t="shared" si="23"/>
        <v>LDF LBD</v>
      </c>
      <c r="C394" s="3" t="str">
        <f>INV(test!C304)</f>
        <v>L D' R D L' D' R' D </v>
      </c>
      <c r="D394" s="4"/>
    </row>
    <row r="395">
      <c r="A395" s="2" t="s">
        <v>1127</v>
      </c>
      <c r="B395" s="3" t="str">
        <f t="shared" si="23"/>
        <v>LDF RUF</v>
      </c>
      <c r="C395" s="3" t="str">
        <f>INV(test!C323)</f>
        <v>U' R2 D R U2 R' D' R U2 R U </v>
      </c>
      <c r="D395" s="4"/>
    </row>
    <row r="396">
      <c r="A396" s="2" t="s">
        <v>1130</v>
      </c>
      <c r="B396" s="3" t="str">
        <f t="shared" si="23"/>
        <v>LDF RFD</v>
      </c>
      <c r="C396" s="3" t="str">
        <f>INV(C341)</f>
        <v>R' D R U R' D2 R U' R' D R </v>
      </c>
      <c r="D396" s="4"/>
    </row>
    <row r="397">
      <c r="A397" s="2" t="s">
        <v>1133</v>
      </c>
      <c r="B397" s="3" t="str">
        <f t="shared" si="23"/>
        <v>LDF RBD</v>
      </c>
      <c r="C397" s="3" t="str">
        <f>INV(C360)</f>
        <v>D2 R' U' R D2 R' U R </v>
      </c>
      <c r="D397" s="4"/>
    </row>
    <row r="398">
      <c r="A398" s="2" t="s">
        <v>1136</v>
      </c>
      <c r="B398" s="3" t="str">
        <f t="shared" si="23"/>
        <v>LDF LFU</v>
      </c>
      <c r="C398" s="3" t="str">
        <f>INV(C379)</f>
        <v>L2 U R U' L U R' U' L </v>
      </c>
      <c r="D398" s="4"/>
    </row>
  </sheetData>
  <mergeCells count="20">
    <mergeCell ref="A286:D286"/>
    <mergeCell ref="A229:D229"/>
    <mergeCell ref="A248:D248"/>
    <mergeCell ref="A267:D267"/>
    <mergeCell ref="A153:D153"/>
    <mergeCell ref="A134:D134"/>
    <mergeCell ref="A191:D191"/>
    <mergeCell ref="A172:D172"/>
    <mergeCell ref="A342:D342"/>
    <mergeCell ref="A324:D324"/>
    <mergeCell ref="A361:D361"/>
    <mergeCell ref="A380:D380"/>
    <mergeCell ref="A39:D39"/>
    <mergeCell ref="A77:D77"/>
    <mergeCell ref="A58:D58"/>
    <mergeCell ref="A115:D115"/>
    <mergeCell ref="A96:D96"/>
    <mergeCell ref="A20:D20"/>
    <mergeCell ref="A305:D305"/>
    <mergeCell ref="A210:D210"/>
  </mergeCells>
  <drawing r:id="rId1"/>
</worksheet>
</file>