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UBL corners" sheetId="1" r:id="rId3"/>
    <sheet state="visible" name="UBL twist algs" sheetId="2" r:id="rId4"/>
    <sheet state="visible" name="DF edges" sheetId="3" r:id="rId5"/>
    <sheet state="visible" name="UF edges" sheetId="4" r:id="rId6"/>
    <sheet state="visible" name="DFr wings" sheetId="5" r:id="rId7"/>
    <sheet state="visible" name="UF midges" sheetId="6" r:id="rId8"/>
    <sheet state="visible" name="Ubl xcenters" sheetId="7" r:id="rId9"/>
    <sheet state="visible" name="UL +centers" sheetId="8" r:id="rId10"/>
    <sheet state="visible" name="UL-UB+DF-xy 2e2e" sheetId="9" r:id="rId11"/>
    <sheet state="visible" name="UL-UB+UF-xy 2e2e" sheetId="10" r:id="rId12"/>
    <sheet state="visible" name="Letter pairs" sheetId="11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1.09, 2 regrips</t>
      </text>
    </comment>
    <comment authorId="0" ref="D2">
      <text>
        <t xml:space="preserve">1.10, 2 regrips</t>
      </text>
    </comment>
    <comment authorId="0" ref="E2">
      <text>
        <t xml:space="preserve">0.90, 2 regrips</t>
      </text>
    </comment>
    <comment authorId="0" ref="F2">
      <text>
        <t xml:space="preserve">0.81, regripless
</t>
      </text>
    </comment>
    <comment authorId="0" ref="G2">
      <text>
        <t xml:space="preserve">0.74, regripless</t>
      </text>
    </comment>
    <comment authorId="0" ref="H2">
      <text>
        <t xml:space="preserve">0.73, regripless</t>
      </text>
    </comment>
    <comment authorId="0" ref="I2">
      <text>
        <t xml:space="preserve">1.08, regripless</t>
      </text>
    </comment>
    <comment authorId="0" ref="J2">
      <text>
        <t xml:space="preserve">1.06, regripless</t>
      </text>
    </comment>
    <comment authorId="0" ref="K2">
      <text>
        <t xml:space="preserve">1.16, regripless</t>
      </text>
    </comment>
    <comment authorId="0" ref="L2">
      <text>
        <t xml:space="preserve">1.22, regripless</t>
      </text>
    </comment>
    <comment authorId="0" ref="N2">
      <text>
        <t xml:space="preserve">0.49, regripless</t>
      </text>
    </comment>
    <comment authorId="0" ref="O2">
      <text>
        <t xml:space="preserve">0.67, regripless</t>
      </text>
    </comment>
    <comment authorId="0" ref="P2">
      <text>
        <t xml:space="preserve">1.09, 2 regrips</t>
      </text>
    </comment>
    <comment authorId="0" ref="Q2">
      <text>
        <t xml:space="preserve">0.54, regripless</t>
      </text>
    </comment>
    <comment authorId="0" ref="R2">
      <text>
        <t xml:space="preserve">1.02, 2 regrips</t>
      </text>
    </comment>
    <comment authorId="0" ref="S2">
      <text>
        <t xml:space="preserve">0.58, regripless</t>
      </text>
    </comment>
    <comment authorId="0" ref="T2">
      <text>
        <t xml:space="preserve">0.61, regripless</t>
      </text>
    </comment>
    <comment authorId="0" ref="U2">
      <text>
        <t xml:space="preserve">0.70, regripless</t>
      </text>
    </comment>
    <comment authorId="0" ref="B3">
      <text>
        <t xml:space="preserve">1.08, 2 regrips</t>
      </text>
    </comment>
    <comment authorId="0" ref="D3">
      <text>
        <t xml:space="preserve">0.80, 2 regrips</t>
      </text>
    </comment>
    <comment authorId="0" ref="E3">
      <text>
        <t xml:space="preserve">1.16, 2 regrips</t>
      </text>
    </comment>
    <comment authorId="0" ref="G3">
      <text>
        <t xml:space="preserve">0.89, regripless</t>
      </text>
    </comment>
    <comment authorId="0" ref="H3">
      <text>
        <t xml:space="preserve">0.84, regripless</t>
      </text>
    </comment>
    <comment authorId="0" ref="I3">
      <text>
        <t xml:space="preserve">1.23, regripless</t>
      </text>
    </comment>
    <comment authorId="0" ref="J3">
      <text>
        <t xml:space="preserve">1.28, regripless</t>
      </text>
    </comment>
    <comment authorId="0" ref="K3">
      <text>
        <t xml:space="preserve">1.07, regripless</t>
      </text>
    </comment>
    <comment authorId="0" ref="L3">
      <text>
        <t xml:space="preserve">1.31, regripless</t>
      </text>
    </comment>
    <comment authorId="0" ref="M3">
      <text>
        <t xml:space="preserve">1.21, 2 regrips or 1 regrip*</t>
      </text>
    </comment>
    <comment authorId="0" ref="N3">
      <text>
        <t xml:space="preserve">0.69, regripless</t>
      </text>
    </comment>
    <comment authorId="0" ref="O3">
      <text>
        <t xml:space="preserve">0.67, regripless</t>
      </text>
    </comment>
    <comment authorId="0" ref="Q3">
      <text>
        <t xml:space="preserve">0.67, regripless</t>
      </text>
    </comment>
    <comment authorId="0" ref="R3">
      <text>
        <t xml:space="preserve">1.17, 2 regrips</t>
      </text>
    </comment>
    <comment authorId="0" ref="S3">
      <text>
        <t xml:space="preserve">0.64, regripless</t>
      </text>
    </comment>
    <comment authorId="0" ref="T3">
      <text>
        <t xml:space="preserve">0.72, regripless</t>
      </text>
    </comment>
    <comment authorId="0" ref="U3">
      <text>
        <t xml:space="preserve">0.72, regripless</t>
      </text>
    </comment>
    <comment authorId="0" ref="V3">
      <text>
        <t xml:space="preserve">0.93, 2 regrips or regripless*</t>
      </text>
    </comment>
    <comment authorId="0" ref="B4">
      <text>
        <t xml:space="preserve">0.94, 2 regrips</t>
      </text>
    </comment>
    <comment authorId="0" ref="C4">
      <text>
        <t xml:space="preserve">0.93, 2 regrips</t>
      </text>
    </comment>
    <comment authorId="0" ref="F4">
      <text>
        <t xml:space="preserve">0.95, 2 regrips</t>
      </text>
    </comment>
    <comment authorId="0" ref="G4">
      <text>
        <t xml:space="preserve">0.80, regripless</t>
      </text>
    </comment>
    <comment authorId="0" ref="H4">
      <text>
        <t xml:space="preserve">0.75, regripless</t>
      </text>
    </comment>
    <comment authorId="0" ref="I4">
      <text>
        <t xml:space="preserve">1.16, 2 regrips or regripless*</t>
      </text>
    </comment>
    <comment authorId="0" ref="J4">
      <text>
        <t xml:space="preserve">0.97, 2 regrips</t>
      </text>
    </comment>
    <comment authorId="0" ref="K4">
      <text>
        <t xml:space="preserve">0.97, 2 regrips</t>
      </text>
    </comment>
    <comment authorId="0" ref="L4">
      <text>
        <t xml:space="preserve">1.24, 2 regrips or regripless*</t>
      </text>
    </comment>
    <comment authorId="0" ref="M4">
      <text>
        <t xml:space="preserve">0.95, 2 regrips</t>
      </text>
    </comment>
    <comment authorId="0" ref="N4">
      <text>
        <t xml:space="preserve">0.68, regripless</t>
      </text>
    </comment>
    <comment authorId="0" ref="O4">
      <text>
        <t xml:space="preserve">0.70, regripless</t>
      </text>
    </comment>
    <comment authorId="0" ref="P4">
      <text>
        <t xml:space="preserve">0.69, 2 regrips</t>
      </text>
    </comment>
    <comment authorId="0" ref="Q4">
      <text>
        <t xml:space="preserve">0.65, regripless</t>
      </text>
    </comment>
    <comment authorId="0" ref="S4">
      <text>
        <t xml:space="preserve">0.66, regripless</t>
      </text>
    </comment>
    <comment authorId="0" ref="T4">
      <text>
        <t xml:space="preserve">0.73, regripless</t>
      </text>
    </comment>
    <comment authorId="0" ref="U4">
      <text>
        <t xml:space="preserve">0.71, regripless</t>
      </text>
    </comment>
    <comment authorId="0" ref="V4">
      <text>
        <t xml:space="preserve">0.94, 2 regrips</t>
      </text>
    </comment>
    <comment authorId="0" ref="B5">
      <text>
        <t xml:space="preserve">0.73, regripless</t>
      </text>
    </comment>
    <comment authorId="0" ref="C5">
      <text>
        <t xml:space="preserve">1.10, 2 regrips</t>
      </text>
    </comment>
    <comment authorId="0" ref="F5">
      <text>
        <t xml:space="preserve">0.96, 4 regrips?</t>
      </text>
    </comment>
    <comment authorId="0" ref="G5">
      <text>
        <t xml:space="preserve">1.11, regripless</t>
      </text>
    </comment>
    <comment authorId="0" ref="H5">
      <text>
        <t xml:space="preserve">0.95, regripless</t>
      </text>
    </comment>
    <comment authorId="0" ref="I5">
      <text>
        <t xml:space="preserve">1.03, regripless</t>
      </text>
    </comment>
    <comment authorId="0" ref="J5">
      <text>
        <t xml:space="preserve">0.92, 2 regrips?</t>
      </text>
    </comment>
    <comment authorId="0" ref="K5">
      <text>
        <t xml:space="preserve">1.28, 2 regrips</t>
      </text>
    </comment>
    <comment authorId="0" ref="L5">
      <text>
        <t xml:space="preserve">1.08, regripless</t>
      </text>
    </comment>
    <comment authorId="0" ref="M5">
      <text>
        <t xml:space="preserve">0.80, 4 regrips?</t>
      </text>
    </comment>
    <comment authorId="0" ref="N5">
      <text>
        <t xml:space="preserve">1.01, regripless</t>
      </text>
    </comment>
    <comment authorId="0" ref="O5">
      <text>
        <t xml:space="preserve">apparently &lt;RUL&gt; is optimal, but I got the rotation alg in 0.75 and I can't see myself ever getting &lt;RUL&gt; that fast lol
2 regrips</t>
      </text>
    </comment>
    <comment authorId="0" ref="P5">
      <text>
        <t xml:space="preserve">0.94, 2 regrips or regripless*</t>
      </text>
    </comment>
    <comment authorId="0" ref="T5">
      <text>
        <t xml:space="preserve">0.98, regripless</t>
      </text>
    </comment>
    <comment authorId="0" ref="V6">
      <text>
        <t xml:space="preserve">1.37, regripless</t>
      </text>
    </comment>
    <comment authorId="0" ref="M8">
      <text>
        <t xml:space="preserve">1.08, regripless</t>
      </text>
    </comment>
    <comment authorId="0" ref="C9">
      <text>
        <t xml:space="preserve">1.27, regripless</t>
      </text>
    </comment>
    <comment authorId="0" ref="D10">
      <text>
        <t xml:space="preserve">0.97, 2 regrips</t>
      </text>
    </comment>
    <comment authorId="0" ref="V10">
      <text>
        <t xml:space="preserve">0.89, 0 regrips</t>
      </text>
    </comment>
    <comment authorId="0" ref="C13">
      <text>
        <t xml:space="preserve">1.12</t>
      </text>
    </comment>
    <comment authorId="0" ref="K13">
      <text>
        <t xml:space="preserve">0.82, regripless</t>
      </text>
    </comment>
    <comment authorId="0" ref="M17">
      <text>
        <t xml:space="preserve">1.03, regripless</t>
      </text>
    </comment>
    <comment authorId="0" ref="E20">
      <text>
        <t xml:space="preserve">1.08, regripless</t>
      </text>
    </comment>
    <comment authorId="0" ref="D22">
      <text>
        <t xml:space="preserve">0.91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1.11, regripless</t>
      </text>
    </comment>
    <comment authorId="0" ref="C3">
      <text>
        <t xml:space="preserve">1.48, 2 regrips</t>
      </text>
    </comment>
    <comment authorId="0" ref="D3">
      <text>
        <t xml:space="preserve">1.27</t>
      </text>
    </comment>
    <comment authorId="0" ref="E3">
      <text>
        <t xml:space="preserve">1.23, regripless</t>
      </text>
    </comment>
    <comment authorId="0" ref="F3">
      <text>
        <t xml:space="preserve">1.19, regripless</t>
      </text>
    </comment>
    <comment authorId="0" ref="G3">
      <text>
        <t xml:space="preserve">1.17, regripless</t>
      </text>
    </comment>
    <comment authorId="0" ref="H3">
      <text>
        <t xml:space="preserve">1.12, regripless</t>
      </text>
    </comment>
    <comment authorId="0" ref="B7">
      <text>
        <t xml:space="preserve">1.18, regripless</t>
      </text>
    </comment>
    <comment authorId="0" ref="C7">
      <text>
        <t xml:space="preserve">1.45, 2 regrips</t>
      </text>
    </comment>
    <comment authorId="0" ref="D7">
      <text>
        <t xml:space="preserve">1.46, regripless</t>
      </text>
    </comment>
    <comment authorId="0" ref="E7">
      <text>
        <t xml:space="preserve">1.17, regripless</t>
      </text>
    </comment>
    <comment authorId="0" ref="F7">
      <text>
        <t xml:space="preserve">1.19, regripless</t>
      </text>
    </comment>
    <comment authorId="0" ref="G7">
      <text>
        <t xml:space="preserve">1.13, regripless</t>
      </text>
    </comment>
    <comment authorId="0" ref="H7">
      <text>
        <t xml:space="preserve">1.19, regripless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0.84, regripless</t>
      </text>
    </comment>
    <comment authorId="0" ref="D2">
      <text>
        <t xml:space="preserve">0.94, regripless</t>
      </text>
    </comment>
    <comment authorId="0" ref="E2">
      <text>
        <t xml:space="preserve">0.70, regripless</t>
      </text>
    </comment>
    <comment authorId="0" ref="F2">
      <text>
        <t xml:space="preserve">0.93, regripless</t>
      </text>
    </comment>
    <comment authorId="0" ref="G2">
      <text>
        <t xml:space="preserve">0.99, 2 regrips or regripless*</t>
      </text>
    </comment>
    <comment authorId="0" ref="H2">
      <text>
        <t xml:space="preserve">1.1, 2 regrips or 1 regrip*</t>
      </text>
    </comment>
    <comment authorId="0" ref="I2">
      <text>
        <t xml:space="preserve">1.15, regripless</t>
      </text>
    </comment>
    <comment authorId="0" ref="J2">
      <text>
        <t xml:space="preserve">1.25, regripless</t>
      </text>
    </comment>
    <comment authorId="0" ref="K2">
      <text>
        <t xml:space="preserve">1.23, regripless</t>
      </text>
    </comment>
    <comment authorId="0" ref="L2">
      <text>
        <t xml:space="preserve">1.02, 2 regrips</t>
      </text>
    </comment>
    <comment authorId="0" ref="M2">
      <text>
        <t xml:space="preserve">0.83, regripless</t>
      </text>
    </comment>
    <comment authorId="0" ref="N2">
      <text>
        <t xml:space="preserve">1.02, regripless</t>
      </text>
    </comment>
    <comment authorId="0" ref="O2">
      <text>
        <t xml:space="preserve">0.97, regripless</t>
      </text>
    </comment>
    <comment authorId="0" ref="P2">
      <text>
        <t xml:space="preserve">1.11, regripless</t>
      </text>
    </comment>
    <comment authorId="0" ref="Q2">
      <text>
        <t xml:space="preserve">1.08, regripless</t>
      </text>
    </comment>
    <comment authorId="0" ref="R2">
      <text>
        <t xml:space="preserve">1.00, regripless</t>
      </text>
    </comment>
    <comment authorId="0" ref="S2">
      <text>
        <t xml:space="preserve">0.83, regripless</t>
      </text>
    </comment>
    <comment authorId="0" ref="T2">
      <text>
        <t xml:space="preserve">0.95, regripless</t>
      </text>
    </comment>
    <comment authorId="0" ref="U2">
      <text>
        <t xml:space="preserve">0.95, regripless</t>
      </text>
    </comment>
    <comment authorId="0" ref="W2">
      <text>
        <t xml:space="preserve">1.15, regripless</t>
      </text>
    </comment>
    <comment authorId="0" ref="I20">
      <text>
        <t xml:space="preserve">0.89, regripless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0.78, regripless (roll R2s)</t>
      </text>
    </comment>
    <comment authorId="0" ref="D2">
      <text>
        <t xml:space="preserve">0.86, regripless</t>
      </text>
    </comment>
    <comment authorId="0" ref="E2">
      <text>
        <t xml:space="preserve">0.72, regrip before R'</t>
      </text>
    </comment>
    <comment authorId="0" ref="F2">
      <text>
        <t xml:space="preserve">0.86, regripless</t>
      </text>
    </comment>
    <comment authorId="0" ref="G2">
      <text>
        <t xml:space="preserve">0.85, regrip before L</t>
      </text>
    </comment>
    <comment authorId="0" ref="H2">
      <text>
        <t xml:space="preserve">0.41, regripless</t>
      </text>
    </comment>
    <comment authorId="0" ref="I2">
      <text>
        <t xml:space="preserve">0.56, regripless</t>
      </text>
    </comment>
    <comment authorId="0" ref="J2">
      <text>
        <t xml:space="preserve">0.41, regripless</t>
      </text>
    </comment>
    <comment authorId="0" ref="K2">
      <text>
        <t xml:space="preserve">0.57, regripless</t>
      </text>
    </comment>
    <comment authorId="0" ref="L2">
      <text>
        <t xml:space="preserve">0.65, regripless</t>
      </text>
    </comment>
    <comment authorId="0" ref="M2">
      <text>
        <t xml:space="preserve">0.62, regripless</t>
      </text>
    </comment>
    <comment authorId="0" ref="N2">
      <text>
        <t xml:space="preserve">0.72, regripless</t>
      </text>
    </comment>
    <comment authorId="0" ref="O2">
      <text>
        <t xml:space="preserve">0.75, regripless</t>
      </text>
    </comment>
    <comment authorId="0" ref="P2">
      <text>
        <t xml:space="preserve">0.62, regripless</t>
      </text>
    </comment>
    <comment authorId="0" ref="Q2">
      <text>
        <t xml:space="preserve">0.83, regripless</t>
      </text>
    </comment>
    <comment authorId="0" ref="R2">
      <text>
        <t xml:space="preserve">0.56, regripless</t>
      </text>
    </comment>
    <comment authorId="0" ref="S2">
      <text>
        <t xml:space="preserve">0.67, regripless</t>
      </text>
    </comment>
    <comment authorId="0" ref="T2">
      <text>
        <t xml:space="preserve">0.91, regripless</t>
      </text>
    </comment>
    <comment authorId="0" ref="U2">
      <text>
        <t xml:space="preserve">0.64, regrip before R</t>
      </text>
    </comment>
    <comment authorId="0" ref="W2">
      <text>
        <t xml:space="preserve">0.83, regripless</t>
      </text>
    </comment>
    <comment authorId="0" ref="B3">
      <text>
        <t xml:space="preserve">0.91, regripless (roll R2s)</t>
      </text>
    </comment>
    <comment authorId="0" ref="D3">
      <text>
        <t xml:space="preserve">0.72, regripless</t>
      </text>
    </comment>
    <comment authorId="0" ref="E3">
      <text>
        <t xml:space="preserve">0.69, regripless</t>
      </text>
    </comment>
    <comment authorId="0" ref="F3">
      <text>
        <t xml:space="preserve">0.81, regripless</t>
      </text>
    </comment>
    <comment authorId="0" ref="G3">
      <text>
        <t xml:space="preserve">0.83, regripless</t>
      </text>
    </comment>
    <comment authorId="0" ref="H3">
      <text>
        <t xml:space="preserve">0.87, regripless</t>
      </text>
    </comment>
    <comment authorId="0" ref="I3">
      <text>
        <t xml:space="preserve">0.84, regrip before first R'</t>
      </text>
    </comment>
    <comment authorId="0" ref="J3">
      <text>
        <t xml:space="preserve">0.99, regripless (start with r M')</t>
      </text>
    </comment>
    <comment authorId="0" ref="K3">
      <text>
        <t xml:space="preserve">0.90, second U' right index, regrip left hand during last U</t>
      </text>
    </comment>
    <comment authorId="0" ref="L3">
      <text>
        <t xml:space="preserve">0.83, regripless</t>
      </text>
    </comment>
    <comment authorId="0" ref="M3">
      <text>
        <t xml:space="preserve">0.60, regripless</t>
      </text>
    </comment>
    <comment authorId="0" ref="N3">
      <text>
        <t xml:space="preserve">0.83, regripless</t>
      </text>
    </comment>
    <comment authorId="0" ref="P3">
      <text>
        <t xml:space="preserve">0.59, regripless</t>
      </text>
    </comment>
    <comment authorId="0" ref="Q3">
      <text>
        <t xml:space="preserve">0.83, regripless</t>
      </text>
    </comment>
    <comment authorId="0" ref="R3">
      <text>
        <t xml:space="preserve">0.46, regripless</t>
      </text>
    </comment>
    <comment authorId="0" ref="S3">
      <text>
        <t xml:space="preserve">0.78, regripless</t>
      </text>
    </comment>
    <comment authorId="0" ref="T3">
      <text>
        <t xml:space="preserve">0.69, regripless</t>
      </text>
    </comment>
    <comment authorId="0" ref="U3">
      <text>
        <t xml:space="preserve">0.82, regrip before first R</t>
      </text>
    </comment>
    <comment authorId="0" ref="V3">
      <text>
        <t xml:space="preserve">0.68, regripless</t>
      </text>
    </comment>
    <comment authorId="0" ref="W3">
      <text>
        <t xml:space="preserve">0.88, U' with right index</t>
      </text>
    </comment>
    <comment authorId="0" ref="B4">
      <text>
        <t xml:space="preserve">0.86, regripless</t>
      </text>
    </comment>
    <comment authorId="0" ref="C4">
      <text>
        <t xml:space="preserve">0.77, regripless</t>
      </text>
    </comment>
    <comment authorId="0" ref="E4">
      <text>
        <t xml:space="preserve">0.77, regripless</t>
      </text>
    </comment>
    <comment authorId="0" ref="F4">
      <text>
        <t xml:space="preserve">0.92, regripless</t>
      </text>
    </comment>
    <comment authorId="0" ref="G4">
      <text>
        <t xml:space="preserve">0.74, regripless</t>
      </text>
    </comment>
    <comment authorId="0" ref="H4">
      <text>
        <t xml:space="preserve">0.80, regripless</t>
      </text>
    </comment>
    <comment authorId="0" ref="I4">
      <text>
        <t xml:space="preserve">0.80, regrip before last R'</t>
      </text>
    </comment>
    <comment authorId="0" ref="J4">
      <text>
        <t xml:space="preserve">0.84, regrip before last R'</t>
      </text>
    </comment>
    <comment authorId="0" ref="K4">
      <text>
        <t xml:space="preserve">0.90, regrip before L</t>
      </text>
    </comment>
    <comment authorId="0" ref="L4">
      <text>
        <t xml:space="preserve">0.56, regripless</t>
      </text>
    </comment>
    <comment authorId="0" ref="M4">
      <text>
        <t xml:space="preserve">0.76, regripless</t>
      </text>
    </comment>
    <comment authorId="0" ref="N4">
      <text>
        <t xml:space="preserve">0.49, regripless</t>
      </text>
    </comment>
    <comment authorId="0" ref="O4">
      <text>
        <t xml:space="preserve">0.66, regripless</t>
      </text>
    </comment>
    <comment authorId="0" ref="P4">
      <text>
        <t xml:space="preserve">0.73, regripless</t>
      </text>
    </comment>
    <comment authorId="0" ref="R4">
      <text>
        <t xml:space="preserve">0.77, regripless</t>
      </text>
    </comment>
    <comment authorId="0" ref="S4">
      <text>
        <t xml:space="preserve">0.48, regripless</t>
      </text>
    </comment>
    <comment authorId="0" ref="T4">
      <text>
        <t xml:space="preserve">0.80, regripless</t>
      </text>
    </comment>
    <comment authorId="0" ref="U4">
      <text>
        <t xml:space="preserve">0.67, regripless</t>
      </text>
    </comment>
    <comment authorId="0" ref="V4">
      <text>
        <t xml:space="preserve">0.86, regripless</t>
      </text>
    </comment>
    <comment authorId="0" ref="W4">
      <text>
        <t xml:space="preserve">0.77, regripless</t>
      </text>
    </comment>
    <comment authorId="0" ref="B5">
      <text>
        <t xml:space="preserve">0.90, regrip before R'</t>
      </text>
    </comment>
    <comment authorId="0" ref="C5">
      <text>
        <t xml:space="preserve">0.77, regripless</t>
      </text>
    </comment>
    <comment authorId="0" ref="D5">
      <text>
        <t xml:space="preserve">0.79, regripless</t>
      </text>
    </comment>
    <comment authorId="0" ref="F5">
      <text>
        <t xml:space="preserve">0.91, regripless</t>
      </text>
    </comment>
    <comment authorId="0" ref="G5">
      <text>
        <t xml:space="preserve">0.80, 2 regrips</t>
      </text>
    </comment>
    <comment authorId="0" ref="H5">
      <text>
        <t xml:space="preserve">0.81, regripless</t>
      </text>
    </comment>
    <comment authorId="0" ref="I5">
      <text>
        <t xml:space="preserve">0.89, 1 regrip during U'</t>
      </text>
    </comment>
    <comment authorId="0" ref="J5">
      <text>
        <t xml:space="preserve">0.76, regripless</t>
      </text>
    </comment>
    <comment authorId="0" ref="K5">
      <text>
        <t xml:space="preserve">0.56, regripless</t>
      </text>
    </comment>
    <comment authorId="0" ref="L5">
      <text>
        <t xml:space="preserve">0.66, 2 regrips</t>
      </text>
    </comment>
    <comment authorId="0" ref="M5">
      <text>
        <t xml:space="preserve">0.82, regripless, f and f' with right index</t>
      </text>
    </comment>
    <comment authorId="0" ref="O5">
      <text>
        <t xml:space="preserve">0.99, regripless
F right index, S' left index, F right index, S right index, F2' left double flick</t>
      </text>
    </comment>
    <comment authorId="0" ref="P5">
      <text>
        <t xml:space="preserve">0.80, 2 regrips</t>
      </text>
    </comment>
    <comment authorId="0" ref="Q5">
      <text>
        <t xml:space="preserve">0.81, regripless</t>
      </text>
    </comment>
    <comment authorId="0" ref="R5">
      <text>
        <t xml:space="preserve">0.55, 2 regrips</t>
      </text>
    </comment>
    <comment authorId="0" ref="S5">
      <text>
        <t xml:space="preserve">0.95, regripless</t>
      </text>
    </comment>
    <comment authorId="0" ref="T5">
      <text>
        <t xml:space="preserve">0.88, regripless</t>
      </text>
    </comment>
    <comment authorId="0" ref="U5">
      <text>
        <t xml:space="preserve">0.55, regripless
U right index, S and S' right middle</t>
      </text>
    </comment>
    <comment authorId="0" ref="V5">
      <text>
        <t xml:space="preserve">0.80, regripless</t>
      </text>
    </comment>
    <comment authorId="0" ref="W5">
      <text>
        <t xml:space="preserve">0.77, 2 regrips</t>
      </text>
    </comment>
    <comment authorId="0" ref="B6">
      <text>
        <t xml:space="preserve">0.88, regripless</t>
      </text>
    </comment>
    <comment authorId="0" ref="C6">
      <text>
        <t xml:space="preserve">0.60, regripless</t>
      </text>
    </comment>
    <comment authorId="0" ref="D6">
      <text>
        <t xml:space="preserve">0.73, regripless</t>
      </text>
    </comment>
    <comment authorId="0" ref="E6">
      <text>
        <t xml:space="preserve">0.70, 2 regrips</t>
      </text>
    </comment>
    <comment authorId="0" ref="G6">
      <text>
        <t xml:space="preserve">0.87, 2 regrips, first at U move, M left middle</t>
      </text>
    </comment>
    <comment authorId="0" ref="I6">
      <text>
        <t xml:space="preserve">0.84, regripless</t>
      </text>
    </comment>
    <comment authorId="0" ref="J6">
      <text>
        <t xml:space="preserve">0.80, regripless</t>
      </text>
    </comment>
    <comment authorId="0" ref="K6">
      <text>
        <t xml:space="preserve">0.97, regripless</t>
      </text>
    </comment>
    <comment authorId="0" ref="L6">
      <text>
        <t xml:space="preserve">0.97, 2 regrips, ishaan M2</t>
      </text>
    </comment>
    <comment authorId="0" ref="M6">
      <text>
        <t xml:space="preserve">0.78, last U move left index</t>
      </text>
    </comment>
    <comment authorId="0" ref="N6">
      <text>
        <t xml:space="preserve">0.94, 2 regrips, ishaan M2</t>
      </text>
    </comment>
    <comment authorId="0" ref="O6">
      <text>
        <t xml:space="preserve">0.82, regripless, r2' R ending</t>
      </text>
    </comment>
    <comment authorId="0" ref="P6">
      <text>
        <t xml:space="preserve">0.95, 2 regrips, did r' R for M but probably should figure out how to do M ring</t>
      </text>
    </comment>
    <comment authorId="0" ref="Q6">
      <text>
        <t xml:space="preserve">0.95, regripless
apparently l' is better but I can't do it as fast</t>
      </text>
    </comment>
    <comment authorId="0" ref="R6">
      <text>
        <t xml:space="preserve">0.99, 2 regrips</t>
      </text>
    </comment>
    <comment authorId="0" ref="S6">
      <text>
        <t xml:space="preserve">0.97, regripless</t>
      </text>
    </comment>
    <comment authorId="0" ref="T6">
      <text>
        <t xml:space="preserve">0.85, regripless</t>
      </text>
    </comment>
    <comment authorId="0" ref="U6">
      <text>
        <t xml:space="preserve">0.62, regrip during first U'</t>
      </text>
    </comment>
    <comment authorId="0" ref="V6">
      <text>
        <t xml:space="preserve">0.78, regripless</t>
      </text>
    </comment>
    <comment authorId="0" ref="W6">
      <text>
        <t xml:space="preserve">0.92, regrip during first U</t>
      </text>
    </comment>
    <comment authorId="0" ref="B7">
      <text>
        <t xml:space="preserve">0.81, regrip before L</t>
      </text>
    </comment>
    <comment authorId="0" ref="C7">
      <text>
        <t xml:space="preserve">0.73, regripless</t>
      </text>
    </comment>
    <comment authorId="0" ref="D7">
      <text>
        <t xml:space="preserve">0.87, regripless</t>
      </text>
    </comment>
    <comment authorId="0" ref="E7">
      <text>
        <t xml:space="preserve">0.77, regrip before R'</t>
      </text>
    </comment>
    <comment authorId="0" ref="F7">
      <text>
        <t xml:space="preserve">0.97, regrip during first U, right index U' end</t>
      </text>
    </comment>
    <comment authorId="0" ref="H7">
      <text>
        <t xml:space="preserve">0.78, regripless</t>
      </text>
    </comment>
    <comment authorId="0" ref="I7">
      <text>
        <t xml:space="preserve">0.54, regripless</t>
      </text>
    </comment>
    <comment authorId="0" ref="J7">
      <text>
        <t xml:space="preserve">0.80, regripless</t>
      </text>
    </comment>
    <comment authorId="0" ref="K7">
      <text>
        <t xml:space="preserve">0.97, regrip during U, last U' right index</t>
      </text>
    </comment>
    <comment authorId="0" ref="L7">
      <text>
        <t xml:space="preserve">0.86, regrip before L'</t>
      </text>
    </comment>
    <comment authorId="0" ref="M7">
      <text>
        <t xml:space="preserve">0.97, regripless</t>
      </text>
    </comment>
    <comment authorId="0" ref="N7">
      <text>
        <t xml:space="preserve">0.69, 2 regrips</t>
      </text>
    </comment>
    <comment authorId="0" ref="O7">
      <text>
        <t xml:space="preserve">0.83, regripless</t>
      </text>
    </comment>
    <comment authorId="0" ref="P7">
      <text>
        <t xml:space="preserve">0.72, regrip before L'</t>
      </text>
    </comment>
    <comment authorId="0" ref="Q7">
      <text>
        <t xml:space="preserve">0.96, regripless</t>
      </text>
    </comment>
    <comment authorId="0" ref="S7">
      <text>
        <t xml:space="preserve">0.97, regripless</t>
      </text>
    </comment>
    <comment authorId="0" ref="T7">
      <text>
        <t xml:space="preserve">0.97, regrip during second U</t>
      </text>
    </comment>
    <comment authorId="0" ref="U7">
      <text>
        <t xml:space="preserve">0.77, regrip before R</t>
      </text>
    </comment>
    <comment authorId="0" ref="V7">
      <text>
        <t xml:space="preserve">0.89, regrip after L'</t>
      </text>
    </comment>
    <comment authorId="0" ref="W7">
      <text>
        <t xml:space="preserve">0.64, regripless</t>
      </text>
    </comment>
    <comment authorId="0" ref="B8">
      <text>
        <t xml:space="preserve">0.42, regripless</t>
      </text>
    </comment>
    <comment authorId="0" ref="C8">
      <text>
        <t xml:space="preserve">0.81, regripless</t>
      </text>
    </comment>
    <comment authorId="0" ref="D8">
      <text>
        <t xml:space="preserve">0.74, regripless</t>
      </text>
    </comment>
    <comment authorId="0" ref="E8">
      <text>
        <t xml:space="preserve">0.78, regripless</t>
      </text>
    </comment>
    <comment authorId="0" ref="G8">
      <text>
        <t xml:space="preserve">0.77, regripless</t>
      </text>
    </comment>
    <comment authorId="0" ref="I8">
      <text>
        <t xml:space="preserve">0.75, regripless</t>
      </text>
    </comment>
    <comment authorId="0" ref="J8">
      <text>
        <t xml:space="preserve">0.53, regripless</t>
      </text>
    </comment>
    <comment authorId="0" ref="K8">
      <text>
        <t xml:space="preserve">0.93, regripless</t>
      </text>
    </comment>
    <comment authorId="0" ref="L8">
      <text>
        <t xml:space="preserve">0.69, 2 regrips</t>
      </text>
    </comment>
    <comment authorId="0" ref="M8">
      <text>
        <t xml:space="preserve">0.71, regripless</t>
      </text>
    </comment>
    <comment authorId="0" ref="N8">
      <text>
        <t xml:space="preserve">0.85, 2 regrips</t>
      </text>
    </comment>
    <comment authorId="0" ref="O8">
      <text>
        <t xml:space="preserve">0.70, regripless</t>
      </text>
    </comment>
    <comment authorId="0" ref="P8">
      <text>
        <t xml:space="preserve">0.79, 2 regrips</t>
      </text>
    </comment>
    <comment authorId="0" ref="Q8">
      <text>
        <t xml:space="preserve">0.64, regripless</t>
      </text>
    </comment>
    <comment authorId="0" ref="R8">
      <text>
        <t xml:space="preserve">0.98, 2 regrips</t>
      </text>
    </comment>
    <comment authorId="0" ref="S8">
      <text>
        <t xml:space="preserve">0.71, regripless</t>
      </text>
    </comment>
    <comment authorId="0" ref="T8">
      <text>
        <t xml:space="preserve">0.95, regripless</t>
      </text>
    </comment>
    <comment authorId="0" ref="U8">
      <text>
        <t xml:space="preserve">0.81, regripless</t>
      </text>
    </comment>
    <comment authorId="0" ref="V8">
      <text>
        <t xml:space="preserve">0.85, regripless</t>
      </text>
    </comment>
    <comment authorId="0" ref="W8">
      <text>
        <t xml:space="preserve">0.89, regripless</t>
      </text>
    </comment>
    <comment authorId="0" ref="B9">
      <text>
        <t xml:space="preserve">0.57, regripless</t>
      </text>
    </comment>
    <comment authorId="0" ref="C9">
      <text>
        <t xml:space="preserve">0.80, regrip before R</t>
      </text>
    </comment>
    <comment authorId="0" ref="D9">
      <text>
        <t xml:space="preserve">0.69, regrip during second U</t>
      </text>
    </comment>
    <comment authorId="0" ref="E9">
      <text>
        <t xml:space="preserve">0.78, 1 regrip at end</t>
      </text>
    </comment>
    <comment authorId="0" ref="F9">
      <text>
        <t xml:space="preserve">0.95, regripless</t>
      </text>
    </comment>
    <comment authorId="0" ref="G9">
      <text>
        <t xml:space="preserve">0.48, regripless</t>
      </text>
    </comment>
    <comment authorId="0" ref="H9">
      <text>
        <t xml:space="preserve">0.86, regripless</t>
      </text>
    </comment>
    <comment authorId="0" ref="J9">
      <text>
        <t xml:space="preserve">1.07 :(
regripless, ishaan M2 and R2 rolls</t>
      </text>
    </comment>
    <comment authorId="0" ref="K9">
      <text>
        <t xml:space="preserve">0.76, regripless</t>
      </text>
    </comment>
    <comment authorId="0" ref="L9">
      <text>
        <t xml:space="preserve">0.64, regripless</t>
      </text>
    </comment>
    <comment authorId="0" ref="N9">
      <text>
        <t xml:space="preserve">0.64, regripless</t>
      </text>
    </comment>
    <comment authorId="0" ref="O9">
      <text>
        <t xml:space="preserve">0.64, regripless</t>
      </text>
    </comment>
    <comment authorId="0" ref="P9">
      <text>
        <t xml:space="preserve">0.58, regripless, right middle u', left middle E</t>
      </text>
    </comment>
    <comment authorId="0" ref="Q9">
      <text>
        <t xml:space="preserve">0.95, regripless</t>
      </text>
    </comment>
    <comment authorId="0" ref="R9">
      <text>
        <t xml:space="preserve">0.73, regripless</t>
      </text>
    </comment>
    <comment authorId="0" ref="S9">
      <text>
        <t xml:space="preserve">0.56, regripless</t>
      </text>
    </comment>
    <comment authorId="0" ref="T9">
      <text>
        <t xml:space="preserve">0.91, regripless</t>
      </text>
    </comment>
    <comment authorId="0" ref="U9">
      <text>
        <t xml:space="preserve">0.80, 1 regrip at the end (slide first U)</t>
      </text>
    </comment>
    <comment authorId="0" ref="V9">
      <text>
        <t xml:space="preserve">0.80, regrip during first U'</t>
      </text>
    </comment>
    <comment authorId="0" ref="W9">
      <text>
        <t xml:space="preserve">0.48, regripless</t>
      </text>
    </comment>
    <comment authorId="0" ref="B10">
      <text>
        <t xml:space="preserve">0.43, regripless</t>
      </text>
    </comment>
    <comment authorId="0" ref="C10">
      <text>
        <t xml:space="preserve">0.91, regripless</t>
      </text>
    </comment>
    <comment authorId="0" ref="D10">
      <text>
        <t xml:space="preserve">0.79, 1 regrip during second U</t>
      </text>
    </comment>
    <comment authorId="0" ref="E10">
      <text>
        <t xml:space="preserve">0.70, regripless</t>
      </text>
    </comment>
    <comment authorId="0" ref="F10">
      <text>
        <t xml:space="preserve">0.94, regripless</t>
      </text>
    </comment>
    <comment authorId="0" ref="G10">
      <text>
        <t xml:space="preserve">0.75, regripless</t>
      </text>
    </comment>
    <comment authorId="0" ref="H10">
      <text>
        <t xml:space="preserve">0.49, regripless</t>
      </text>
    </comment>
    <comment authorId="0" ref="I10">
      <text>
        <t xml:space="preserve">1.07, regripless :(</t>
      </text>
    </comment>
    <comment authorId="0" ref="K10">
      <text>
        <t xml:space="preserve">1.04, 2 regrips</t>
      </text>
    </comment>
    <comment authorId="0" ref="L10">
      <text>
        <t xml:space="preserve">0.82, regrip during first U' and second U', ishaan M2</t>
      </text>
    </comment>
    <comment authorId="0" ref="M10">
      <text>
        <t xml:space="preserve">0.92, regripless</t>
      </text>
    </comment>
    <comment authorId="0" ref="N10">
      <text>
        <t xml:space="preserve">0.84, regrip during first U' and second U', ishaan M2</t>
      </text>
    </comment>
    <comment authorId="0" ref="O10">
      <text>
        <t xml:space="preserve">0.85, regripless and ishaan M2</t>
      </text>
    </comment>
    <comment authorId="0" ref="P10">
      <text>
        <t xml:space="preserve">0.93, regrip during first U and second U</t>
      </text>
    </comment>
    <comment authorId="0" ref="Q10">
      <text>
        <t xml:space="preserve">0.95, regripless</t>
      </text>
    </comment>
    <comment authorId="0" ref="R10">
      <text>
        <t xml:space="preserve">0.99, regrip during both U moves</t>
      </text>
    </comment>
    <comment authorId="0" ref="S10">
      <text>
        <t xml:space="preserve">0.90, regripless</t>
      </text>
    </comment>
    <comment authorId="0" ref="U10">
      <text>
        <t xml:space="preserve">0.73, regripless</t>
      </text>
    </comment>
    <comment authorId="0" ref="V10">
      <text>
        <t xml:space="preserve">0.92, basically just D' to JW alg</t>
      </text>
    </comment>
    <comment authorId="0" ref="W10">
      <text>
        <t xml:space="preserve">0.94, i feel like this should be faster but the E' is awk
regripless</t>
      </text>
    </comment>
    <comment authorId="0" ref="B11">
      <text>
        <t xml:space="preserve">0.60, regripless</t>
      </text>
    </comment>
    <comment authorId="0" ref="C11">
      <text>
        <t xml:space="preserve">0.81, 1 regrip during second U'</t>
      </text>
    </comment>
    <comment authorId="0" ref="D11">
      <text>
        <t xml:space="preserve">0.85, 2 regrips</t>
      </text>
    </comment>
    <comment authorId="0" ref="E11">
      <text>
        <t xml:space="preserve">0.51, regripless</t>
      </text>
    </comment>
    <comment authorId="0" ref="F11">
      <text>
        <t xml:space="preserve">0.85, regripless</t>
      </text>
    </comment>
    <comment authorId="0" ref="G11">
      <text>
        <t xml:space="preserve">0.94, 1 regrip at end</t>
      </text>
    </comment>
    <comment authorId="0" ref="H11">
      <text>
        <t xml:space="preserve">0.97, regripless</t>
      </text>
    </comment>
    <comment authorId="0" ref="I11">
      <text>
        <t xml:space="preserve">0.64, regripless</t>
      </text>
    </comment>
    <comment authorId="0" ref="J11">
      <text>
        <t xml:space="preserve">1.06, 2 regrips</t>
      </text>
    </comment>
    <comment authorId="0" ref="L11">
      <text>
        <t xml:space="preserve">0.56, regripless, u right index, E'/E right middle</t>
      </text>
    </comment>
    <comment authorId="0" ref="M11">
      <text>
        <t xml:space="preserve">0.67, regripless</t>
      </text>
    </comment>
    <comment authorId="0" ref="N11">
      <text>
        <t xml:space="preserve">0.69, regripless</t>
      </text>
    </comment>
    <comment authorId="0" ref="O11">
      <text>
        <t xml:space="preserve">0.77, regripless</t>
      </text>
    </comment>
    <comment authorId="0" ref="P11">
      <text>
        <t xml:space="preserve">0.56, regripless</t>
      </text>
    </comment>
    <comment authorId="0" ref="Q11">
      <text>
        <t xml:space="preserve">0.76, regripless</t>
      </text>
    </comment>
    <comment authorId="0" ref="R11">
      <text>
        <t xml:space="preserve">0.60, regripless</t>
      </text>
    </comment>
    <comment authorId="0" ref="T11">
      <text>
        <t xml:space="preserve">0.99, regripless</t>
      </text>
    </comment>
    <comment authorId="0" ref="U11">
      <text>
        <t xml:space="preserve">0.49, regripless</t>
      </text>
    </comment>
    <comment authorId="0" ref="W11">
      <text>
        <t xml:space="preserve">0.86, right index for first and third U', regrip at end</t>
      </text>
    </comment>
    <comment authorId="0" ref="W13">
      <text>
        <t xml:space="preserve">0.87, regripless</t>
      </text>
    </comment>
    <comment authorId="0" ref="J15">
      <text>
        <t xml:space="preserve">MR start</t>
      </text>
    </comment>
    <comment authorId="0" ref="F16">
      <text>
        <t xml:space="preserve">, regripless, right ring M'</t>
      </text>
    </comment>
    <comment authorId="0" ref="J17">
      <text>
        <t xml:space="preserve">L'M start</t>
      </text>
    </comment>
    <comment authorId="0" ref="U17">
      <text>
        <t xml:space="preserve">0.72, regripless</t>
      </text>
    </comment>
    <comment authorId="0" ref="V17">
      <text>
        <t xml:space="preserve">0.73, regripless</t>
      </text>
    </comment>
    <comment authorId="0" ref="E19">
      <text>
        <t xml:space="preserve">0.87, regrip during DU' and D'</t>
      </text>
    </comment>
    <comment authorId="0" ref="D21">
      <text>
        <t xml:space="preserve">0.69, regripless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W3">
      <text>
        <t xml:space="preserve">1.35</t>
      </text>
    </comment>
    <comment authorId="0" ref="N5">
      <text>
        <t xml:space="preserve">1.43</t>
      </text>
    </comment>
    <comment authorId="0" ref="O5">
      <text>
        <t xml:space="preserve">1.73</t>
      </text>
    </comment>
    <comment authorId="0" ref="P5">
      <text>
        <t xml:space="preserve">1.48</t>
      </text>
    </comment>
    <comment authorId="0" ref="W5">
      <text>
        <t xml:space="preserve">1.89</t>
      </text>
    </comment>
    <comment authorId="0" ref="S15">
      <text>
        <t xml:space="preserve">1.99</t>
      </text>
    </comment>
    <comment authorId="0" ref="M19">
      <text>
        <t xml:space="preserve">1.54</t>
      </text>
    </comment>
    <comment authorId="0" ref="G24">
      <text>
        <t xml:space="preserve">1.48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3">
      <text>
        <t xml:space="preserve">1.35</t>
      </text>
    </comment>
    <comment authorId="0" ref="R3">
      <text>
        <t xml:space="preserve">1.55</t>
      </text>
    </comment>
    <comment authorId="0" ref="U3">
      <text>
        <t xml:space="preserve">4Lw start</t>
      </text>
    </comment>
    <comment authorId="0" ref="W4">
      <text>
        <t xml:space="preserve">4Rw' start</t>
      </text>
    </comment>
    <comment authorId="0" ref="O5">
      <text>
        <t xml:space="preserve">1.54</t>
      </text>
    </comment>
    <comment authorId="0" ref="C6">
      <text>
        <t xml:space="preserve">1.35</t>
      </text>
    </comment>
    <comment authorId="0" ref="C21">
      <text>
        <t xml:space="preserve">4Lw' end</t>
      </text>
    </comment>
    <comment authorId="0" ref="D23">
      <text>
        <t xml:space="preserve">4Rw end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2">
      <text>
        <t xml:space="preserve">4x4: 1.34
5x5: 1.71 (3Rw instead of Rw)</t>
      </text>
    </comment>
    <comment authorId="0" ref="F2">
      <text>
        <t xml:space="preserve">4x4: 1.48
5x5: 1.94 (3Lw instead of Lw)</t>
      </text>
    </comment>
    <comment authorId="0" ref="G2">
      <text>
        <t xml:space="preserve">4x4: 1.81
5x5: 2.26</t>
      </text>
    </comment>
    <comment authorId="0" ref="H2">
      <text>
        <t xml:space="preserve">4x4: 1.92
5x5: 2.37</t>
      </text>
    </comment>
    <comment authorId="0" ref="I2">
      <text>
        <t xml:space="preserve">4x4: 1.92
5x5: 2.23</t>
      </text>
    </comment>
    <comment authorId="0" ref="I5">
      <text>
        <t xml:space="preserve">4x4: 1.64
5x5: 1.99</t>
      </text>
    </comment>
    <comment authorId="0" ref="J5">
      <text>
        <t xml:space="preserve">4x4: 1.39
5x5: 1.59</t>
      </text>
    </comment>
    <comment authorId="0" ref="R6">
      <text>
        <t xml:space="preserve">1.84, u' start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2">
      <text>
        <t xml:space="preserve">1.58</t>
      </text>
    </comment>
    <comment authorId="0" ref="F2">
      <text>
        <t xml:space="preserve">1.85</t>
      </text>
    </comment>
    <comment authorId="0" ref="G2">
      <text>
        <t xml:space="preserve">1.89</t>
      </text>
    </comment>
    <comment authorId="0" ref="H2">
      <text>
        <t xml:space="preserve">1.62</t>
      </text>
    </comment>
    <comment authorId="0" ref="W2">
      <text>
        <t xml:space="preserve">1.65</t>
      </text>
    </comment>
    <comment authorId="0" ref="U3">
      <text>
        <t xml:space="preserve">1.81</t>
      </text>
    </comment>
    <comment authorId="0" ref="B5">
      <text>
        <t xml:space="preserve">1.48</t>
      </text>
    </comment>
    <comment authorId="0" ref="C5">
      <text>
        <t xml:space="preserve">1.86</t>
      </text>
    </comment>
    <comment authorId="0" ref="D5">
      <text>
        <t xml:space="preserve">1.75</t>
      </text>
    </comment>
    <comment authorId="0" ref="I5">
      <text>
        <t xml:space="preserve">1.65</t>
      </text>
    </comment>
    <comment authorId="0" ref="J5">
      <text>
        <t xml:space="preserve">1.49</t>
      </text>
    </comment>
    <comment authorId="0" ref="K5">
      <text>
        <t xml:space="preserve">1.60</t>
      </text>
    </comment>
    <comment authorId="0" ref="L5">
      <text>
        <t xml:space="preserve">1.29</t>
      </text>
    </comment>
    <comment authorId="0" ref="M5">
      <text>
        <t xml:space="preserve">1.71</t>
      </text>
    </comment>
    <comment authorId="0" ref="N5">
      <text>
        <t xml:space="preserve">1.97, Rw 3Rw start</t>
      </text>
    </comment>
    <comment authorId="0" ref="O5">
      <text>
        <t xml:space="preserve">1.47</t>
      </text>
    </comment>
    <comment authorId="0" ref="P5">
      <text>
        <t xml:space="preserve">1.43</t>
      </text>
    </comment>
    <comment authorId="0" ref="Q5">
      <text>
        <t xml:space="preserve">1.83</t>
      </text>
    </comment>
    <comment authorId="0" ref="R5">
      <text>
        <t xml:space="preserve">1.38</t>
      </text>
    </comment>
    <comment authorId="0" ref="S5">
      <text>
        <t xml:space="preserve">1.86</t>
      </text>
    </comment>
    <comment authorId="0" ref="T5">
      <text>
        <t xml:space="preserve">1.88</t>
      </text>
    </comment>
    <comment authorId="0" ref="U5">
      <text>
        <t xml:space="preserve">1.73</t>
      </text>
    </comment>
    <comment authorId="0" ref="V5">
      <text>
        <t xml:space="preserve">1.42</t>
      </text>
    </comment>
    <comment authorId="0" ref="W5">
      <text>
        <t xml:space="preserve">1.86</t>
      </text>
    </comment>
    <comment authorId="0" ref="X5">
      <text>
        <t xml:space="preserve">1.16</t>
      </text>
    </comment>
    <comment authorId="0" ref="B6">
      <text>
        <t xml:space="preserve">1.85</t>
      </text>
    </comment>
    <comment authorId="0" ref="C6">
      <text>
        <t xml:space="preserve">2.19, start with uE'</t>
      </text>
    </comment>
    <comment authorId="0" ref="D6">
      <text>
        <t xml:space="preserve">1.95</t>
      </text>
    </comment>
    <comment authorId="0" ref="I6">
      <text>
        <t xml:space="preserve">1.46</t>
      </text>
    </comment>
    <comment authorId="0" ref="J6">
      <text>
        <t xml:space="preserve">1.78</t>
      </text>
    </comment>
    <comment authorId="0" ref="K6">
      <text>
        <t xml:space="preserve">1.48</t>
      </text>
    </comment>
    <comment authorId="0" ref="L6">
      <text>
        <t xml:space="preserve">1.53</t>
      </text>
    </comment>
    <comment authorId="0" ref="M6">
      <text>
        <t xml:space="preserve">1.61</t>
      </text>
    </comment>
    <comment authorId="0" ref="N6">
      <text>
        <t xml:space="preserve">1.80</t>
      </text>
    </comment>
    <comment authorId="0" ref="O6">
      <text>
        <t xml:space="preserve">1.94</t>
      </text>
    </comment>
    <comment authorId="0" ref="P6">
      <text>
        <t xml:space="preserve">1.37</t>
      </text>
    </comment>
    <comment authorId="0" ref="Q6">
      <text>
        <t xml:space="preserve">2.24</t>
      </text>
    </comment>
    <comment authorId="0" ref="R6">
      <text>
        <t xml:space="preserve">1.63</t>
      </text>
    </comment>
    <comment authorId="0" ref="S6">
      <text>
        <t xml:space="preserve">1.58, left index E right index E'</t>
      </text>
    </comment>
    <comment authorId="0" ref="T6">
      <text>
        <t xml:space="preserve">1.83</t>
      </text>
    </comment>
    <comment authorId="0" ref="U6">
      <text>
        <t xml:space="preserve">1.40</t>
      </text>
    </comment>
    <comment authorId="0" ref="V6">
      <text>
        <t xml:space="preserve">1.85</t>
      </text>
    </comment>
    <comment authorId="0" ref="W6">
      <text>
        <t xml:space="preserve">1.37</t>
      </text>
    </comment>
    <comment authorId="0" ref="X6">
      <text>
        <t xml:space="preserve">1.72</t>
      </text>
    </comment>
    <comment authorId="0" ref="B7">
      <text>
        <t xml:space="preserve">1.69</t>
      </text>
    </comment>
    <comment authorId="0" ref="C7">
      <text>
        <t xml:space="preserve">1.74</t>
      </text>
    </comment>
    <comment authorId="0" ref="D7">
      <text>
        <t xml:space="preserve">1.48</t>
      </text>
    </comment>
    <comment authorId="0" ref="I7">
      <text>
        <t xml:space="preserve">1.48</t>
      </text>
    </comment>
    <comment authorId="0" ref="J7">
      <text>
        <t xml:space="preserve">1.54</t>
      </text>
    </comment>
    <comment authorId="0" ref="K7">
      <text>
        <t xml:space="preserve">1.48</t>
      </text>
    </comment>
    <comment authorId="0" ref="L7">
      <text>
        <t xml:space="preserve">1.34</t>
      </text>
    </comment>
    <comment authorId="0" ref="M7">
      <text>
        <t xml:space="preserve">1.61</t>
      </text>
    </comment>
    <comment authorId="0" ref="N7">
      <text>
        <t xml:space="preserve">1.61</t>
      </text>
    </comment>
    <comment authorId="0" ref="O7">
      <text>
        <t xml:space="preserve">1.80</t>
      </text>
    </comment>
    <comment authorId="0" ref="P7">
      <text>
        <t xml:space="preserve">1.87</t>
      </text>
    </comment>
    <comment authorId="0" ref="Q7">
      <text>
        <t xml:space="preserve">1.63</t>
      </text>
    </comment>
    <comment authorId="0" ref="R7">
      <text>
        <t xml:space="preserve">1.72</t>
      </text>
    </comment>
    <comment authorId="0" ref="S7">
      <text>
        <t xml:space="preserve">1.74</t>
      </text>
    </comment>
    <comment authorId="0" ref="T7">
      <text>
        <t xml:space="preserve">1.58</t>
      </text>
    </comment>
    <comment authorId="0" ref="U7">
      <text>
        <t xml:space="preserve">1.81</t>
      </text>
    </comment>
    <comment authorId="0" ref="V7">
      <text>
        <t xml:space="preserve">1.50 :(</t>
      </text>
    </comment>
    <comment authorId="0" ref="W7">
      <text>
        <t xml:space="preserve">1.57</t>
      </text>
    </comment>
    <comment authorId="0" ref="X7">
      <text>
        <t xml:space="preserve">1.15</t>
      </text>
    </comment>
    <comment authorId="0" ref="B8">
      <text>
        <t xml:space="preserve">1.60</t>
      </text>
    </comment>
    <comment authorId="0" ref="C8">
      <text>
        <t xml:space="preserve">2.33, uE' start</t>
      </text>
    </comment>
    <comment authorId="0" ref="D8">
      <text>
        <t xml:space="preserve">1.48</t>
      </text>
    </comment>
    <comment authorId="0" ref="I8">
      <text>
        <t xml:space="preserve">1.27</t>
      </text>
    </comment>
    <comment authorId="0" ref="J8">
      <text>
        <t xml:space="preserve">1.60</t>
      </text>
    </comment>
    <comment authorId="0" ref="K8">
      <text>
        <t xml:space="preserve">1.27</t>
      </text>
    </comment>
    <comment authorId="0" ref="O8">
      <text>
        <t xml:space="preserve">1.45</t>
      </text>
    </comment>
    <comment authorId="0" ref="P8">
      <text>
        <t xml:space="preserve">1.26</t>
      </text>
    </comment>
    <comment authorId="0" ref="R8">
      <text>
        <t xml:space="preserve">1.95</t>
      </text>
    </comment>
    <comment authorId="0" ref="T8">
      <text>
        <t xml:space="preserve">1.76</t>
      </text>
    </comment>
    <comment authorId="0" ref="V8">
      <text>
        <t xml:space="preserve">2.54</t>
      </text>
    </comment>
    <comment authorId="0" ref="M11">
      <text>
        <t xml:space="preserve">1.94</t>
      </text>
    </comment>
    <comment authorId="0" ref="O12">
      <text>
        <t xml:space="preserve">2.26</t>
      </text>
    </comment>
    <comment authorId="0" ref="H15">
      <text>
        <t xml:space="preserve">1.36</t>
      </text>
    </comment>
    <comment authorId="0" ref="H18">
      <text>
        <t xml:space="preserve">1.79</t>
      </text>
    </comment>
    <comment authorId="0" ref="Q23">
      <text>
        <t xml:space="preserve">1.90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3">
      <text>
        <t xml:space="preserve">same as F parity, but cancellations</t>
      </text>
    </comment>
    <comment authorId="0" ref="C7">
      <text>
        <t xml:space="preserve">same as B parity, but cancellations</t>
      </text>
    </comment>
    <comment authorId="0" ref="E9">
      <text>
        <t xml:space="preserve">roll the last R2</t>
      </text>
    </comment>
    <comment authorId="0" ref="E15">
      <text>
        <t xml:space="preserve">roll the last R2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M2 U M2 U M' U2 M2 U2 M' U2</t>
      </text>
    </comment>
    <comment authorId="0" ref="B5">
      <text>
        <t xml:space="preserve">R' grip start</t>
      </text>
    </comment>
    <comment authorId="0" ref="B8">
      <text>
        <t xml:space="preserve">(r2 U' R2 B2)2 is marginally slower imo</t>
      </text>
    </comment>
    <comment authorId="0" ref="B9">
      <text>
        <t xml:space="preserve">S' M' U M S U M' U2 M
M' U2 M U' M' S' U' S M
M' U2 M U' S' M' U' M S
D' to UF-DF alg?</t>
      </text>
    </comment>
    <comment authorId="0" ref="E11">
      <text>
        <t xml:space="preserve">regrip during first D, so really more like 1 regrip</t>
      </text>
    </comment>
    <comment authorId="0" ref="B12">
      <text>
        <t xml:space="preserve">R regrip at start, U' right index</t>
      </text>
    </comment>
    <comment authorId="0" ref="B13">
      <text>
        <t xml:space="preserve">CE alg was actually R B' R' S' R B R' U' S U
inverse?
D' to DF-FU 2e2e?
</t>
      </text>
    </comment>
    <comment authorId="0" ref="B15">
      <text>
        <t xml:space="preserve">R U B U' B' R2 U' F' U F R
S' L F' E F E' F L' S R U' R'
R' F' R' F U R2 B U B' U' R'</t>
      </text>
    </comment>
    <comment authorId="0" ref="B16">
      <text>
        <t xml:space="preserve">U' F R2 S R' S' E' R' E F U'</t>
      </text>
    </comment>
    <comment authorId="0" ref="B19">
      <text>
        <t xml:space="preserve">U S U L F' L' S' L F L' U2
U S R' F' R U S' U' R' F R U'</t>
      </text>
    </comment>
    <comment authorId="0" ref="B21">
      <text>
        <t xml:space="preserve">R regrip start</t>
      </text>
    </comment>
    <comment authorId="0" ref="B23">
      <text>
        <t xml:space="preserve">U L F2 U R U' R' F2 U' L'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">
      <text>
        <t xml:space="preserve">air conditioning or alternating current, whatever works
alt: acorn</t>
      </text>
    </comment>
    <comment authorId="0" ref="E2">
      <text>
        <t xml:space="preserve">alt: addition</t>
      </text>
    </comment>
    <comment authorId="0" ref="G2">
      <text>
        <t xml:space="preserve">alt: afro</t>
      </text>
    </comment>
    <comment authorId="0" ref="I2">
      <text>
        <t xml:space="preserve">alt: ashtray</t>
      </text>
    </comment>
    <comment authorId="0" ref="K2">
      <text>
        <t xml:space="preserve">a friend</t>
      </text>
    </comment>
    <comment authorId="0" ref="P2">
      <text>
        <t xml:space="preserve">a friend
alt: aolong</t>
      </text>
    </comment>
    <comment authorId="0" ref="Q2">
      <text>
        <t xml:space="preserve">alts: apron, application</t>
      </text>
    </comment>
    <comment authorId="0" ref="R2">
      <text>
        <t xml:space="preserve">alt: "ayy Quinn"</t>
      </text>
    </comment>
    <comment authorId="0" ref="U2">
      <text>
        <t xml:space="preserve">alt: ATM</t>
      </text>
    </comment>
    <comment authorId="0" ref="W2">
      <text>
        <t xml:space="preserve">Anthony Van Engelen
alt: Avatar</t>
      </text>
    </comment>
    <comment authorId="0" ref="Y2">
      <text>
        <t xml:space="preserve">a friend</t>
      </text>
    </comment>
    <comment authorId="0" ref="B3">
      <text>
        <t xml:space="preserve">like a lamb :p</t>
      </text>
    </comment>
    <comment authorId="0" ref="E3">
      <text>
        <t xml:space="preserve">or Breaking Bad cast?</t>
      </text>
    </comment>
    <comment authorId="0" ref="J3">
      <text>
        <t xml:space="preserve">or bipolar?</t>
      </text>
    </comment>
    <comment authorId="0" ref="O3">
      <text>
        <t xml:space="preserve">alt: bone</t>
      </text>
    </comment>
    <comment authorId="0" ref="R3">
      <text>
        <t xml:space="preserve">alt: Burger Queen</t>
      </text>
    </comment>
    <comment authorId="0" ref="U3">
      <text>
        <t xml:space="preserve">animal or baseball. Also bet</t>
      </text>
    </comment>
    <comment authorId="0" ref="V3">
      <text>
        <t xml:space="preserve">from Super Mario</t>
      </text>
    </comment>
    <comment authorId="0" ref="W3">
      <text>
        <t xml:space="preserve">alt: brave</t>
      </text>
    </comment>
    <comment authorId="0" ref="Y3">
      <text>
        <t xml:space="preserve">alt: belay</t>
      </text>
    </comment>
    <comment authorId="0" ref="E4">
      <text>
        <t xml:space="preserve">alt: CD</t>
      </text>
    </comment>
    <comment authorId="0" ref="F4">
      <text>
        <t xml:space="preserve">a friend</t>
      </text>
    </comment>
    <comment authorId="0" ref="G4">
      <text>
        <t xml:space="preserve">like handcuffs. Shirt cuffs works too</t>
      </text>
    </comment>
    <comment authorId="0" ref="K4">
      <text>
        <t xml:space="preserve">or CJ Tambornino</t>
      </text>
    </comment>
    <comment authorId="0" ref="L4">
      <text>
        <t xml:space="preserve">alt: cock, like a chicken, or clock</t>
      </text>
    </comment>
    <comment authorId="0" ref="M4">
      <text>
        <t xml:space="preserve">with a phone</t>
      </text>
    </comment>
    <comment authorId="0" ref="R4">
      <text>
        <t xml:space="preserve">little quail passenger lol</t>
      </text>
    </comment>
    <comment authorId="0" ref="T4">
      <text>
        <t xml:space="preserve">alt: curse</t>
      </text>
    </comment>
    <comment authorId="0" ref="U4">
      <text>
        <t xml:space="preserve">alt: cut</t>
      </text>
    </comment>
    <comment authorId="0" ref="Y4">
      <text>
        <t xml:space="preserve">alt: coy</t>
      </text>
    </comment>
    <comment authorId="0" ref="F5">
      <text>
        <t xml:space="preserve">from Rugrats</t>
      </text>
    </comment>
    <comment authorId="0" ref="H5">
      <text>
        <t xml:space="preserve">or dog</t>
      </text>
    </comment>
    <comment authorId="0" ref="J5">
      <text>
        <t xml:space="preserve">alt: die or dye</t>
      </text>
    </comment>
    <comment authorId="0" ref="L5">
      <text>
        <t xml:space="preserve">like a penis, probably should use Dick Ramos instead</t>
      </text>
    </comment>
    <comment authorId="0" ref="M5">
      <text>
        <t xml:space="preserve">or deal</t>
      </text>
    </comment>
    <comment authorId="0" ref="Q5">
      <text>
        <t xml:space="preserve">like the chewing tobacco, also dip the verb
alt: diaper</t>
      </text>
    </comment>
    <comment authorId="0" ref="T5">
      <text>
        <t xml:space="preserve">like insulting
alt: gameboy DS or distressed</t>
      </text>
    </comment>
    <comment authorId="0" ref="U5">
      <text>
        <t xml:space="preserve">or just put dots on whatever</t>
      </text>
    </comment>
    <comment authorId="0" ref="V5">
      <text>
        <t xml:space="preserve">could also use Dudley from Harry Potter</t>
      </text>
    </comment>
    <comment authorId="0" ref="W5">
      <text>
        <t xml:space="preserve">alt: dove</t>
      </text>
    </comment>
    <comment authorId="0" ref="E6">
      <text>
        <t xml:space="preserve">from Ed, Edd and Eddy</t>
      </text>
    </comment>
    <comment authorId="0" ref="I6">
      <text>
        <t xml:space="preserve">alt: etch-a-sketch</t>
      </text>
    </comment>
    <comment authorId="0" ref="N6">
      <text>
        <t xml:space="preserve">mom's nickname</t>
      </text>
    </comment>
    <comment authorId="0" ref="O6">
      <text>
        <t xml:space="preserve">from Ender's Game</t>
      </text>
    </comment>
    <comment authorId="0" ref="P6">
      <text>
        <t xml:space="preserve">edge-orientation</t>
      </text>
    </comment>
    <comment authorId="0" ref="Q6">
      <text>
        <t xml:space="preserve">could be ep like a hoe/bitty/slut, or episode, or EP (extended play)</t>
      </text>
    </comment>
    <comment authorId="0" ref="R6">
      <text>
        <t xml:space="preserve">seems like a bad visual but i always picture a bunch of social justice fighters, usually works. Equals sign maybe also?</t>
      </text>
    </comment>
    <comment authorId="0" ref="T6">
      <text>
        <t xml:space="preserve">the shoe company</t>
      </text>
    </comment>
    <comment authorId="0" ref="U6">
      <text>
        <t xml:space="preserve">alt: E.T. the alien</t>
      </text>
    </comment>
    <comment authorId="0" ref="X6">
      <text>
        <t xml:space="preserve">alt: "ewwwwww"</t>
      </text>
    </comment>
    <comment authorId="0" ref="Y6">
      <text>
        <t xml:space="preserve">a friend</t>
      </text>
    </comment>
    <comment authorId="0" ref="C7">
      <text>
        <t xml:space="preserve">alt: fob</t>
      </text>
    </comment>
    <comment authorId="0" ref="D7">
      <text>
        <t xml:space="preserve">just picture an FMC paper</t>
      </text>
    </comment>
    <comment authorId="0" ref="M7">
      <text>
        <t xml:space="preserve">alt: flute</t>
      </text>
    </comment>
    <comment authorId="0" ref="S7">
      <text>
        <t xml:space="preserve">alt: fire, four</t>
      </text>
    </comment>
    <comment authorId="0" ref="W7">
      <text>
        <t xml:space="preserve">alt: favorite</t>
      </text>
    </comment>
    <comment authorId="0" ref="X7">
      <text>
        <t xml:space="preserve">few is faster for audio</t>
      </text>
    </comment>
    <comment authorId="0" ref="Y7">
      <text>
        <t xml:space="preserve">a friend</t>
      </text>
    </comment>
    <comment authorId="0" ref="I8">
      <text>
        <t xml:space="preserve">a friend</t>
      </text>
    </comment>
    <comment authorId="0" ref="K8">
      <text>
        <t xml:space="preserve">alt: inspector gadget</t>
      </text>
    </comment>
    <comment authorId="0" ref="Q8">
      <text>
        <t xml:space="preserve">skate spot? or the clothing store</t>
      </text>
    </comment>
    <comment authorId="0" ref="S8">
      <text>
        <t xml:space="preserve">could be blood and guts, or Al Gore</t>
      </text>
    </comment>
    <comment authorId="0" ref="U8">
      <text>
        <t xml:space="preserve">alt: goat</t>
      </text>
    </comment>
    <comment authorId="0" ref="W8">
      <text>
        <t xml:space="preserve">alt: gavel</t>
      </text>
    </comment>
    <comment authorId="0" ref="C9">
      <text>
        <t xml:space="preserve">alt: hobbit</t>
      </text>
    </comment>
    <comment authorId="0" ref="D9">
      <text>
        <t xml:space="preserve">like hardcore music kids</t>
      </text>
    </comment>
    <comment authorId="0" ref="J9">
      <text>
        <t xml:space="preserve">like on drugs</t>
      </text>
    </comment>
    <comment authorId="0" ref="L9">
      <text>
        <t xml:space="preserve">or hickey</t>
      </text>
    </comment>
    <comment authorId="0" ref="M9">
      <text>
        <t xml:space="preserve">alt: hill, hell, helmet</t>
      </text>
    </comment>
    <comment authorId="0" ref="N9">
      <text>
        <t xml:space="preserve">alt: ham</t>
      </text>
    </comment>
    <comment authorId="0" ref="Q9">
      <text>
        <t xml:space="preserve">or Harry Potter</t>
      </text>
    </comment>
    <comment authorId="0" ref="S9">
      <text>
        <t xml:space="preserve">alt: hear</t>
      </text>
    </comment>
    <comment authorId="0" ref="T9">
      <text>
        <t xml:space="preserve">alt: hiss</t>
      </text>
    </comment>
    <comment authorId="0" ref="U9">
      <text>
        <t xml:space="preserve">alt: heart</t>
      </text>
    </comment>
    <comment authorId="0" ref="Y9">
      <text>
        <t xml:space="preserve">alt: "hey", or hay</t>
      </text>
    </comment>
    <comment authorId="0" ref="H10">
      <text>
        <t xml:space="preserve">alt: igloo</t>
      </text>
    </comment>
    <comment authorId="0" ref="I10">
      <text>
        <t xml:space="preserve">a friend</t>
      </text>
    </comment>
    <comment authorId="0" ref="L10">
      <text>
        <t xml:space="preserve">alt: "ick"</t>
      </text>
    </comment>
    <comment authorId="0" ref="O10">
      <text>
        <t xml:space="preserve">alt: insect</t>
      </text>
    </comment>
    <comment authorId="0" ref="P10">
      <text>
        <t xml:space="preserve">Jupiter's moon</t>
      </text>
    </comment>
    <comment authorId="0" ref="Q10">
      <text>
        <t xml:space="preserve">alt: IP address</t>
      </text>
    </comment>
    <comment authorId="0" ref="S10">
      <text>
        <t xml:space="preserve">ironing board (element is too similar to silver)</t>
      </text>
    </comment>
    <comment authorId="0" ref="T10">
      <text>
        <t xml:space="preserve">alt: ice skates</t>
      </text>
    </comment>
    <comment authorId="0" ref="U10">
      <text>
        <t xml:space="preserve">either Cousin It or Pennywise</t>
      </text>
    </comment>
    <comment authorId="0" ref="Y10">
      <text>
        <t xml:space="preserve">like a slushie</t>
      </text>
    </comment>
    <comment authorId="0" ref="D11">
      <text>
        <t xml:space="preserve">from N'Sync</t>
      </text>
    </comment>
    <comment authorId="0" ref="E11">
      <text>
        <t xml:space="preserve">couldnt think of any Jeds so I just used Jeb Bush lol</t>
      </text>
    </comment>
    <comment authorId="0" ref="G11">
      <text>
        <t xml:space="preserve">a friend</t>
      </text>
    </comment>
    <comment authorId="0" ref="I11">
      <text>
        <t xml:space="preserve">a friend</t>
      </text>
    </comment>
    <comment authorId="0" ref="J11">
      <text>
        <t xml:space="preserve">friend from high school</t>
      </text>
    </comment>
    <comment authorId="0" ref="L11">
      <text>
        <t xml:space="preserve">a friend</t>
      </text>
    </comment>
    <comment authorId="0" ref="N11">
      <text>
        <t xml:space="preserve">like the food, or like a music session</t>
      </text>
    </comment>
    <comment authorId="0" ref="P11">
      <text>
        <t xml:space="preserve">a friend</t>
      </text>
    </comment>
    <comment authorId="0" ref="Q11">
      <text>
        <t xml:space="preserve">alt: jeep</t>
      </text>
    </comment>
    <comment authorId="0" ref="T11">
      <text>
        <t xml:space="preserve">sister's friend</t>
      </text>
    </comment>
    <comment authorId="0" ref="U11">
      <text>
        <t xml:space="preserve">friend named Jet, also jet plane works too</t>
      </text>
    </comment>
    <comment authorId="0" ref="V11">
      <text>
        <t xml:space="preserve">a friend
alt: juice</t>
      </text>
    </comment>
    <comment authorId="0" ref="W11">
      <text>
        <t xml:space="preserve">picture the jive-speakers from the movie Airplane!
alt: javelin</t>
      </text>
    </comment>
    <comment authorId="0" ref="X11">
      <text>
        <t xml:space="preserve">alt: jew</t>
      </text>
    </comment>
    <comment authorId="0" ref="D12">
      <text>
        <t xml:space="preserve">friend's girlfriend. Could also use KC and the sunshine band</t>
      </text>
    </comment>
    <comment authorId="0" ref="F12">
      <text>
        <t xml:space="preserve">a friend
alt: key</t>
      </text>
    </comment>
    <comment authorId="0" ref="G12">
      <text>
        <t xml:space="preserve">either the weed sprinkle or Chief Keef</t>
      </text>
    </comment>
    <comment authorId="0" ref="I12">
      <text>
        <t xml:space="preserve">alt: ketchup</t>
      </text>
    </comment>
    <comment authorId="0" ref="J12">
      <text>
        <t xml:space="preserve">a friend</t>
      </text>
    </comment>
    <comment authorId="0" ref="M12">
      <text>
        <t xml:space="preserve">alt: klein bottle</t>
      </text>
    </comment>
    <comment authorId="0" ref="N12">
      <text>
        <t xml:space="preserve">a friend
alt: Kim Possible</t>
      </text>
    </comment>
    <comment authorId="0" ref="O12">
      <text>
        <t xml:space="preserve">alt: kennel</t>
      </text>
    </comment>
    <comment authorId="0" ref="Q12">
      <text>
        <t xml:space="preserve">from Napoleon Dynamite</t>
      </text>
    </comment>
    <comment authorId="0" ref="S12">
      <text>
        <t xml:space="preserve">alt: Kirby</t>
      </text>
    </comment>
    <comment authorId="0" ref="V12">
      <text>
        <t xml:space="preserve">like a crazy person</t>
      </text>
    </comment>
    <comment authorId="0" ref="F13">
      <text>
        <t xml:space="preserve">a friend</t>
      </text>
    </comment>
    <comment authorId="0" ref="G13">
      <text>
        <t xml:space="preserve">or the board game Life</t>
      </text>
    </comment>
    <comment authorId="0" ref="I13">
      <text>
        <t xml:space="preserve">from Agents of Shield. Leash works too</t>
      </text>
    </comment>
    <comment authorId="0" ref="L13">
      <text>
        <t xml:space="preserve">alt: lock</t>
      </text>
    </comment>
    <comment authorId="0" ref="P13">
      <text>
        <t xml:space="preserve">from "The O.C." lol</t>
      </text>
    </comment>
    <comment authorId="0" ref="S13">
      <text>
        <t xml:space="preserve">alt: leer</t>
      </text>
    </comment>
    <comment authorId="0" ref="T13">
      <text>
        <t xml:space="preserve">like the generic Pokemon character lol</t>
      </text>
    </comment>
    <comment authorId="0" ref="V13">
      <text>
        <t xml:space="preserve">sister's dog</t>
      </text>
    </comment>
    <comment authorId="0" ref="X13">
      <text>
        <t xml:space="preserve">just picture a lawbook
alt: lawyer</t>
      </text>
    </comment>
    <comment authorId="0" ref="Y13">
      <text>
        <t xml:space="preserve">laying down, or a hawaiian lay</t>
      </text>
    </comment>
    <comment authorId="0" ref="E14">
      <text>
        <t xml:space="preserve">alt: maid, mud</t>
      </text>
    </comment>
    <comment authorId="0" ref="G14">
      <text>
        <t xml:space="preserve">alt: muffin</t>
      </text>
    </comment>
    <comment authorId="0" ref="L14">
      <text>
        <t xml:space="preserve">a friend</t>
      </text>
    </comment>
    <comment authorId="0" ref="P14">
      <text>
        <t xml:space="preserve">alt: moon</t>
      </text>
    </comment>
    <comment authorId="0" ref="T14">
      <text>
        <t xml:space="preserve">alt: moss</t>
      </text>
    </comment>
    <comment authorId="0" ref="W14">
      <text>
        <t xml:space="preserve">character in Skyrim from Riften</t>
      </text>
    </comment>
    <comment authorId="0" ref="Y14">
      <text>
        <t xml:space="preserve">from Agents of Shield</t>
      </text>
    </comment>
    <comment authorId="0" ref="E15">
      <text>
        <t xml:space="preserve">from Game of Thrones (RIP)</t>
      </text>
    </comment>
    <comment authorId="0" ref="G15">
      <text>
        <t xml:space="preserve">alt: knife</t>
      </text>
    </comment>
    <comment authorId="0" ref="H15">
      <text>
        <t xml:space="preserve">of weed, or gold</t>
      </text>
    </comment>
    <comment authorId="0" ref="K15">
      <text>
        <t xml:space="preserve">alt: New Jersey</t>
      </text>
    </comment>
    <comment authorId="0" ref="L15">
      <text>
        <t xml:space="preserve">a friend</t>
      </text>
    </comment>
    <comment authorId="0" ref="N15">
      <text>
        <t xml:space="preserve">alt: nomnomnom</t>
      </text>
    </comment>
    <comment authorId="0" ref="P15">
      <text>
        <t xml:space="preserve">or "no", whatever works</t>
      </text>
    </comment>
    <comment authorId="0" ref="Q15">
      <text>
        <t xml:space="preserve">alt: nipple</t>
      </text>
    </comment>
    <comment authorId="0" ref="S15">
      <text>
        <t xml:space="preserve">alt: nurse</t>
      </text>
    </comment>
    <comment authorId="0" ref="W15">
      <text>
        <t xml:space="preserve">like on an orange</t>
      </text>
    </comment>
    <comment authorId="0" ref="X15">
      <text>
        <t xml:space="preserve">alt: now, could picture the annoying cd compilation series "NOW! THATS WHAT I CALL MUSIC" lol</t>
      </text>
    </comment>
    <comment authorId="0" ref="Y15">
      <text>
        <t xml:space="preserve">or maybe a horse going "nayyy"</t>
      </text>
    </comment>
    <comment authorId="0" ref="B16">
      <text>
        <t xml:space="preserve">Optical Society of America</t>
      </text>
    </comment>
    <comment authorId="0" ref="G16">
      <text>
        <t xml:space="preserve">like "get off!"</t>
      </text>
    </comment>
    <comment authorId="0" ref="M16">
      <text>
        <t xml:space="preserve">alt: OLL</t>
      </text>
    </comment>
    <comment authorId="0" ref="N16">
      <text>
        <t xml:space="preserve">someone meditating
alt: omelette</t>
      </text>
    </comment>
    <comment authorId="0" ref="O16">
      <text>
        <t xml:space="preserve">Hawaiian food</t>
      </text>
    </comment>
    <comment authorId="0" ref="T16">
      <text>
        <t xml:space="preserve">picture an iPhone</t>
      </text>
    </comment>
    <comment authorId="0" ref="V16">
      <text>
        <t xml:space="preserve">alt: outlaw</t>
      </text>
    </comment>
    <comment authorId="0" ref="W16">
      <text>
        <t xml:space="preserve">alt: olive</t>
      </text>
    </comment>
    <comment authorId="0" ref="X16">
      <text>
        <t xml:space="preserve">alt: owl</t>
      </text>
    </comment>
    <comment authorId="0" ref="B17">
      <text>
        <t xml:space="preserve">stepdad, or grandpa</t>
      </text>
    </comment>
    <comment authorId="0" ref="C17">
      <text>
        <t xml:space="preserve">alt: PB (personal best)</t>
      </text>
    </comment>
    <comment authorId="0" ref="D17">
      <text>
        <t xml:space="preserve">physics and astronomy club
alt: popcorn</t>
      </text>
    </comment>
    <comment authorId="0" ref="J17">
      <text>
        <t xml:space="preserve">alt: pi</t>
      </text>
    </comment>
    <comment authorId="0" ref="K17">
      <text>
        <t xml:space="preserve">a friend
alt: pajamas</t>
      </text>
    </comment>
    <comment authorId="0" ref="N17">
      <text>
        <t xml:space="preserve">from The Office, or the cooking spray</t>
      </text>
    </comment>
    <comment authorId="0" ref="S17">
      <text>
        <t xml:space="preserve">alt: pear</t>
      </text>
    </comment>
    <comment authorId="0" ref="U17">
      <text>
        <t xml:space="preserve">alt: pot</t>
      </text>
    </comment>
    <comment authorId="0" ref="X17">
      <text>
        <t xml:space="preserve">alt: pawn, punch</t>
      </text>
    </comment>
    <comment authorId="0" ref="E18">
      <text>
        <t xml:space="preserve">like the 4 wheeler</t>
      </text>
    </comment>
    <comment authorId="0" ref="H18">
      <text>
        <t xml:space="preserve">from Family Guy</t>
      </text>
    </comment>
    <comment authorId="0" ref="V18">
      <text>
        <t xml:space="preserve">like the tangerines</t>
      </text>
    </comment>
    <comment authorId="0" ref="Y18">
      <text>
        <t xml:space="preserve">like qyoooooob</t>
      </text>
    </comment>
    <comment authorId="0" ref="E19">
      <text>
        <t xml:space="preserve">alt: radio</t>
      </text>
    </comment>
    <comment authorId="0" ref="F19">
      <text>
        <t xml:space="preserve">or real skate team if i need to distinguish from skateboard for SB</t>
      </text>
    </comment>
    <comment authorId="0" ref="G19">
      <text>
        <t xml:space="preserve">or reef</t>
      </text>
    </comment>
    <comment authorId="0" ref="I19">
      <text>
        <t xml:space="preserve">alt: rhino</t>
      </text>
    </comment>
    <comment authorId="0" ref="J19">
      <text>
        <t xml:space="preserve">a friend</t>
      </text>
    </comment>
    <comment authorId="0" ref="Q19">
      <text>
        <t xml:space="preserve">alt: rope</t>
      </text>
    </comment>
    <comment authorId="0" ref="W19">
      <text>
        <t xml:space="preserve">alt: raven</t>
      </text>
    </comment>
    <comment authorId="0" ref="X19">
      <text>
        <t xml:space="preserve">picture raw fish
alt: row, like an oar</t>
      </text>
    </comment>
    <comment authorId="0" ref="Y19">
      <text>
        <t xml:space="preserve">a friend</t>
      </text>
    </comment>
    <comment authorId="0" ref="D20">
      <text>
        <t xml:space="preserve">alt: scarecrow</t>
      </text>
    </comment>
    <comment authorId="0" ref="E20">
      <text>
        <t xml:space="preserve">alt: soda, sd card</t>
      </text>
    </comment>
    <comment authorId="0" ref="I20">
      <text>
        <t xml:space="preserve">alt: shampoo</t>
      </text>
    </comment>
    <comment authorId="0" ref="J20">
      <text>
        <t xml:space="preserve">or Sierra Tello?</t>
      </text>
    </comment>
    <comment authorId="0" ref="K20">
      <text>
        <t xml:space="preserve">alt: sludge, sledgehammer</t>
      </text>
    </comment>
    <comment authorId="0" ref="L20">
      <text>
        <t xml:space="preserve">alt: sock, sick</t>
      </text>
    </comment>
    <comment authorId="0" ref="N20">
      <text>
        <t xml:space="preserve">My uncle lol</t>
      </text>
    </comment>
    <comment authorId="0" ref="P20">
      <text>
        <t xml:space="preserve">alt: soothe, "so?"</t>
      </text>
    </comment>
    <comment authorId="0" ref="Q20">
      <text>
        <t xml:space="preserve">alt: spagett!!!!!</t>
      </text>
    </comment>
    <comment authorId="0" ref="U20">
      <text>
        <t xml:space="preserve">alt: salt</t>
      </text>
    </comment>
    <comment authorId="0" ref="B21">
      <text>
        <t xml:space="preserve">or TSA?</t>
      </text>
    </comment>
    <comment authorId="0" ref="C21">
      <text>
        <t xml:space="preserve">from a soda can? or tabs of acid :p
alt: table</t>
      </text>
    </comment>
    <comment authorId="0" ref="E21">
      <text>
        <t xml:space="preserve">Dad's friend</t>
      </text>
    </comment>
    <comment authorId="0" ref="G21">
      <text>
        <t xml:space="preserve">or tough</t>
      </text>
    </comment>
    <comment authorId="0" ref="H21">
      <text>
        <t xml:space="preserve">alt: tag, tiger</t>
      </text>
    </comment>
    <comment authorId="0" ref="I21">
      <text>
        <t xml:space="preserve">or touch</t>
      </text>
    </comment>
    <comment authorId="0" ref="L21">
      <text>
        <t xml:space="preserve">alt: ticket</t>
      </text>
    </comment>
    <comment authorId="0" ref="M21">
      <text>
        <t xml:space="preserve">also tall, tail</t>
      </text>
    </comment>
    <comment authorId="0" ref="N21">
      <text>
        <t xml:space="preserve">cat from Tom &amp; Jerry</t>
      </text>
    </comment>
    <comment authorId="0" ref="Q21">
      <text>
        <t xml:space="preserve">or tap</t>
      </text>
    </comment>
    <comment authorId="0" ref="T21">
      <text>
        <t xml:space="preserve">from "Oceans'" series (Julia Roberts' character)</t>
      </text>
    </comment>
    <comment authorId="0" ref="W21">
      <text>
        <t xml:space="preserve">or tavern</t>
      </text>
    </comment>
    <comment authorId="0" ref="Y21">
      <text>
        <t xml:space="preserve">a friend</t>
      </text>
    </comment>
    <comment authorId="0" ref="C22">
      <text>
        <t xml:space="preserve">Game of Thrones</t>
      </text>
    </comment>
    <comment authorId="0" ref="D22">
      <text>
        <t xml:space="preserve">alt: university of CA</t>
      </text>
    </comment>
    <comment authorId="0" ref="E22">
      <text>
        <t xml:space="preserve">alt: under</t>
      </text>
    </comment>
    <comment authorId="0" ref="T22">
      <text>
        <t xml:space="preserve">alt: USB</t>
      </text>
    </comment>
    <comment authorId="0" ref="F23">
      <text>
        <t xml:space="preserve">a friend</t>
      </text>
    </comment>
    <comment authorId="0" ref="L23">
      <text>
        <t xml:space="preserve">from Fairly Odd Parent</t>
      </text>
    </comment>
    <comment authorId="0" ref="N23">
      <text>
        <t xml:space="preserve">alt: vimeo</t>
      </text>
    </comment>
    <comment authorId="0" ref="P23">
      <text>
        <t xml:space="preserve">a friend</t>
      </text>
    </comment>
    <comment authorId="0" ref="Q23">
      <text>
        <t xml:space="preserve">alt: viper</t>
      </text>
    </comment>
    <comment authorId="0" ref="X23">
      <text>
        <t xml:space="preserve">alt: vow</t>
      </text>
    </comment>
    <comment authorId="0" ref="Y23">
      <text>
        <t xml:space="preserve">like someone's switching things around</t>
      </text>
    </comment>
    <comment authorId="0" ref="G24">
      <text>
        <t xml:space="preserve">waffle</t>
      </text>
    </comment>
    <comment authorId="0" ref="K24">
      <text>
        <t xml:space="preserve">could be like potato wedges, or a wedge block</t>
      </text>
    </comment>
    <comment authorId="0" ref="M24">
      <text>
        <t xml:space="preserve">a friend</t>
      </text>
    </comment>
    <comment authorId="0" ref="P24">
      <text>
        <t xml:space="preserve">or "woah"</t>
      </text>
    </comment>
    <comment authorId="0" ref="S24">
      <text>
        <t xml:space="preserve">wire</t>
      </text>
    </comment>
    <comment authorId="0" ref="O25">
      <text>
        <t xml:space="preserve">or yawn</t>
      </text>
    </comment>
    <comment authorId="0" ref="T25">
      <text>
        <t xml:space="preserve">the band</t>
      </text>
    </comment>
  </commentList>
</comments>
</file>

<file path=xl/sharedStrings.xml><?xml version="1.0" encoding="utf-8"?>
<sst xmlns="http://schemas.openxmlformats.org/spreadsheetml/2006/main" count="3965" uniqueCount="3602">
  <si>
    <t>first/last</t>
  </si>
  <si>
    <t>UBR</t>
  </si>
  <si>
    <t>B (ubr)</t>
  </si>
  <si>
    <t>C (urf)</t>
  </si>
  <si>
    <t>D (ufl)</t>
  </si>
  <si>
    <t>E (flu)</t>
  </si>
  <si>
    <t>F (fur)</t>
  </si>
  <si>
    <t>G (frd)</t>
  </si>
  <si>
    <t>H (fdl)</t>
  </si>
  <si>
    <t>I (dlf)</t>
  </si>
  <si>
    <t>J (dfr)</t>
  </si>
  <si>
    <t>K (drb)</t>
  </si>
  <si>
    <t>L (dlb)</t>
  </si>
  <si>
    <t>M (rub)</t>
  </si>
  <si>
    <t>N (rbd)</t>
  </si>
  <si>
    <t>O (rdf)</t>
  </si>
  <si>
    <t>P (ruf)</t>
  </si>
  <si>
    <t>Q (ldb)</t>
  </si>
  <si>
    <t>S (luf)</t>
  </si>
  <si>
    <t>T (lfd)</t>
  </si>
  <si>
    <t>U (bld)</t>
  </si>
  <si>
    <t>V (bdr)</t>
  </si>
  <si>
    <t>W (bru)</t>
  </si>
  <si>
    <t>A (bu)</t>
  </si>
  <si>
    <t>B (ru)</t>
  </si>
  <si>
    <t>C (fu)</t>
  </si>
  <si>
    <t>D (lu)</t>
  </si>
  <si>
    <t>E (uf)</t>
  </si>
  <si>
    <t>F (rf)</t>
  </si>
  <si>
    <t>H (lf)</t>
  </si>
  <si>
    <t>J (rd)</t>
  </si>
  <si>
    <t>K (bd)</t>
  </si>
  <si>
    <t>L (ld)</t>
  </si>
  <si>
    <t>M (br)</t>
  </si>
  <si>
    <t>N (dr)</t>
  </si>
  <si>
    <t>O (fr)</t>
  </si>
  <si>
    <t>P (ur)</t>
  </si>
  <si>
    <t>Q (bl)</t>
  </si>
  <si>
    <t>R (ul)</t>
  </si>
  <si>
    <t>S (fl)</t>
  </si>
  <si>
    <t>T (dl)</t>
  </si>
  <si>
    <t>U (db)</t>
  </si>
  <si>
    <t>V (rb)</t>
  </si>
  <si>
    <t>W (ub)</t>
  </si>
  <si>
    <t>Y (lb)</t>
  </si>
  <si>
    <t>UFR</t>
  </si>
  <si>
    <t>UFL</t>
  </si>
  <si>
    <t>DFL</t>
  </si>
  <si>
    <t>DFR</t>
  </si>
  <si>
    <t>DBR</t>
  </si>
  <si>
    <t>DBL</t>
  </si>
  <si>
    <t>M (UBR CW)</t>
  </si>
  <si>
    <t>F (UFR CW)</t>
  </si>
  <si>
    <t>S (UFL CW)</t>
  </si>
  <si>
    <t>H (DFL CW)</t>
  </si>
  <si>
    <t>[l' : [U , R' D2 R]]</t>
  </si>
  <si>
    <t>O (DFR CW)</t>
  </si>
  <si>
    <t>V (DBR CW)</t>
  </si>
  <si>
    <t>U (DBL CW)</t>
  </si>
  <si>
    <t>[U, R D R' D' R D R']</t>
  </si>
  <si>
    <t>[R : [R D R' D' R D R', U]]</t>
  </si>
  <si>
    <t>[R D U : [U, R D' R']]</t>
  </si>
  <si>
    <t>[U : [U, R D R' D' R D R']]</t>
  </si>
  <si>
    <t>[U : [R' D R, U]] [U D : [U, R' D' R]]</t>
  </si>
  <si>
    <t>[x: [U R' U', L]] executed as F R' F' r U R U' r'</t>
  </si>
  <si>
    <t>[D' U : [R' D R, U]] [U : [U, R' D' R]]</t>
  </si>
  <si>
    <t>[x : [R', U' L U]] executed as R' F' r U R U' r' F</t>
  </si>
  <si>
    <t>[R D R', U] [D : [U, R D' R']]</t>
  </si>
  <si>
    <t>[D : [U, R D R']]</t>
  </si>
  <si>
    <t>[D' : [U, R D' R']]</t>
  </si>
  <si>
    <t>(U' M' U' M)2</t>
  </si>
  <si>
    <t>[U M U : [M, U2]]</t>
  </si>
  <si>
    <t>(U M' U M)2</t>
  </si>
  <si>
    <t>[U : [R' F' R, S]]</t>
  </si>
  <si>
    <t>[U : [U M' U', R]]</t>
  </si>
  <si>
    <t>[U' : [U' M' U, L']]</t>
  </si>
  <si>
    <t>[U' R' F' R : [S, R2]]</t>
  </si>
  <si>
    <t>[M U M' U : [M', U2]]</t>
  </si>
  <si>
    <t>[R D' R', U] [D' : [U, R D R']]</t>
  </si>
  <si>
    <t>[U L F L' : [S', L2]]</t>
  </si>
  <si>
    <t>Explanation:</t>
  </si>
  <si>
    <t>[R U : [R' F' R, S']]</t>
  </si>
  <si>
    <t>Gen'ed</t>
  </si>
  <si>
    <t>Just R to UBR CW</t>
  </si>
  <si>
    <t>U to W alg</t>
  </si>
  <si>
    <t>[U : [R' F' R, S']]</t>
  </si>
  <si>
    <t>UBL LDF UBR (TB) + UBL UBR FDL (BH)</t>
  </si>
  <si>
    <t>UBL FDR UBR (GB) + UBL UBR RDF (BO)</t>
  </si>
  <si>
    <t>[U' M' : [U, l E' l']]</t>
  </si>
  <si>
    <t>UBL RDB UBR (NB) + UBL UBR BDR (BV)</t>
  </si>
  <si>
    <t>UBL LDB UBR (QB) + UBL UBR BDR (BU)</t>
  </si>
  <si>
    <t>W (UBR CCW)</t>
  </si>
  <si>
    <t>P (UFR CCW)</t>
  </si>
  <si>
    <t>E (UFL CCW)</t>
  </si>
  <si>
    <t>T (DFL CCW)</t>
  </si>
  <si>
    <t>G (DFR CCW)</t>
  </si>
  <si>
    <t>N (DBR CCW)</t>
  </si>
  <si>
    <t>Q (DBL CCW)</t>
  </si>
  <si>
    <t>[R D R' D' R D R', U]</t>
  </si>
  <si>
    <t>[R : [U, R D R' D' R D R']]</t>
  </si>
  <si>
    <t>R U R' U R U2' R' L' U' L U' L' U2 L</t>
  </si>
  <si>
    <t>[M : (U M U M')2]</t>
  </si>
  <si>
    <t>[U D : [R' D' R, U]] [U : [U, R' D R]]</t>
  </si>
  <si>
    <t>[U : [R' D' R, U]] [D' U : [U, R' D R]]</t>
  </si>
  <si>
    <t>[r' : [D R' D', L2]] executed as r' [D R' D'] r2 [U R U'] r'</t>
  </si>
  <si>
    <t>[R' F' R : [R E' R', U]]</t>
  </si>
  <si>
    <t>[D : [R D' R', U]] [U, R D R']</t>
  </si>
  <si>
    <t>[D' : [R D R', U]] [U, R D' R']</t>
  </si>
  <si>
    <t>[R' D R : [U, R D' R']]</t>
  </si>
  <si>
    <t>[D' R' D R : [U, R D' R']]</t>
  </si>
  <si>
    <t>Just R to UBR CCW</t>
  </si>
  <si>
    <t>2 sunes</t>
  </si>
  <si>
    <t>[R' U' D' R : [D', R U' R']]</t>
  </si>
  <si>
    <t>UBL FDL UBR (HB) + UBL UBR LDF (BT)</t>
  </si>
  <si>
    <t>UBL RDF UBR (OB) + UBL UBR FDR (BG)</t>
  </si>
  <si>
    <t>UBL BDR UBR (VB) + UBL UBR RDB (BN)</t>
  </si>
  <si>
    <t>UBL BDR UBR (UB) + UBL UBR LDB (BQ)</t>
  </si>
  <si>
    <t>[U2, R' D R D' R' D R]?</t>
  </si>
  <si>
    <t>*NOTE THAT ALL TWISTS WITH 2 COMMS HAVE CANCELLATIONS BETWEEN THE COMMS!</t>
  </si>
  <si>
    <t>[U, R D R']</t>
  </si>
  <si>
    <t>[U : [U, R' D' R]]</t>
  </si>
  <si>
    <t>[U R : [R D R', U2]]</t>
  </si>
  <si>
    <t>[U, R D' R']</t>
  </si>
  <si>
    <t>[U R' : [U2, R' D' R]]</t>
  </si>
  <si>
    <t>[U : [U, R' D R]]</t>
  </si>
  <si>
    <t>[D' : [U, R D R']]</t>
  </si>
  <si>
    <t>[D : [U, R D' R']]</t>
  </si>
  <si>
    <t>[l' : [R' D2 R, U]]</t>
  </si>
  <si>
    <t>[R' D' U' : [R' D R, U']]</t>
  </si>
  <si>
    <t>[l' D' U' : [R D R', U2]]</t>
  </si>
  <si>
    <t>[D U : [R D R', U2]]</t>
  </si>
  <si>
    <t>[D' U : [R D' R', U2]]</t>
  </si>
  <si>
    <t>[R F' R' U : [R D R', U2]]</t>
  </si>
  <si>
    <t>[D R D' R' : [U2, R' D R]]</t>
  </si>
  <si>
    <t>[R D’ R’ : [U2, R’ D R]]</t>
  </si>
  <si>
    <t>[R' D' U' R : [D, R U' R']]</t>
  </si>
  <si>
    <t>[R' D' U' R' : [U', R' D R]]</t>
  </si>
  <si>
    <t>[U : [R D R’, U2]]</t>
  </si>
  <si>
    <t>[U2, R’ D’ R]</t>
  </si>
  <si>
    <t>[U : [R D' R', U2]]</t>
  </si>
  <si>
    <t>[F : [R' D' R, U2]]</t>
  </si>
  <si>
    <t>[U2, R' D R]</t>
  </si>
  <si>
    <t>[U D' : [R D R', U2]]</t>
  </si>
  <si>
    <t>[D U : [R D' R', U2]]</t>
  </si>
  <si>
    <t>[R' U' D : [R D R', U2]]</t>
  </si>
  <si>
    <t>[R D U : [R D' R', U]]</t>
  </si>
  <si>
    <t>[R' D' U' : [U', R' D R]]</t>
  </si>
  <si>
    <t>[l' U : [R D' R', U2]]</t>
  </si>
  <si>
    <t>[U' D' : [U', R' D R]]</t>
  </si>
  <si>
    <t>[U' D : [U', R' D' R]]</t>
  </si>
  <si>
    <t>[D R' D U : [R D' R', U]]</t>
  </si>
  <si>
    <t>[R' D U : [R D' R', U]]</t>
  </si>
  <si>
    <t>[R U' D' : [U', R' D R]]</t>
  </si>
  <si>
    <t>[D' R D' U' : [U', R' D R]]</t>
  </si>
  <si>
    <t>[R U : [R D R', U]]</t>
  </si>
  <si>
    <t>[U : [R D R', U]]</t>
  </si>
  <si>
    <t>[U' : [U', R' D' R]]</t>
  </si>
  <si>
    <t>[F, R B' R']</t>
  </si>
  <si>
    <t>[U : [R D' R', U]]</t>
  </si>
  <si>
    <t>[U' : [U', R' D R]]</t>
  </si>
  <si>
    <t>[U D' : [R D R', U]]</t>
  </si>
  <si>
    <t>[U D : [R D' R', U]]</t>
  </si>
  <si>
    <t>[l U : [R' D R, U2]]</t>
  </si>
  <si>
    <t>[x: [L, U R' U']] executed as r U R' U' r' F R F'</t>
  </si>
  <si>
    <t>[l' D' U : [R D R', U2]]</t>
  </si>
  <si>
    <t>[L, U' R' U]</t>
  </si>
  <si>
    <t>[U D R U : [D, R' U' R]]</t>
  </si>
  <si>
    <t>[U' R' U' : [R U R', D]]</t>
  </si>
  <si>
    <t>[U' D R' U' : [R U R', D']]</t>
  </si>
  <si>
    <t>[U R2 U', L']</t>
  </si>
  <si>
    <t>[l U' D : [R U R', D2]]</t>
  </si>
  <si>
    <t>[U2 R U' : [D', R' U R]]</t>
  </si>
  <si>
    <t>[U R U', L']</t>
  </si>
  <si>
    <t>[U R U : [D, R' U' R]]</t>
  </si>
  <si>
    <t>[z : [U, R' D R]]</t>
  </si>
  <si>
    <t>[U' R' : [R' D' R, U']]</t>
  </si>
  <si>
    <t>[U R U D' : [D, R' U' R]]</t>
  </si>
  <si>
    <t>[U R U R' : [U, R' D R]]</t>
  </si>
  <si>
    <t>[U D' R U : [D, R' U' R]]</t>
  </si>
  <si>
    <t>[U R' U', L']</t>
  </si>
  <si>
    <t>[l U D : [R' D' R, U2]]</t>
  </si>
  <si>
    <t>[x : [U' L U, R']] executed as F' r U R' U' r' F R</t>
  </si>
  <si>
    <t>[l' U' : [R D' R', U2]]</t>
  </si>
  <si>
    <t>[U' R' U, L]</t>
  </si>
  <si>
    <t>[D' R U : [U, R' D R]]</t>
  </si>
  <si>
    <t>[R U D : [U, R' D' R]]</t>
  </si>
  <si>
    <t>[U R' : [R' D R, U']]</t>
  </si>
  <si>
    <t>[D' U R' : [R' D R, U']]</t>
  </si>
  <si>
    <t>[R U D' : [U, R' D R]]</t>
  </si>
  <si>
    <t>[U D R' : [R' D R, U']]</t>
  </si>
  <si>
    <t>[R : [U, R D R']]</t>
  </si>
  <si>
    <t>[R U : [U, R' D' R]]</t>
  </si>
  <si>
    <t>[D' R U D : [U, R' D' R]]</t>
  </si>
  <si>
    <t>[R : [U, R D' R']]</t>
  </si>
  <si>
    <t>[U' R : [R D R', U2]]</t>
  </si>
  <si>
    <t>[R U : [U, R' D R]]</t>
  </si>
  <si>
    <t>[R D' : [U, R D R']]</t>
  </si>
  <si>
    <t>[D R : [U, R D' R']]</t>
  </si>
  <si>
    <t>[R B R' U D' : [R D R', U2]]</t>
  </si>
  <si>
    <t>[D : [R D R', U]]</t>
  </si>
  <si>
    <t>[D U' : [R D R', U2]]</t>
  </si>
  <si>
    <t>[U' D' : [R' D R, U']]</t>
  </si>
  <si>
    <t>[U D R U : [R' U' R, D]]</t>
  </si>
  <si>
    <t>[D' R U : [R' D R, U]]</t>
  </si>
  <si>
    <t>[R D : [U2, R' D' R]]</t>
  </si>
  <si>
    <t>[U R' U D' : [R U' R', D2]]</t>
  </si>
  <si>
    <t>[R U D : [R D R', U2]]</t>
  </si>
  <si>
    <t>[D' R : [D, R U2 R']]</t>
  </si>
  <si>
    <t>[R U : [R D R' , U2]]</t>
  </si>
  <si>
    <t>[R U2 R', D']</t>
  </si>
  <si>
    <t>[U' D' R' : [R' D R, U']]</t>
  </si>
  <si>
    <t>[R U : [R D' R', U2]]</t>
  </si>
  <si>
    <t>[U' D' R U : [R' D R, U2]]</t>
  </si>
  <si>
    <t>[U' : [R U' R', D]]</t>
  </si>
  <si>
    <t>[R U2 R', D2]</t>
  </si>
  <si>
    <t>[D R D : [R' U R, D2]]</t>
  </si>
  <si>
    <t>[D' R' : [R' D R, U2]]</t>
  </si>
  <si>
    <t>[D' : [R D' R', U]]</t>
  </si>
  <si>
    <t>[D : [R' D' R, U2]]</t>
  </si>
  <si>
    <t>[D' U' : [R D' R', U2]]</t>
  </si>
  <si>
    <t>[U' R' U' : [D, R U R']]</t>
  </si>
  <si>
    <t>[R U D : [R' D' R, U]]</t>
  </si>
  <si>
    <t>[R D : [R' D' R, U2]]</t>
  </si>
  <si>
    <t>[R' : [D2, R' U R]]</t>
  </si>
  <si>
    <t>[D' R' : [D', R' U R]]</t>
  </si>
  <si>
    <t>[D : [D R D', L2]] execute as rRUD: D [D R D'] r2 [U R' U'] r2 D'</t>
  </si>
  <si>
    <t>[U D' R U' : [R' U R, D']]</t>
  </si>
  <si>
    <t>[R D : [D, R' U R]]</t>
  </si>
  <si>
    <t>[D : [D, R' U R]]</t>
  </si>
  <si>
    <t>[R' D : [D, R' U R]]</t>
  </si>
  <si>
    <t>[D2 : [R' U R, D]</t>
  </si>
  <si>
    <t>[U' D' R : [R D' R', U2]]</t>
  </si>
  <si>
    <t>[D' R D' : [R' U R, D2]]</t>
  </si>
  <si>
    <t>[D2, R' U R]</t>
  </si>
  <si>
    <t>[R' D : [R' D' R, U2]]</t>
  </si>
  <si>
    <t>[r' : [L2, D R' D']] executed as r [U R' U'] r2' [D R D'] r</t>
  </si>
  <si>
    <t>[R F' R' U' : [R D R', U2]]</t>
  </si>
  <si>
    <t>[D R' D U : [U, R D' R']]</t>
  </si>
  <si>
    <t>[U' D R' U' : [D', R U R']]</t>
  </si>
  <si>
    <t>[U R' : [U', R' D R]]</t>
  </si>
  <si>
    <t>[U R' U D' : [D2, R U' R']]</t>
  </si>
  <si>
    <t>[R U R' : [U', R' D R]]</t>
  </si>
  <si>
    <t>[D' R U D R' : [U', R' D R]]</t>
  </si>
  <si>
    <t>[D R U R' : [R' D R, U']]</t>
  </si>
  <si>
    <t>[U R U', L2] execute as rRUD: [U R U'] r2 [D R' D'] r2</t>
  </si>
  <si>
    <t>[U R' : [U, R' D R]]</t>
  </si>
  <si>
    <t>[L2, D R D'] execute as rRUD: r2 [U R U'] r2 [D R' D']</t>
  </si>
  <si>
    <t>[M : (U' M U' M')2]</t>
  </si>
  <si>
    <t>[D R' : [R' U R, D]]</t>
  </si>
  <si>
    <t>[D R' : [R' U R, D2]]</t>
  </si>
  <si>
    <t>[U R' : [U2, R' D R]]</t>
  </si>
  <si>
    <t>[U D' R' : [U, R' D2 R]]</t>
  </si>
  <si>
    <t>[U R' U', L2] execute as [U R' U'] r2 [D R D'] r2</t>
  </si>
  <si>
    <t>[D R' D U' : [R D' R', U2]]</t>
  </si>
  <si>
    <t>[R' D R : [R D' R', U]]</t>
  </si>
  <si>
    <t>[U M' : [U', r' E r]]</t>
  </si>
  <si>
    <t>[D R D' R' : [R' D R, U2]]</t>
  </si>
  <si>
    <t>[R' D U : [U, R D' R']]</t>
  </si>
  <si>
    <t>[L', U R2 U']</t>
  </si>
  <si>
    <t>[D' U R' : [U', R' D R]]</t>
  </si>
  <si>
    <t>[U' : [L F L', S]]</t>
  </si>
  <si>
    <t>[R' : [R' U R, D2]]</t>
  </si>
  <si>
    <t>[R U R' : [R' D R, U']]</t>
  </si>
  <si>
    <t>[D' R U R' : [U', R' D R]]</t>
  </si>
  <si>
    <t>[R U D R' : [R' D R, U']]</t>
  </si>
  <si>
    <t>[U : [D2, M' U M]] executed as U [M U' M'] U2 [M' U M] U</t>
  </si>
  <si>
    <t>[D R U : [D, R' U' R]]</t>
  </si>
  <si>
    <t>[D R U D : [R' U' R, D2]]</t>
  </si>
  <si>
    <t>[U : [U M' U', R']]</t>
  </si>
  <si>
    <t>[R' : [R' U R, D]]</t>
  </si>
  <si>
    <t>[R' : [R' U R, D']]</t>
  </si>
  <si>
    <t>[U D' R' : [U2, R' D R]]</t>
  </si>
  <si>
    <t>[R' D R U' : [R D' R', U2]]</t>
  </si>
  <si>
    <t>[L, U R2 U']</t>
  </si>
  <si>
    <t>[R' D : [R D' R', U]]</t>
  </si>
  <si>
    <t>[U' : [U' M' U, L]]</t>
  </si>
  <si>
    <t>[R' D U' : [R D' R', U2]]</t>
  </si>
  <si>
    <t>(M' U M U)2</t>
  </si>
  <si>
    <t>[R U' R' U, M']</t>
  </si>
  <si>
    <t>[D' R' D R : [R D' R', U]]</t>
  </si>
  <si>
    <t>[M U : [M, U2]]</t>
  </si>
  <si>
    <t>[M u' : M' u2 M' u2]</t>
  </si>
  <si>
    <t>[R D' R' : [R' D R, U2]]</t>
  </si>
  <si>
    <t>[U M' U', R]</t>
  </si>
  <si>
    <t>[R U' D' : [R' D R, U']]</t>
  </si>
  <si>
    <t>[U : [M', U L' U']]</t>
  </si>
  <si>
    <t>[x : [D2, R U2 R']]</t>
  </si>
  <si>
    <t>[S' U : [M', U2]]</t>
  </si>
  <si>
    <t>[U D : [S', R F R']]</t>
  </si>
  <si>
    <t>[R U D' : [R' D R, U]]</t>
  </si>
  <si>
    <t>[L F L' : [S', L2]]</t>
  </si>
  <si>
    <t>[R U' D : [R D R', U2]]</t>
  </si>
  <si>
    <t>[S' R' U : [M', U2]]</t>
  </si>
  <si>
    <t>[D' R' : [R' U R, D']]</t>
  </si>
  <si>
    <t>[R' F' R, S']</t>
  </si>
  <si>
    <t>[D' R U D R' : [R' D R, U']]</t>
  </si>
  <si>
    <t>[L F L' U : [M', U2]]</t>
  </si>
  <si>
    <t>[D' R U R' : [R' D R, U']]</t>
  </si>
  <si>
    <t>[M' : [U', R E' R']]</t>
  </si>
  <si>
    <t>[R U D R' : [R' D R, U]]</t>
  </si>
  <si>
    <t>[R' F' R, S]</t>
  </si>
  <si>
    <t>[R U : [D, R' U' R]]</t>
  </si>
  <si>
    <t>[M' : [U', r' E r]]</t>
  </si>
  <si>
    <t>[l' : [U', R' E R]]</t>
  </si>
  <si>
    <t>[R U' D' R' : [R' D R, U']]</t>
  </si>
  <si>
    <t>[D2, M' U M] execute as [M U' M'] U2 [M' U M] U2</t>
  </si>
  <si>
    <t>[R2 U : [R D R', U2]]</t>
  </si>
  <si>
    <t>[U M' U', R']</t>
  </si>
  <si>
    <t>[R2 U : [R D' R', U2]]</t>
  </si>
  <si>
    <t>[M : [R U' R' U, M2]]</t>
  </si>
  <si>
    <t>[R U R' U : [R D R', U2]]</t>
  </si>
  <si>
    <t>[R U D : [R' U' R, D]]</t>
  </si>
  <si>
    <t>[R : [R U2 R', D2]]</t>
  </si>
  <si>
    <t>[D' R' D U' : [R D' R', U2]]</t>
  </si>
  <si>
    <t>[R' U' D' R : [R U' R', D']]</t>
  </si>
  <si>
    <t>[l U : [M, U2]]</t>
  </si>
  <si>
    <t>[R' D' U' R : [R U' R', D]]</t>
  </si>
  <si>
    <t>[D' R D' U' : [R' D R, U']]</t>
  </si>
  <si>
    <t>[U' M U : [M, U2]]</t>
  </si>
  <si>
    <t>[U2 R U' : [R' U R, D]]</t>
  </si>
  <si>
    <t>[U D R' : [U', R' D R]]</t>
  </si>
  <si>
    <t>[M', R U' R' U]</t>
  </si>
  <si>
    <t>[D' R : [R U2 R', D]]</t>
  </si>
  <si>
    <t>[M', L' U L U']</t>
  </si>
  <si>
    <t>[D : [L2, D R D']] execute as rRUD: D r2 [U R U'] r2 [D R' D'] D'</t>
  </si>
  <si>
    <t>[D R U R' : [U', R' D R]]</t>
  </si>
  <si>
    <t>[M', U' R U]</t>
  </si>
  <si>
    <t>[R U D R' : [U', R' D R]]</t>
  </si>
  <si>
    <t>[M', U L' U']</t>
  </si>
  <si>
    <t>[R U D R' : [U, R' D R]]</t>
  </si>
  <si>
    <t>[D' L F' : [E', L2]]</t>
  </si>
  <si>
    <t>[D : [S', R F R']]</t>
  </si>
  <si>
    <t>[D' R : [R U2 R', D']]</t>
  </si>
  <si>
    <t>[D R' F : [E, R2]]</t>
  </si>
  <si>
    <t>[U R' : [U, R' D2 R]]</t>
  </si>
  <si>
    <t>[D R D', M]</t>
  </si>
  <si>
    <t>[R' D' R U' D : [R D R', U2]]</t>
  </si>
  <si>
    <t>[U' : [R' F' R, S']]</t>
  </si>
  <si>
    <t>[D' R2 U : [R D R', U2]]</t>
  </si>
  <si>
    <t>[F' : [R U' R', E]]</t>
  </si>
  <si>
    <t>[R' F' : [R U' R', E]]</t>
  </si>
  <si>
    <t>[U D R' : [U2, R' D R]]</t>
  </si>
  <si>
    <t>[D' L' D, M]</t>
  </si>
  <si>
    <t>[D' R : [R U2 R', D2]]</t>
  </si>
  <si>
    <t>[L F : [L' U L, E']]</t>
  </si>
  <si>
    <t>[D' R U' D' R' : [R' D R, U']]</t>
  </si>
  <si>
    <t>[F : [L' U L, E']]</t>
  </si>
  <si>
    <t>[U2 R : [U2, R D' R']]</t>
  </si>
  <si>
    <t>[U : [r U r', S]]</t>
  </si>
  <si>
    <t>[R' D' U' R' : [R' D R, U']]</t>
  </si>
  <si>
    <t>[R U : [U, R D R']]</t>
  </si>
  <si>
    <t>[U : [D2, M' U' M]] executed as U [M U M'] U2 [M' U' M] U</t>
  </si>
  <si>
    <t>[L', U R U']</t>
  </si>
  <si>
    <t>[M', U' R' U]</t>
  </si>
  <si>
    <t>[R : [R D R', U]]</t>
  </si>
  <si>
    <t>[U' : [R' F' R, S]]</t>
  </si>
  <si>
    <t>[R U' : [R D R', U2]]</t>
  </si>
  <si>
    <t>[U D' R U' : [D', R' U R]]</t>
  </si>
  <si>
    <t>[L2, U R U'] execute as rRUD: r2 [D R D'] r2 [U R' U']</t>
  </si>
  <si>
    <t>[D R U : [R' U' R, D]]</t>
  </si>
  <si>
    <t>[R U : [R' U' R, D]]</t>
  </si>
  <si>
    <t>[M', U L U']</t>
  </si>
  <si>
    <t>[D' R : [D', R U2 R']]</t>
  </si>
  <si>
    <t>[U' L' U, R']</t>
  </si>
  <si>
    <t>[U' L' U, R2]</t>
  </si>
  <si>
    <t>(M' U' M U')2</t>
  </si>
  <si>
    <t>[M U' : [M, U2]]</t>
  </si>
  <si>
    <t>[U' L' U, R]</t>
  </si>
  <si>
    <t>[U R U' : [D', R' U R]]</t>
  </si>
  <si>
    <t>[L' U L U', M']</t>
  </si>
  <si>
    <t>[U R' U' D : [R D R', U2]</t>
  </si>
  <si>
    <t>[M u : M' u2 M' u2]</t>
  </si>
  <si>
    <t>[R' U' R' : [U', R' D R]]</t>
  </si>
  <si>
    <t>[U' : [M', U' R U]]</t>
  </si>
  <si>
    <t>[L, U R U']</t>
  </si>
  <si>
    <t>[U' M' U, L']</t>
  </si>
  <si>
    <t>[U D R U' : [D', R' U R]]</t>
  </si>
  <si>
    <t>[R' F' R : [S, R2]]</t>
  </si>
  <si>
    <t>[U' D : [S', R F R']]</t>
  </si>
  <si>
    <t>[S U' : [M', U2]]</t>
  </si>
  <si>
    <t>[R D R', U]</t>
  </si>
  <si>
    <t>[M' : [U, L' E L]]</t>
  </si>
  <si>
    <t>[U' : [R D R', U2]]</t>
  </si>
  <si>
    <t>[r : [U, L E' L']]</t>
  </si>
  <si>
    <t>[U : [U, R D R']]</t>
  </si>
  <si>
    <t>[M' : [U, l E' l']]</t>
  </si>
  <si>
    <t>[R' F R : [R D R', U]]</t>
  </si>
  <si>
    <t>[r U r', S']</t>
  </si>
  <si>
    <t>[R U : [R' D' R, U]]</t>
  </si>
  <si>
    <t>[S L U' : [M', U2]]</t>
  </si>
  <si>
    <t>[D', R U2 R']</t>
  </si>
  <si>
    <t>[R D : [R' U R, D]]</t>
  </si>
  <si>
    <t>[R' F' R U' : [M', U2]]</t>
  </si>
  <si>
    <t>[U R' : [R' D R, U]]</t>
  </si>
  <si>
    <t>[r U r', S]</t>
  </si>
  <si>
    <t>[D R U' D : [R' U' R, D2]]</t>
  </si>
  <si>
    <t>[D2, M' U' M] executed as [M U M'] U2 [M' U' M] U2</t>
  </si>
  <si>
    <t>[U R' : [R' D2 R, U]]</t>
  </si>
  <si>
    <t>[r' U' : [M, U2]]</t>
  </si>
  <si>
    <t>[M : [L' U L U', M2]]</t>
  </si>
  <si>
    <t>[R', U' L' U]</t>
  </si>
  <si>
    <t>[U' M' U, L]</t>
  </si>
  <si>
    <t>[R' : [U' L' U, R']]</t>
  </si>
  <si>
    <t>[R' : [U' L' U, R2]]</t>
  </si>
  <si>
    <t>[R D : [D2, R' U R]]</t>
  </si>
  <si>
    <t>[U' R U' : [R' D' R, U2]]</t>
  </si>
  <si>
    <t>[D' : [R U2 R', D2]]</t>
  </si>
  <si>
    <t>[D' : [R U2 R', D']]</t>
  </si>
  <si>
    <t>[R2 U' D' R' : [U', R' D R]]</t>
  </si>
  <si>
    <t>[U : [R' D' R, U]]</t>
  </si>
  <si>
    <t>[R' D' R, U2]</t>
  </si>
  <si>
    <t>[U' : [R' D' R, U']]</t>
  </si>
  <si>
    <t>[U' R U, L]</t>
  </si>
  <si>
    <t>[D' R U D : [R' D' R, U]]</t>
  </si>
  <si>
    <t>[D : [R' U R, D]]</t>
  </si>
  <si>
    <t>[D R D', L2] execute as rRUD: [D R D'] r2 [U R' U'] r2</t>
  </si>
  <si>
    <t>[R U' D' R' : [R' D R, U]]</t>
  </si>
  <si>
    <t>[R' D' R U D : [R D R', U2]]</t>
  </si>
  <si>
    <t>[R2, U' L' U]</t>
  </si>
  <si>
    <t>[R2 : [U' L' U, R]]</t>
  </si>
  <si>
    <t>[R2 : [U' L' U, R']]</t>
  </si>
  <si>
    <t>[U : [S, R' F' R]]</t>
  </si>
  <si>
    <t>[D : [R' U R, D2]]</t>
  </si>
  <si>
    <t>[M u : M u2 M u2]</t>
  </si>
  <si>
    <t>[R' U' R U : [R' D' R, U2]]</t>
  </si>
  <si>
    <t>[R U' R' : [U', R' D R]]</t>
  </si>
  <si>
    <t>[M u' : M u2 M u2]</t>
  </si>
  <si>
    <t>[R U' D R' : [U', R' D R]]</t>
  </si>
  <si>
    <t>[R2' F : [R2, E]]</t>
  </si>
  <si>
    <t>[D, R' U R]</t>
  </si>
  <si>
    <t>[R' U' : [R D R', U2]]</t>
  </si>
  <si>
    <t>[L2 F' : [L2, E']]</t>
  </si>
  <si>
    <t>[U R : [U2, R D R']]</t>
  </si>
  <si>
    <t>[R B' R', F]</t>
  </si>
  <si>
    <t>[U' R' : [U', R' D' R]]</t>
  </si>
  <si>
    <t>[U' D' R' : [U', R' D R]]</t>
  </si>
  <si>
    <t>[R' D : [R' U R, D]]</t>
  </si>
  <si>
    <t>[D R' : [D, R' U R]]</t>
  </si>
  <si>
    <t>[R' : [D, R' U R]]</t>
  </si>
  <si>
    <t>[R2 U' : [R D R', U2]]</t>
  </si>
  <si>
    <t>[D' R2 U' : [R D R', U2]]</t>
  </si>
  <si>
    <t>[R, U' L' U]</t>
  </si>
  <si>
    <t>[R : [U' L' U, R2]]</t>
  </si>
  <si>
    <t>[R : [U' L' U, R]]</t>
  </si>
  <si>
    <t>[R' D : [R' U R, D2]]</t>
  </si>
  <si>
    <t>[R U R' D U : [R D R', U2]]</t>
  </si>
  <si>
    <t>[U' R' : [U', R' D R]]</t>
  </si>
  <si>
    <t>[U' D R' : [U', R' D R]]</t>
  </si>
  <si>
    <t>[R' U : [R' D' R, U]]</t>
  </si>
  <si>
    <t>[R' : [R' D' R, U2]]</t>
  </si>
  <si>
    <t>[R D' R', U]</t>
  </si>
  <si>
    <t>[U' : [R D' R', U2]]</t>
  </si>
  <si>
    <t>[U : [U', R D' R']]</t>
  </si>
  <si>
    <t>[R' F R : [R D' R', U]]</t>
  </si>
  <si>
    <t>[R : [R D' R', U]]</t>
  </si>
  <si>
    <t>[R U' : [R D' R', U2]]</t>
  </si>
  <si>
    <t>[D' : [R' U R, D']</t>
  </si>
  <si>
    <t>[D R' : [D2, R' U R]]</t>
  </si>
  <si>
    <t>[R2 U' : [R D' R', U2]]</t>
  </si>
  <si>
    <t>[U R U' : [R' U R, D']]</t>
  </si>
  <si>
    <t>[R D' : [D2, R' U R]]</t>
  </si>
  <si>
    <t>[D' : [R' U R, D2]]</t>
  </si>
  <si>
    <t>[R' D' : [R' U R, D2]]</t>
  </si>
  <si>
    <t>[U' R : [R D' R', U2]]</t>
  </si>
  <si>
    <t>[R D' R' D' : [U, R D R']]</t>
  </si>
  <si>
    <t>[D', R' U R]</t>
  </si>
  <si>
    <t>[R' U' : [R D' R', U2]]</t>
  </si>
  <si>
    <t>[U R' : [R' D' R, U2]]</t>
  </si>
  <si>
    <t>[F : [U2, R' D' R]]</t>
  </si>
  <si>
    <t>[U' R : [U2, R D R']]</t>
  </si>
  <si>
    <t>[U' D' R U' : [R' D R, U2]]</t>
  </si>
  <si>
    <t>[U' D' R : [U2, R D' R']]</t>
  </si>
  <si>
    <t>[U D' R' : [R' D R, U2]]</t>
  </si>
  <si>
    <t>[R U R' U' : [R D R', U2]]</t>
  </si>
  <si>
    <t>[U D R' : [R' D R, U2]]</t>
  </si>
  <si>
    <t>[U R' U D : [R D R', U2]]</t>
  </si>
  <si>
    <t>[U' R U : [R' D' R, U2]]</t>
  </si>
  <si>
    <t>[R' U' R U' : [R' D' R, U2]]</t>
  </si>
  <si>
    <t>[R U R' D U' : [R D R', U2]]</t>
  </si>
  <si>
    <t>[U' R : [U2, R D' R']]</t>
  </si>
  <si>
    <t>[U' R U' : [R' D R, U2]]</t>
  </si>
  <si>
    <t>[U' D' R U' : [R' D' R, U2]]</t>
  </si>
  <si>
    <t>[U' D R : [U2, R D' R']]</t>
  </si>
  <si>
    <t>[R2' D' U' R U' : [R' D R, U2]]</t>
  </si>
  <si>
    <t>[U : [R' D R, U]]</t>
  </si>
  <si>
    <t>[R' D R, U2]</t>
  </si>
  <si>
    <t>[U' : [R' D R, U']]</t>
  </si>
  <si>
    <t>[U R U R' : [R' D R, U]]</t>
  </si>
  <si>
    <t>[R U : [R' D R, U]]</t>
  </si>
  <si>
    <t>[U' : [D, R U' R']]</t>
  </si>
  <si>
    <t>[R' F : [R2, E]]</t>
  </si>
  <si>
    <t>[R' D R U : [R D' R', U2]]</t>
  </si>
  <si>
    <t>[D' : [R F R', S']]</t>
  </si>
  <si>
    <t>[R U D : [D, R' U' R]]</t>
  </si>
  <si>
    <t>[L F' : [L2, E']]</t>
  </si>
  <si>
    <t>[D' R : [D2, R U2 R']]</t>
  </si>
  <si>
    <t>[U D' L' : [E, L2]]</t>
  </si>
  <si>
    <t>[R' U' R' : [R' D R, U']]</t>
  </si>
  <si>
    <t>[D', M' U2 M]</t>
  </si>
  <si>
    <t>[D : [R U2 R', D2]]</t>
  </si>
  <si>
    <t>[U D' L : [E', L2]]</t>
  </si>
  <si>
    <t>[R U' R' : [R' D R, U']]</t>
  </si>
  <si>
    <t>[M U2 M, U]</t>
  </si>
  <si>
    <t>[U' R' : [R' D R, U']]</t>
  </si>
  <si>
    <t>[U' D R : [E', R2]]</t>
  </si>
  <si>
    <t>[R D' R' D' : [R D R', U]]</t>
  </si>
  <si>
    <t>[U' R U : [R' D R, U2]]</t>
  </si>
  <si>
    <t>[D U' : [R U' R', D]]</t>
  </si>
  <si>
    <t>[R' U : [R' D R, U]]</t>
  </si>
  <si>
    <t>[R' : [R' D R, U2]]</t>
  </si>
  <si>
    <t>[D' : [R D R', U]]</t>
  </si>
  <si>
    <t>[M U2 M, U']</t>
  </si>
  <si>
    <t>[U' D R' : [E, R2]]</t>
  </si>
  <si>
    <t>[D, M' U2 M]</t>
  </si>
  <si>
    <t>M u2 M u2</t>
  </si>
  <si>
    <t>[F : [R2, E]]</t>
  </si>
  <si>
    <t>[U2, M']</t>
  </si>
  <si>
    <t>[F' : [L2, E']]</t>
  </si>
  <si>
    <t>[U : [R, U M' U']]</t>
  </si>
  <si>
    <t>[R, U M' U']</t>
  </si>
  <si>
    <t>[U' R U, M']</t>
  </si>
  <si>
    <t>[U' : [U' R U, M']]</t>
  </si>
  <si>
    <t>[R2' F : [E, R2]]</t>
  </si>
  <si>
    <t>[x M2 U : [M, U2]]</t>
  </si>
  <si>
    <t>[R : [U M' U', R]]</t>
  </si>
  <si>
    <t>[D' R' D, M]</t>
  </si>
  <si>
    <t>[U' D' : [R D R', U2]]</t>
  </si>
  <si>
    <t>[M' U L : [E', L2]]</t>
  </si>
  <si>
    <t>[F', R S' R']</t>
  </si>
  <si>
    <t>[U D' : [U, R D R']]</t>
  </si>
  <si>
    <t>[S' : [R, U M' U']]</t>
  </si>
  <si>
    <t>[L F : [L' S' L, F]]</t>
  </si>
  <si>
    <t>[U D' R U : [R' U' R, D]]</t>
  </si>
  <si>
    <t>[r : [U', r E' r']]</t>
  </si>
  <si>
    <t>[R D' : [R D R', U]]</t>
  </si>
  <si>
    <t>[F', R S R']</t>
  </si>
  <si>
    <t>[r U' r', E]</t>
  </si>
  <si>
    <t>[D2, R U2 R']</t>
  </si>
  <si>
    <t>[F', R' S' R]</t>
  </si>
  <si>
    <t>[D' R D : [R' U R, D2]]</t>
  </si>
  <si>
    <t>[R : [D2, M' U M]] execute as R [M U' M'] U2 [M' U M] U2 R'</t>
  </si>
  <si>
    <t>[U D' R' : [R' D2 R, U]]</t>
  </si>
  <si>
    <t>[R : [U M' U', R2]]</t>
  </si>
  <si>
    <t>[U R2 U', L]</t>
  </si>
  <si>
    <t>[M : [U' R U, M2]]</t>
  </si>
  <si>
    <t>[R : [D2, R U2 R']]</t>
  </si>
  <si>
    <t>[l' U L : [E', L2]]</t>
  </si>
  <si>
    <t>[U R U', L]</t>
  </si>
  <si>
    <t>[D2 : [R U2 R', D]]</t>
  </si>
  <si>
    <t>[U' : [L', U' M' U]]</t>
  </si>
  <si>
    <t>[R U' D R' : [R' D R, U']]</t>
  </si>
  <si>
    <t>[U : [U L' U', M']]</t>
  </si>
  <si>
    <t>[U' D R' : [R' D R, U']]</t>
  </si>
  <si>
    <t>[U L' U', M']</t>
  </si>
  <si>
    <t>[U' D' R U : [R' D' R, U2]]</t>
  </si>
  <si>
    <t>[L', U' M' U]</t>
  </si>
  <si>
    <t>[D U' : [D, R U' R']]</t>
  </si>
  <si>
    <t>[L2 F' : [E', L2]]</t>
  </si>
  <si>
    <t>[R' D' : [R D R', U]]</t>
  </si>
  <si>
    <t>[x M2 U' : [M, U2]]</t>
  </si>
  <si>
    <t>[R' U' D' : [R D R', U2]]</t>
  </si>
  <si>
    <t>[M' U' R' : [E, R2]]</t>
  </si>
  <si>
    <t>[D L D', M]</t>
  </si>
  <si>
    <t>[D : [R D' R', U]]</t>
  </si>
  <si>
    <t>[L' : [U' M' U, L']]</t>
  </si>
  <si>
    <t>[l' : [U, l' E l]]</t>
  </si>
  <si>
    <t>[D U' : [R D' R', U2]]</t>
  </si>
  <si>
    <t>[F, L S L']</t>
  </si>
  <si>
    <t>[U D : [U, R D' R']]</t>
  </si>
  <si>
    <t>[R' F R, E']</t>
  </si>
  <si>
    <t>[L', U R' U']</t>
  </si>
  <si>
    <t>[F, L' S' L]</t>
  </si>
  <si>
    <t>[D R : [R D' R', U]]</t>
  </si>
  <si>
    <t>[R' F R, E]</t>
  </si>
  <si>
    <t>[R' F' : [R S R', F']]</t>
  </si>
  <si>
    <t>[R' U R, D2]</t>
  </si>
  <si>
    <t>[S : [L', U' M' U]]</t>
  </si>
  <si>
    <t>[L2, U R' U'] execute as r2 [D R' D'] r2 [U R U']</t>
  </si>
  <si>
    <t>[L' : [D2, M' U' M]] executed as L' [M U M'] U2 [M' U' M] U2 L</t>
  </si>
  <si>
    <t>[R' D : [U, R D' R']]</t>
  </si>
  <si>
    <t>[r U' R' : [E, R2]]</t>
  </si>
  <si>
    <t>[D' R U' D' R' : [U', R' D R]]</t>
  </si>
  <si>
    <t>[U D R U' : [R' U R, D']]</t>
  </si>
  <si>
    <t>[M : [U L' U', M2]]</t>
  </si>
  <si>
    <t>[L' : [U' M' U, L2]]</t>
  </si>
  <si>
    <t>[U' R' F' R' : [S, R2]]</t>
  </si>
  <si>
    <t>[S' U' : [M', U2]]</t>
  </si>
  <si>
    <t>[D' L F' : [L2, E']]</t>
  </si>
  <si>
    <t>[R' F' R' : [S, R2]]</t>
  </si>
  <si>
    <t>[R' F : [E, R2]]</t>
  </si>
  <si>
    <t>[R : [R, U M' U']]</t>
  </si>
  <si>
    <t>[M' U' R : [E, R2]]</t>
  </si>
  <si>
    <t>[D' : [S, L' F L]]</t>
  </si>
  <si>
    <t>[M' D : [M, D2]]</t>
  </si>
  <si>
    <t>[R' U R, D]</t>
  </si>
  <si>
    <t>[R' f' R' : [S, R2]]</t>
  </si>
  <si>
    <t>[R' U : [U, R' D' R]]</t>
  </si>
  <si>
    <t>[S' : [U' M2 U, R]]</t>
  </si>
  <si>
    <t>[R' U R, D']</t>
  </si>
  <si>
    <t>[R F' R', S]</t>
  </si>
  <si>
    <t>[S' L U' : [M', U2]]</t>
  </si>
  <si>
    <t>[U' D R : [R D' R', U2]]</t>
  </si>
  <si>
    <t>[U' R' F : [E, R2]]</t>
  </si>
  <si>
    <t>[R' U : [U, R' D R]]</t>
  </si>
  <si>
    <t>[S' L' U' : [M', U2]]</t>
  </si>
  <si>
    <t>[R' D' : [U, R D R']]</t>
  </si>
  <si>
    <t>[R F' R', S']</t>
  </si>
  <si>
    <t>[S' u : M u2 M u2]</t>
  </si>
  <si>
    <t>[D R' U' : [R D' R', U2]]</t>
  </si>
  <si>
    <t>[R2 : [U M' U', R]]</t>
  </si>
  <si>
    <t>[U : [R F' R', S]]</t>
  </si>
  <si>
    <t>[R' F' : [E', R2]]</t>
  </si>
  <si>
    <t>[R' U D : [R D R', U2]]</t>
  </si>
  <si>
    <t>[M U' M' U : [M', U2]]</t>
  </si>
  <si>
    <t>[U D : [R F R', S']]</t>
  </si>
  <si>
    <t>[D : [R F R', S']]</t>
  </si>
  <si>
    <t>[l U' : [R' D R, U2]]</t>
  </si>
  <si>
    <t>[U' D : [R F R', S']]</t>
  </si>
  <si>
    <t>[l U' D : [R' D' R, U2]]</t>
  </si>
  <si>
    <t>[D' : [S', R F R']]</t>
  </si>
  <si>
    <t>[R B R' U' D' : [R D R', U2]]</t>
  </si>
  <si>
    <t>[M, D' R' D]</t>
  </si>
  <si>
    <t>[D' R' : [U2, R' D R]]</t>
  </si>
  <si>
    <t>[M, D L D']</t>
  </si>
  <si>
    <t>[R' D : [U2, R' D' R]]</t>
  </si>
  <si>
    <t>[D' : [L' F L, S]]</t>
  </si>
  <si>
    <t>[D R' D U : [R D' R', U2]]</t>
  </si>
  <si>
    <t>[D : [R F' R', S']]</t>
  </si>
  <si>
    <t>[R' D U : [R D' R', U2]]</t>
  </si>
  <si>
    <t>[M : [M, U R' U']]</t>
  </si>
  <si>
    <t>[D' R' D U : [R D' R', U2]]</t>
  </si>
  <si>
    <t>[D' : [S', R F' R']]</t>
  </si>
  <si>
    <t>[U2 R : [R D' R', U2]]</t>
  </si>
  <si>
    <t>[M : [M, U R U']]</t>
  </si>
  <si>
    <t>[U D' : [S', R F R']]</t>
  </si>
  <si>
    <t>[R2 U' D' R' : [R' D R, U']]</t>
  </si>
  <si>
    <t>[M : [M, U' L U]]</t>
  </si>
  <si>
    <t>[R' U : [R D R', U2]]</t>
  </si>
  <si>
    <t>[U' D' : [S', R F R']]</t>
  </si>
  <si>
    <t>[R' : [U2, R' D' R]]</t>
  </si>
  <si>
    <t>[M : [M, U' L' U]]</t>
  </si>
  <si>
    <t>[R' U : [R D' R', U2]]</t>
  </si>
  <si>
    <t>[D : [S, L' F L]]</t>
  </si>
  <si>
    <t>[R2' D' U' R U : [R' D R, U2]]</t>
  </si>
  <si>
    <t>[R' : [U2, R' D R]]</t>
  </si>
  <si>
    <t>[M, D' R D]</t>
  </si>
  <si>
    <t>[D' : [S', R' B' R]]</t>
  </si>
  <si>
    <t>[M, D L' D']</t>
  </si>
  <si>
    <t>[U L F L : [S', L2]]</t>
  </si>
  <si>
    <t>[L F L : [S', L2]]</t>
  </si>
  <si>
    <t>[D R' F : [R2, E]]</t>
  </si>
  <si>
    <t>[S U : [M', U2]]</t>
  </si>
  <si>
    <t>[L F' : [E', L2]]</t>
  </si>
  <si>
    <t>[M' U L' : [E', L2]]</t>
  </si>
  <si>
    <t>[L' : [L', U' M' U]]</t>
  </si>
  <si>
    <t>[M' D' : [M, D2]]</t>
  </si>
  <si>
    <t>[D : [S', R F' R']]</t>
  </si>
  <si>
    <t>[S R' U : [M', U2]]</t>
  </si>
  <si>
    <t>[L' F L, S]</t>
  </si>
  <si>
    <t>[S R U : [M, U2]]</t>
  </si>
  <si>
    <t>[R' U D' : [R D R', U2]]</t>
  </si>
  <si>
    <t>[U L F' : [E', L2]]</t>
  </si>
  <si>
    <t>[D R' U : [R D' R', U2]]</t>
  </si>
  <si>
    <t>[L f L : [S', L2]]</t>
  </si>
  <si>
    <t>[L' F L, S']</t>
  </si>
  <si>
    <t>[S : [U M2 U', L']]</t>
  </si>
  <si>
    <t>PROGRESS (378 TOTAL):</t>
  </si>
  <si>
    <t>[S u' : M u2 M u2]</t>
  </si>
  <si>
    <t>[L F : [E, L2]]</t>
  </si>
  <si>
    <t>[U' : [L' F L, S']]</t>
  </si>
  <si>
    <t>[L2 : [U' M' U, L']]</t>
  </si>
  <si>
    <t>[R U : [S', R' F' R]]</t>
  </si>
  <si>
    <t>[U M' : [U R' U', M']]</t>
  </si>
  <si>
    <t>[M' : [U R' U', M']]</t>
  </si>
  <si>
    <t>[M' : [L' E L, U]]</t>
  </si>
  <si>
    <t>[U D' L : [E, L2]]</t>
  </si>
  <si>
    <t>[R S' R', F']</t>
  </si>
  <si>
    <t>[l' : [l' E l, U]]</t>
  </si>
  <si>
    <t>[R' f' R : [S, R2]]</t>
  </si>
  <si>
    <t>[D R D', M']</t>
  </si>
  <si>
    <t>[S R' U' : [M', U2]]</t>
  </si>
  <si>
    <t>[R' : [U' M2 U, R']]</t>
  </si>
  <si>
    <t>[R' : [U' M2 U, R2]]</t>
  </si>
  <si>
    <t>[R', U' M2 U]</t>
  </si>
  <si>
    <t>[R' D R : [E', R2]]</t>
  </si>
  <si>
    <t>[D' L : [E, L2]]</t>
  </si>
  <si>
    <t>[R' D R' : [E, R2]]</t>
  </si>
  <si>
    <t>[M2 U' L' : [E, L2]]</t>
  </si>
  <si>
    <t>No. of x rotations:</t>
  </si>
  <si>
    <t>No. of z rotations:</t>
  </si>
  <si>
    <t>(never use y rotations duh)</t>
  </si>
  <si>
    <t>[R' u : M u2 M u2]</t>
  </si>
  <si>
    <t>No. setups involving F face (excluding regripless comms)</t>
  </si>
  <si>
    <t>No. of regripless algs (starting from home grip!)</t>
  </si>
  <si>
    <t>[U R' U', M2]</t>
  </si>
  <si>
    <t>In notes: * means when not counting regrips while doing a move(s) with the other hand</t>
  </si>
  <si>
    <t>[R D R', E']</t>
  </si>
  <si>
    <t>[U : [S', R' F' R]]</t>
  </si>
  <si>
    <t>[S', R' F' R]</t>
  </si>
  <si>
    <t>[U' : [S', R' F' R]]</t>
  </si>
  <si>
    <t>[r : [L E' L', U]]</t>
  </si>
  <si>
    <t>[M' U2 M, D']</t>
  </si>
  <si>
    <t>[S' : [U M' U', R]]</t>
  </si>
  <si>
    <t>[L S L', F]</t>
  </si>
  <si>
    <t>[D' : [R F' R', S']]</t>
  </si>
  <si>
    <t>[S, L' F L]</t>
  </si>
  <si>
    <t>[R2 : [U' M2 U, R]]</t>
  </si>
  <si>
    <t>[R2 : [U' M2 U, R']]</t>
  </si>
  <si>
    <t>[R2, U' M2 U]</t>
  </si>
  <si>
    <t>[M2 U R' : [E', R2]]</t>
  </si>
  <si>
    <t>[R2 U' : [M', U2]]</t>
  </si>
  <si>
    <t>[M2 U R : [E, R2]]</t>
  </si>
  <si>
    <t>[M2 D' : [M', D2]]</t>
  </si>
  <si>
    <t>[R2 u : M u2 M u2]</t>
  </si>
  <si>
    <t>[S' : [U M' U', R']]</t>
  </si>
  <si>
    <t>[U R2 U', M2]</t>
  </si>
  <si>
    <t>[D, R' E' R]</t>
  </si>
  <si>
    <t>[U' M' : [l E' l', U]]</t>
  </si>
  <si>
    <t>[L F L' U' : [M', U2]]</t>
  </si>
  <si>
    <t>[M' : [U R U', M']]</t>
  </si>
  <si>
    <t>[M' : [l E' l', U]]</t>
  </si>
  <si>
    <t>[U D' L' : [E', L2]]</t>
  </si>
  <si>
    <t>[E', R' F R]</t>
  </si>
  <si>
    <t>[S' : [R, U' M2 U]]</t>
  </si>
  <si>
    <t>[D R' D', M']</t>
  </si>
  <si>
    <t>[S R U' : [M, U2]]</t>
  </si>
  <si>
    <t>[R : [U' M2 U, R2]]</t>
  </si>
  <si>
    <t>[R : [U' M2 U, R]]</t>
  </si>
  <si>
    <t>[R, U' M2 U]</t>
  </si>
  <si>
    <t>[R D R : [E', R2]]</t>
  </si>
  <si>
    <t>[D' L' : [E', L2]]</t>
  </si>
  <si>
    <t>[R D R' : [E, R2]]</t>
  </si>
  <si>
    <t>[M2 U' L : [E', L2]]</t>
  </si>
  <si>
    <t>[R u : M u2 M u2]</t>
  </si>
  <si>
    <t>[R' : [S', R' F' R]]</t>
  </si>
  <si>
    <t>[U R U', M2]</t>
  </si>
  <si>
    <t>[R' : [D, R' E' R]]</t>
  </si>
  <si>
    <t>[M : (M U' M' U')2]</t>
  </si>
  <si>
    <t>[M' : [R' U R U', M']]</t>
  </si>
  <si>
    <t>A (uf)</t>
  </si>
  <si>
    <t>[S', r U r']</t>
  </si>
  <si>
    <t>[U, M U2 M]</t>
  </si>
  <si>
    <t xml:space="preserve">B (ur) </t>
  </si>
  <si>
    <t>[L F : [F, L' S' L]]</t>
  </si>
  <si>
    <t>D (ul)</t>
  </si>
  <si>
    <t>F (fr)</t>
  </si>
  <si>
    <t>[L' S' L, F]</t>
  </si>
  <si>
    <t>G (fd)</t>
  </si>
  <si>
    <t>[S, R F' R']</t>
  </si>
  <si>
    <t>H (fl)</t>
  </si>
  <si>
    <t>I (df)</t>
  </si>
  <si>
    <t>[U D' : [R F R', S']]</t>
  </si>
  <si>
    <t>[U L F' : [L2, E']]</t>
  </si>
  <si>
    <t>J (dr)</t>
  </si>
  <si>
    <t>[U' M2 U, R']</t>
  </si>
  <si>
    <t>K (db)</t>
  </si>
  <si>
    <t>L (dl)</t>
  </si>
  <si>
    <t>[U' M2 U, R2]</t>
  </si>
  <si>
    <t>M (rb)</t>
  </si>
  <si>
    <t>[U' M2 U, R]</t>
  </si>
  <si>
    <t>N (rd)</t>
  </si>
  <si>
    <t>O (rf)</t>
  </si>
  <si>
    <t>P (ru)</t>
  </si>
  <si>
    <t>Q (lb)</t>
  </si>
  <si>
    <t>R (lu)</t>
  </si>
  <si>
    <t>[D R : [E', R2]]</t>
  </si>
  <si>
    <t>S (lf)</t>
  </si>
  <si>
    <t>T (ld)</t>
  </si>
  <si>
    <t>[U' : [M', U2]]</t>
  </si>
  <si>
    <t>U (bd)</t>
  </si>
  <si>
    <t>V (br)</t>
  </si>
  <si>
    <t>[D R' : [E, R2]]</t>
  </si>
  <si>
    <t>W (bu)</t>
  </si>
  <si>
    <t>Y (bl)</t>
  </si>
  <si>
    <t>[L2 U' : [M', U2]]</t>
  </si>
  <si>
    <t>SET AVERAGE:</t>
  </si>
  <si>
    <t>[u : M u2 M u2]</t>
  </si>
  <si>
    <t>[f' R : [S, R2]]</t>
  </si>
  <si>
    <t>A (ub)</t>
  </si>
  <si>
    <t>[R' U R U', M2]</t>
  </si>
  <si>
    <t>[L : [S', L F L']]</t>
  </si>
  <si>
    <t>[R' F' R : [U, R E' R']]</t>
  </si>
  <si>
    <t>[M' : [R E' R', U']]</t>
  </si>
  <si>
    <t>[M' : [U' L U, M']]</t>
  </si>
  <si>
    <t>[U' M' : [U' L U, M']]</t>
  </si>
  <si>
    <t>[U' D R' : [E', R2]]</t>
  </si>
  <si>
    <t>[r : [r E' r', U']]</t>
  </si>
  <si>
    <t>will figure out soon :p</t>
  </si>
  <si>
    <t>[R2 U' : [S, R2]]</t>
  </si>
  <si>
    <t>[U' M2 U : [M, U2]]</t>
  </si>
  <si>
    <t>[R' U' : [S, R2]]</t>
  </si>
  <si>
    <t>[L U : [S', L2]]</t>
  </si>
  <si>
    <t>[U' : [S, R2]]</t>
  </si>
  <si>
    <t>[M, U2]</t>
  </si>
  <si>
    <t>[U : [S', L2]]</t>
  </si>
  <si>
    <t>[U : [L' E L, U2]]</t>
  </si>
  <si>
    <t>[U' : [R E R', U2]]</t>
  </si>
  <si>
    <t>[U : [L E' L', U2]]</t>
  </si>
  <si>
    <t>[S U' : [S, R2]]</t>
  </si>
  <si>
    <t>[U' : [R E' R', U2]]</t>
  </si>
  <si>
    <t>[U' M U' : [M', U2]]</t>
  </si>
  <si>
    <t>[U' : [R' E R, U2]]</t>
  </si>
  <si>
    <t>[U : [L' E' L, U2]]</t>
  </si>
  <si>
    <t>[U M' U : [M', U2]]</t>
  </si>
  <si>
    <t>[R U : [S, R2]]</t>
  </si>
  <si>
    <t>[E, R' F R]</t>
  </si>
  <si>
    <t>[S' L U : [M', U2]]</t>
  </si>
  <si>
    <t>[D' L' D, M']</t>
  </si>
  <si>
    <t>[L f L' : [S', L2]]</t>
  </si>
  <si>
    <t>[R' D R' : [E', R2]]</t>
  </si>
  <si>
    <t>[L' U : [S', L2]]</t>
  </si>
  <si>
    <t>[M2 U R : [E', R2]]</t>
  </si>
  <si>
    <t>[R D R' : [E', R2]]</t>
  </si>
  <si>
    <t>[D R' : [E', R2]]</t>
  </si>
  <si>
    <t>[L', U M2 U']</t>
  </si>
  <si>
    <t>[F : [L' U L, E]]</t>
  </si>
  <si>
    <t>[L : [U M2 U', L]]</t>
  </si>
  <si>
    <t>[L u' : M u2 M u2]</t>
  </si>
  <si>
    <t>[L' D' L, E]</t>
  </si>
  <si>
    <t>[U' L U, M2]</t>
  </si>
  <si>
    <t>[M : (M U M' U)2]</t>
  </si>
  <si>
    <t>[S, R' F' R]</t>
  </si>
  <si>
    <t>[M' : [L U' L' U, M']]</t>
  </si>
  <si>
    <t>[U', M U2 M]</t>
  </si>
  <si>
    <t>[R S R', F']</t>
  </si>
  <si>
    <t>[R' F' : [F', R S R']]</t>
  </si>
  <si>
    <t>[U' R' F : [R2, E]]</t>
  </si>
  <si>
    <t>[U' D' : [R F R', S']]</t>
  </si>
  <si>
    <t>[S', L' F L]</t>
  </si>
  <si>
    <t>[D' L' : [E, L2]]</t>
  </si>
  <si>
    <t>[R2 U : [M', U2]]</t>
  </si>
  <si>
    <t>[D' L : [E', L2]]</t>
  </si>
  <si>
    <t>[U : [M', U2]]</t>
  </si>
  <si>
    <t>[U M2 U', L']</t>
  </si>
  <si>
    <t>[L F : [E, L' U L]]</t>
  </si>
  <si>
    <t>[u' : M u2 M u2]</t>
  </si>
  <si>
    <t>[R' : [S, R' F' R]]</t>
  </si>
  <si>
    <t>D R U R' U' R' U' R' U R U D'</t>
  </si>
  <si>
    <t>[f L' : [S', L2]]</t>
  </si>
  <si>
    <t>[U M' : [r' E r, U]]</t>
  </si>
  <si>
    <t>[M' : [r' E r, U']]</t>
  </si>
  <si>
    <t>[M' : [U' L' U, M']]</t>
  </si>
  <si>
    <t>[R' F' R U : [M', U2]]</t>
  </si>
  <si>
    <t>[U' D R : [E, R2]]</t>
  </si>
  <si>
    <t>KE &amp; EK</t>
  </si>
  <si>
    <t>[E, r U' r']</t>
  </si>
  <si>
    <t>[S' L' U : [M', U2]]</t>
  </si>
  <si>
    <t>[D' L D, M']</t>
  </si>
  <si>
    <t>[S : [L', U M2 U']]</t>
  </si>
  <si>
    <t>[R' D R : [E, R2]]</t>
  </si>
  <si>
    <t>[M2 U R' : [E, R2]]</t>
  </si>
  <si>
    <t>[R D R : [E, R2]]</t>
  </si>
  <si>
    <t>B (ur)</t>
  </si>
  <si>
    <t>[D R : [E, R2]]</t>
  </si>
  <si>
    <t>[F : [E, L' U L]]</t>
  </si>
  <si>
    <t>[L' : [U M2 U', L']]</t>
  </si>
  <si>
    <t>[L' u' : M u2 M u2]</t>
  </si>
  <si>
    <t>[R2 U' : [R2, S]]</t>
  </si>
  <si>
    <t>[L : [D', L E L']]</t>
  </si>
  <si>
    <t>[L : [S, r U r']]</t>
  </si>
  <si>
    <t>[M2 U : [M, U2]]</t>
  </si>
  <si>
    <t>[U' : [S, r U r']]</t>
  </si>
  <si>
    <t>[E' : [U', R' E R]]</t>
  </si>
  <si>
    <t>[l' : [R' E R, U']]</t>
  </si>
  <si>
    <t>[U : [S', r U r']]</t>
  </si>
  <si>
    <t>[S, r U r']</t>
  </si>
  <si>
    <t>[M' U2 M, D]</t>
  </si>
  <si>
    <t>[U', R E2 R']</t>
  </si>
  <si>
    <t>[R' S' R, F']</t>
  </si>
  <si>
    <t>[S : [U' M' U, L']]</t>
  </si>
  <si>
    <t>[S', R F' R']</t>
  </si>
  <si>
    <t>[D : [L' F L, S]]</t>
  </si>
  <si>
    <t>[M2 U' L : [E, L2]]</t>
  </si>
  <si>
    <t>[R' U R' : [S, R2]]</t>
  </si>
  <si>
    <t>[M2 D : [M', D2]]</t>
  </si>
  <si>
    <t>[M2 U' L' : [E', L2]]</t>
  </si>
  <si>
    <t>[L2 U : [M', U2]]</t>
  </si>
  <si>
    <t>[L2 : [U M2 U', L']]</t>
  </si>
  <si>
    <t>[M2, R U' R' U]</t>
  </si>
  <si>
    <t>[L F : [L' U L, E]]</t>
  </si>
  <si>
    <t>[L2 : [U M2 U', L]]</t>
  </si>
  <si>
    <t>U' L' U' L U L U L U' L'</t>
  </si>
  <si>
    <t>[L2 u' : M u2 M u2]</t>
  </si>
  <si>
    <t>[D', L E L']</t>
  </si>
  <si>
    <t>[U' L2 U, M2]</t>
  </si>
  <si>
    <t>[S : [U' M' U, L]]</t>
  </si>
  <si>
    <t>[U : [U, L' E L]]</t>
  </si>
  <si>
    <t>[U : [M' U M, D2]] executed as U [M' U M] U2 [M U' M'] U</t>
  </si>
  <si>
    <t>[U', R E R']</t>
  </si>
  <si>
    <t>[M' U M, D2] execute as [M' U M] U2 [M U' M'] U2</t>
  </si>
  <si>
    <t>[U : [M' U' M, D2]] executed as U [M' U' M] U2 [M U M'] U</t>
  </si>
  <si>
    <t>[M' U' M, D2] executed as [M' U' M] U2 [M U M'] U2</t>
  </si>
  <si>
    <t>[U : [L E' L', U]]</t>
  </si>
  <si>
    <t>u2 M' u2 M'</t>
  </si>
  <si>
    <t>[R : [M' U M, D2]] execute as R [M' U M] U2 [M U' M'] U2 R'</t>
  </si>
  <si>
    <t>[U', R E' R']</t>
  </si>
  <si>
    <t>[L' : [M' U' M, D2'] executed as L' [M' U' M] U2 [M U M'] U2 L</t>
  </si>
  <si>
    <t>[S', L F' L']</t>
  </si>
  <si>
    <t>[U', R' E R]</t>
  </si>
  <si>
    <t>[S' u' : M' u2 M' u2]</t>
  </si>
  <si>
    <t>[U : [L' E' L, U]]</t>
  </si>
  <si>
    <t>[S u : M' u2 M' u2]</t>
  </si>
  <si>
    <t>[R' u' : M' u2 M' u2]</t>
  </si>
  <si>
    <t>[R2 u' : M' u2 M' u2]</t>
  </si>
  <si>
    <t>(U M U M')2</t>
  </si>
  <si>
    <t>[R u' : M' u2 M' u2]</t>
  </si>
  <si>
    <t>[u' : M' u2 M' u2]</t>
  </si>
  <si>
    <t>[L u : M' u2 M' u2]</t>
  </si>
  <si>
    <t>[u : M' u2 M' u2]</t>
  </si>
  <si>
    <t>R U R U R U' R' U' R' U'</t>
  </si>
  <si>
    <t>[L' u : M' u2 M' u2]</t>
  </si>
  <si>
    <t>[L2 u : M' u2 M' u2]</t>
  </si>
  <si>
    <t>[M, R' U' R U]</t>
  </si>
  <si>
    <t>[R' : [M' U M, D2]] execute as R' [M' U M] U2 [M U' M'] U2 R</t>
  </si>
  <si>
    <t>[U', R' E2 R]</t>
  </si>
  <si>
    <t>M' u2 M' u2</t>
  </si>
  <si>
    <t>[L : [M' U' M, D2]] executed as L [M' U' M] U2 [M U M'] U2 L'</t>
  </si>
  <si>
    <t>[U : [R', U M' U']]</t>
  </si>
  <si>
    <t>[R', U M' U']</t>
  </si>
  <si>
    <t>[U' R' U, M']</t>
  </si>
  <si>
    <t>[r' U : [M, U2]]</t>
  </si>
  <si>
    <t>[F : [E, R2]]</t>
  </si>
  <si>
    <t>[R' : [U M' U', R2]]</t>
  </si>
  <si>
    <t>[r U' R : [E, R2]]</t>
  </si>
  <si>
    <t>[R' : [U M' U', R']]</t>
  </si>
  <si>
    <t>[D' R D, M]</t>
  </si>
  <si>
    <t>[L F : [L2, E]]</t>
  </si>
  <si>
    <t>[S' : [R', U M' U']]</t>
  </si>
  <si>
    <t>[R' : [R' F' R, S']]</t>
  </si>
  <si>
    <t>[f' R' : [S, R2]]</t>
  </si>
  <si>
    <t>[E, L' D' L]</t>
  </si>
  <si>
    <t>[R' : [R' F' R, S]]</t>
  </si>
  <si>
    <t>[L : [L E L', D']]</t>
  </si>
  <si>
    <t>[L E L', D']</t>
  </si>
  <si>
    <t>[R' : [D2, M' U M]] execute as R' [M U' M'] U2 [M' U M] U2 R</t>
  </si>
  <si>
    <t>[M : [U' R' U, M2]]</t>
  </si>
  <si>
    <t>[F' : [E', R2]]</t>
  </si>
  <si>
    <t>[M : [M2, R U' R' U]]</t>
  </si>
  <si>
    <t>[U' : [S, R' F' R]]</t>
  </si>
  <si>
    <t>[M' : [L' U L U', M2]]</t>
  </si>
  <si>
    <t>[M', U2]</t>
  </si>
  <si>
    <t>[M' : [U' R U, M2]]</t>
  </si>
  <si>
    <t>[M' : [U L' U', M2]]</t>
  </si>
  <si>
    <t>[U : [S, R F' R']]</t>
  </si>
  <si>
    <t>[D' : [R' B' R, S']]</t>
  </si>
  <si>
    <t>[U' : [S', L' F L]]</t>
  </si>
  <si>
    <t>[M2, U R' U']</t>
  </si>
  <si>
    <t>[M2, U R2 U']</t>
  </si>
  <si>
    <t>[M2, U R U']</t>
  </si>
  <si>
    <t>[M2, R' U R U']</t>
  </si>
  <si>
    <t>[M2, U' L U]</t>
  </si>
  <si>
    <t>U' D R' U' R U R U R U' R' D'</t>
  </si>
  <si>
    <t>[M2, U' L2 U]</t>
  </si>
  <si>
    <t>M2 U2 M' U2 M'</t>
  </si>
  <si>
    <t>[M' : [U' R' U, M2]]</t>
  </si>
  <si>
    <t>[M' : [U L U', M2]]</t>
  </si>
  <si>
    <t>[U' : [L, U' M' U]]</t>
  </si>
  <si>
    <t>[l U' : [M, U2]]</t>
  </si>
  <si>
    <t>[U L U', M']</t>
  </si>
  <si>
    <t>[L, U' M' U]</t>
  </si>
  <si>
    <t>[F' : [E', L2]]</t>
  </si>
  <si>
    <t>[l' U L' : [E', L2]]</t>
  </si>
  <si>
    <t>[L : [U' M' U, L2]]</t>
  </si>
  <si>
    <t>[R' F' : [R2, E']]</t>
  </si>
  <si>
    <t>[D L' D', M]</t>
  </si>
  <si>
    <t>[L2 : [L', U' M' U]]</t>
  </si>
  <si>
    <t>[E', R D R']</t>
  </si>
  <si>
    <t>[R' E' R, D]</t>
  </si>
  <si>
    <t>[R' : [R' E' R, D]]</t>
  </si>
  <si>
    <t>[L : [L F L', S']]</t>
  </si>
  <si>
    <t>[M2 : u M' u2 M' u]</t>
  </si>
  <si>
    <t>[f L : [S', L2]]</t>
  </si>
  <si>
    <t>[L : [r U r', S]]</t>
  </si>
  <si>
    <t>[S : [L, U' M' U]]</t>
  </si>
  <si>
    <t>[M2 U' : [M, U2]]</t>
  </si>
  <si>
    <t>[U, L' E2 L]</t>
  </si>
  <si>
    <t>[E : [U, L E' L']]</t>
  </si>
  <si>
    <t>[R' F' : [R S R', F2]]</t>
  </si>
  <si>
    <t>U R U R' U' R' U' R' U R</t>
  </si>
  <si>
    <t>D' U R U R' U' R' U' R' U R D</t>
  </si>
  <si>
    <t>[L U' L : [S', L2]]</t>
  </si>
  <si>
    <t>[F' : [R2, E']]</t>
  </si>
  <si>
    <t>[U, L' E L]</t>
  </si>
  <si>
    <t>[M : [U L U', M2]]</t>
  </si>
  <si>
    <t>[U' : [R E R', U']]</t>
  </si>
  <si>
    <t>PROGRESS (440 TOTAL):</t>
  </si>
  <si>
    <t>comms w/ RS 5 mover</t>
  </si>
  <si>
    <t>[U, L E' L']</t>
  </si>
  <si>
    <t>[S, R' F R]</t>
  </si>
  <si>
    <t>[U' : [U', R E' R']]</t>
  </si>
  <si>
    <t>[U' : [R' E R, U']]</t>
  </si>
  <si>
    <t>[U, L' E' L]</t>
  </si>
  <si>
    <t>(U' M U' M')2</t>
  </si>
  <si>
    <t>[U, L E2 L']</t>
  </si>
  <si>
    <t>[M, L U L' U']</t>
  </si>
  <si>
    <t>[E' : [U, L' E L]]</t>
  </si>
  <si>
    <t>[R' U' : [R2, S]]</t>
  </si>
  <si>
    <t>[E' : [R' E R, U']]</t>
  </si>
  <si>
    <t>[L' E2 L, U]</t>
  </si>
  <si>
    <t>[R' U' R : [E, R2]]</t>
  </si>
  <si>
    <t>[D' U L : [E', L2]]</t>
  </si>
  <si>
    <t>U R' U' R' U R U R U R' U2</t>
  </si>
  <si>
    <t>[U D L : [E', L2]]</t>
  </si>
  <si>
    <t>[U L : [E', L2]]</t>
  </si>
  <si>
    <t>[R U' R', E']</t>
  </si>
  <si>
    <t>[R' f R' : [S', R2]]</t>
  </si>
  <si>
    <t>[l F : [l' S' l, F]]</t>
  </si>
  <si>
    <t>[R : [U', R E' R']]</t>
  </si>
  <si>
    <t>[S' U L : [E', L2]]</t>
  </si>
  <si>
    <t>[R U' R', E]</t>
  </si>
  <si>
    <t>[L' E' : [E', L U L']]</t>
  </si>
  <si>
    <t>[U' : [U' M U, R]]</t>
  </si>
  <si>
    <t>[U R' : [S, R2]]</t>
  </si>
  <si>
    <t>[M, U' R U]</t>
  </si>
  <si>
    <t>[R' U' R' : [E', R2]]</t>
  </si>
  <si>
    <t>[U' R2 U, M']</t>
  </si>
  <si>
    <t>[U' L F L : [S', L2]]</t>
  </si>
  <si>
    <t>[r : [U R' U', M']]</t>
  </si>
  <si>
    <t>[U' M' : [R E' R', U']]</t>
  </si>
  <si>
    <t>[L F : [E', L' U L]]</t>
  </si>
  <si>
    <t>[U : [S, L F L']]</t>
  </si>
  <si>
    <t>U M' U' M U2 M U M' U</t>
  </si>
  <si>
    <t>[L U' : [S', L2]]</t>
  </si>
  <si>
    <t>[R E2 R', U']</t>
  </si>
  <si>
    <t>[E : [L E' L', U]]</t>
  </si>
  <si>
    <t>[R' U' R' : [E, R2]]</t>
  </si>
  <si>
    <t>[U' R' : [E, R2]]</t>
  </si>
  <si>
    <t>[U' D' R' : [E, R2]]</t>
  </si>
  <si>
    <t>U' L U L U' L' U' L' U' L U2</t>
  </si>
  <si>
    <t>[L' : [U, L' E L]]</t>
  </si>
  <si>
    <t>[R E : [E, R' U' R]]</t>
  </si>
  <si>
    <t>[L' U L, E']</t>
  </si>
  <si>
    <t>[S U' R' : [E, R2]]</t>
  </si>
  <si>
    <t>[L' U L, E]</t>
  </si>
  <si>
    <t>[r' F' : [r S r', F']]</t>
  </si>
  <si>
    <t>[S' U' R' : [E, R2]]</t>
  </si>
  <si>
    <t>[U : [U M U', L']]</t>
  </si>
  <si>
    <t>[R U' R' : [E, R2]]</t>
  </si>
  <si>
    <t>[M, U L' U']</t>
  </si>
  <si>
    <t>[U' L : [S', L2]]</t>
  </si>
  <si>
    <t>[R' F : [R S R', F2]]</t>
  </si>
  <si>
    <t>[R' F : [R S' R', F2]]</t>
  </si>
  <si>
    <t>[R' F : [R' S' R, F2]]</t>
  </si>
  <si>
    <t>[M : u' M' u2 M' u']</t>
  </si>
  <si>
    <t>[M : u M' u2 M' u]</t>
  </si>
  <si>
    <t>[U' : [R2, S]]</t>
  </si>
  <si>
    <t>[R U R' : [S, R2]]</t>
  </si>
  <si>
    <t>R' U' R U R U R U' R' U'</t>
  </si>
  <si>
    <t>U2 R U' R' U' R' U' R U R U'</t>
  </si>
  <si>
    <t>comms w/ LS 5 mover</t>
  </si>
  <si>
    <t>comms w/ LE 5 mover</t>
  </si>
  <si>
    <t>comms w/ RE 5 mover</t>
  </si>
  <si>
    <t>comms w/ MU 5 mover</t>
  </si>
  <si>
    <t>comms w/ MD 5 mover</t>
  </si>
  <si>
    <t>comms w/ Mu 5 mover</t>
  </si>
  <si>
    <t>total S comms</t>
  </si>
  <si>
    <t>total E comms</t>
  </si>
  <si>
    <t>total M comms</t>
  </si>
  <si>
    <t>total combined slice comms</t>
  </si>
  <si>
    <t>[U R' F' R : [S, R2]]</t>
  </si>
  <si>
    <t>[U' R : [E, R2]]</t>
  </si>
  <si>
    <t>[R' F' : [R S' R', F2]]</t>
  </si>
  <si>
    <t>[M2, U' R2 U]</t>
  </si>
  <si>
    <t>[D : [M, D2]]</t>
  </si>
  <si>
    <t>[u' R' : [E', R2]]</t>
  </si>
  <si>
    <t>[U' E' R : [E, R2]]</t>
  </si>
  <si>
    <t>[S', R' F R]</t>
  </si>
  <si>
    <t>[u' R : [E, R2]]</t>
  </si>
  <si>
    <t>[L : [L S L', F']]</t>
  </si>
  <si>
    <t>[U' E' R' : [E, R2]]</t>
  </si>
  <si>
    <t>[S, L' F' L]</t>
  </si>
  <si>
    <t>[D' R' F : [E, R2]]</t>
  </si>
  <si>
    <t>R' U R U R U R' U' R' U'</t>
  </si>
  <si>
    <t>[r' : [U' R' U, M']]</t>
  </si>
  <si>
    <t>[U' R' : [E', R2]]</t>
  </si>
  <si>
    <t>[U2, M]</t>
  </si>
  <si>
    <t>[R U' R' U, M2]</t>
  </si>
  <si>
    <t>D' R' U' R U R U R U' R' U' D</t>
  </si>
  <si>
    <t>[D U L' : [E', L2]]</t>
  </si>
  <si>
    <t>[D' U' R : [E, R2]]</t>
  </si>
  <si>
    <t>[U' R2 U, M2]</t>
  </si>
  <si>
    <t>[L' D' U' R : [E, R2]]</t>
  </si>
  <si>
    <t>[M' : [U R' U', M2]]</t>
  </si>
  <si>
    <t>[U' : [R' B R, S]]</t>
  </si>
  <si>
    <t>[M' : [U R U', M2]]</t>
  </si>
  <si>
    <t>[r : [U R' U', M2]]</t>
  </si>
  <si>
    <t>[M' : [U' L U, M2]]</t>
  </si>
  <si>
    <t>[D : [S, L F' L']]</t>
  </si>
  <si>
    <t>[M' : [U' L' U, M2]]</t>
  </si>
  <si>
    <t>[U : [L B' L', S']]</t>
  </si>
  <si>
    <t>[U D L : [E, L2]]</t>
  </si>
  <si>
    <t>[D' r' : [U' R' U, M']]</t>
  </si>
  <si>
    <t>[U' D' R' : [E', R2]]</t>
  </si>
  <si>
    <t>A (BUl)</t>
  </si>
  <si>
    <t xml:space="preserve">B (RUb) </t>
  </si>
  <si>
    <t>C (FUr)</t>
  </si>
  <si>
    <t>D (LUf)</t>
  </si>
  <si>
    <t>E (UFl)</t>
  </si>
  <si>
    <t>F (RFu)</t>
  </si>
  <si>
    <t>H (LFd)</t>
  </si>
  <si>
    <t>I (FDl)</t>
  </si>
  <si>
    <t>J (RDf)</t>
  </si>
  <si>
    <t>K (BDr)</t>
  </si>
  <si>
    <t>L (LDb)</t>
  </si>
  <si>
    <t>M (BRu)</t>
  </si>
  <si>
    <t>N (DRb)</t>
  </si>
  <si>
    <t>O (FRd)</t>
  </si>
  <si>
    <t>P (URf)</t>
  </si>
  <si>
    <t>Q (BLd)</t>
  </si>
  <si>
    <t>R (ULb)</t>
  </si>
  <si>
    <t>S (FLu)</t>
  </si>
  <si>
    <t>T (DLf)</t>
  </si>
  <si>
    <t>U (DBl)</t>
  </si>
  <si>
    <t>V (RBd)</t>
  </si>
  <si>
    <t>W (UBr)</t>
  </si>
  <si>
    <t>Y (LBu)</t>
  </si>
  <si>
    <t>[U : [R U' R' U, r]]</t>
  </si>
  <si>
    <t>[l' D2 l, U2]</t>
  </si>
  <si>
    <t>[U2 : [r, R U' R' U]]</t>
  </si>
  <si>
    <t>[U : [L2, S']]</t>
  </si>
  <si>
    <t>[U' : [L F L', f']]</t>
  </si>
  <si>
    <t>[U : [U r U', R]]</t>
  </si>
  <si>
    <t>[U' : [U' r U, L']]</t>
  </si>
  <si>
    <t>[U Lw : [D2, r U r']]</t>
  </si>
  <si>
    <t>L U L' U' L' U' L' U L U</t>
  </si>
  <si>
    <t>[U : [U r U', R2]]</t>
  </si>
  <si>
    <t>[U : [D' R2 D, r']]</t>
  </si>
  <si>
    <t>[U' : [U' r U, L2]]</t>
  </si>
  <si>
    <t>[L' U' L : [S', L2]]</t>
  </si>
  <si>
    <t>[Uw : [U r U', R]]</t>
  </si>
  <si>
    <t>[D', r U2 r']</t>
  </si>
  <si>
    <t>[U L' : [E', L2]]</t>
  </si>
  <si>
    <t>[R' U : [D', r U r']]</t>
  </si>
  <si>
    <t>[Lw U' : [R' U R U', r2]]</t>
  </si>
  <si>
    <t>[L' U' : [L F L', f]]</t>
  </si>
  <si>
    <t>[U2 Rw : [r, U R' U']]</t>
  </si>
  <si>
    <t>[Lw U : [U r2 U', L2]]</t>
  </si>
  <si>
    <t>[D, r U2 r']</t>
  </si>
  <si>
    <t>[D2, r U2 r']</t>
  </si>
  <si>
    <t>[U : [U r U', R']]</t>
  </si>
  <si>
    <t>[U2 r U2, Lw U2 Lw']</t>
  </si>
  <si>
    <t>[U' : [U' r U, L]]</t>
  </si>
  <si>
    <t>[U' L F L' : [S', L2]]</t>
  </si>
  <si>
    <t>B (RUb)</t>
  </si>
  <si>
    <t>[U : [r, R U' R' U]]</t>
  </si>
  <si>
    <t>U2 L' U L U L U L' U' L' U</t>
  </si>
  <si>
    <t>[R U' R' U, r]</t>
  </si>
  <si>
    <t>[R' U' : [U' R U, r]]</t>
  </si>
  <si>
    <t>[Lw' U : [r, R U' R' U]]</t>
  </si>
  <si>
    <t>[R' F' : [R' S' R, F2]]</t>
  </si>
  <si>
    <t>[U r U', R]</t>
  </si>
  <si>
    <t>[U : [r, U L' U']]</t>
  </si>
  <si>
    <t>[D' : [M, D2]]</t>
  </si>
  <si>
    <t>[Lw : [D2, r U r']]</t>
  </si>
  <si>
    <t>[U r U', R2]</t>
  </si>
  <si>
    <t>[D' R2 D, r']</t>
  </si>
  <si>
    <t>[L' D' U' R' : [E, R2]]</t>
  </si>
  <si>
    <t>[U : [r, U L2 U']]</t>
  </si>
  <si>
    <t>[U r : [r, U R' U']]</t>
  </si>
  <si>
    <t>[D', r U r']</t>
  </si>
  <si>
    <t>[U r : [r, U R U']]</t>
  </si>
  <si>
    <t>[u L' : [E', L2]]</t>
  </si>
  <si>
    <t>[U' : [U2 r U2, Lw U2 Lw']]</t>
  </si>
  <si>
    <t>[U r : [r, U' L U]]</t>
  </si>
  <si>
    <t>[U D : [r, U R2 U']]</t>
  </si>
  <si>
    <t>[S', R F R']</t>
  </si>
  <si>
    <t>[U r : [r, U' L' U]]</t>
  </si>
  <si>
    <t>[D, r U r']</t>
  </si>
  <si>
    <t>[D2, r U r']</t>
  </si>
  <si>
    <t>[U E L' : [E, L2]]</t>
  </si>
  <si>
    <t>[U r U', R']</t>
  </si>
  <si>
    <t>[R' : [R' S' R, F]]</t>
  </si>
  <si>
    <t>[u L : [E, L2]]</t>
  </si>
  <si>
    <t>[r' : [R U' R' U, r2]]</t>
  </si>
  <si>
    <t>[U : [r, U L U']]</t>
  </si>
  <si>
    <t>[S, L F' L']</t>
  </si>
  <si>
    <t>[U E L' : [E', L2]]</t>
  </si>
  <si>
    <t>[U2, l' D2 l]</t>
  </si>
  <si>
    <t>[r, R U' R' U]</t>
  </si>
  <si>
    <t>[U' : [R U' R' U, r]]</t>
  </si>
  <si>
    <t>[D L F' : [E', L2]]</t>
  </si>
  <si>
    <t>[U2 : [U2 r U2, Lw U2 Lw']]</t>
  </si>
  <si>
    <t>[r, U' R U]</t>
  </si>
  <si>
    <t>[r, U L' U']</t>
  </si>
  <si>
    <t>[U L : [E, L2]]</t>
  </si>
  <si>
    <t>[Lw' U2 : [U2 r U2, Lw U2 Lw']]</t>
  </si>
  <si>
    <t>[r, U' R2 U]</t>
  </si>
  <si>
    <t>[U D : [R' F' R, S]]</t>
  </si>
  <si>
    <t>[U' : [D' R2 D, r']]</t>
  </si>
  <si>
    <t>[r, U L2 U']</t>
  </si>
  <si>
    <t>[r : [r, U R' U']]</t>
  </si>
  <si>
    <t>L U' L' U' L' U' L U L U</t>
  </si>
  <si>
    <t>[r : [r, U R2 U']]</t>
  </si>
  <si>
    <t>[r : [r, U R U']]</t>
  </si>
  <si>
    <t>[r : [r, R' U R U']]</t>
  </si>
  <si>
    <t>[r : [r, U' L U]]</t>
  </si>
  <si>
    <t>[r : [r, L U' L' U]]</t>
  </si>
  <si>
    <t>[r : [r, U' L' U]]</t>
  </si>
  <si>
    <t>[U : [L F L', f]]</t>
  </si>
  <si>
    <t>[U' : [D2, r U r']]</t>
  </si>
  <si>
    <t>[r, U' R' U]</t>
  </si>
  <si>
    <t>[D : [r, U R2 U']]</t>
  </si>
  <si>
    <t>[r, U L U']</t>
  </si>
  <si>
    <t>[U2 : [R U' R' U, r]]</t>
  </si>
  <si>
    <t>[R' U' : [r, U' R U]]</t>
  </si>
  <si>
    <t>[U' : [r, R U' R' U]]</t>
  </si>
  <si>
    <t>[U2 r' : [R U' R' U, r2]]</t>
  </si>
  <si>
    <t>[U' : [r, U' R U]]</t>
  </si>
  <si>
    <t>[U' r U, L']</t>
  </si>
  <si>
    <t>[U' Lw' U2 : [U2 r U2, Lw U2 Lw']]</t>
  </si>
  <si>
    <t>[U' : [r, U' R2 U]]</t>
  </si>
  <si>
    <t>[D L2 D', r']</t>
  </si>
  <si>
    <t>[U' r U, L2]</t>
  </si>
  <si>
    <t>[U' r : [r, U R' U']]</t>
  </si>
  <si>
    <t>[D', r U' r']</t>
  </si>
  <si>
    <t>[U' r : [r, U R U']]</t>
  </si>
  <si>
    <t>[D : [U' r U, R2]]</t>
  </si>
  <si>
    <t>[U' r : [r, U' L U]]</t>
  </si>
  <si>
    <t>[U : [U2 r U2, Lw U2 Lw']]</t>
  </si>
  <si>
    <t>[U' r : [r, U' L' U]]</t>
  </si>
  <si>
    <t>[r U r', D]</t>
  </si>
  <si>
    <t>[D2, r U' r']</t>
  </si>
  <si>
    <t>[U' : [r, U' R' U]]</t>
  </si>
  <si>
    <t>[x' : [U L' U', r2]]</t>
  </si>
  <si>
    <t>[U' r U, L]</t>
  </si>
  <si>
    <t>[U' : [f', L F L']]</t>
  </si>
  <si>
    <t>[Lw' U : [R U' R' U, r]]</t>
  </si>
  <si>
    <t>[U2 : [Lw U2 Lw', U2 r U2]]</t>
  </si>
  <si>
    <t>[U2 r : [R U' R' U, r2]]</t>
  </si>
  <si>
    <t>[Lw' U : [U r U', R]]</t>
  </si>
  <si>
    <t>[Lw' U2 : [r, R U' R' U]]</t>
  </si>
  <si>
    <t>[Lw' U' : [L F L', f']]</t>
  </si>
  <si>
    <t>[D' : [U L2 U', l']]</t>
  </si>
  <si>
    <t>[U' Rw' : [U R U', r']]</t>
  </si>
  <si>
    <t>[D : [U' R2 U, l']]</t>
  </si>
  <si>
    <t>[U2 : [r2, U R' U']]</t>
  </si>
  <si>
    <t>[U2 : [r2, U R2 U']]</t>
  </si>
  <si>
    <t>[U2 : [r2, U R U']]</t>
  </si>
  <si>
    <t>[U' : [R' U R U', r2]]</t>
  </si>
  <si>
    <t>[U2 : [r2, U' L U]]</t>
  </si>
  <si>
    <t>[U2 : [r2, R' U R U']]</t>
  </si>
  <si>
    <t>[U2 : [r2, U' L' U]]</t>
  </si>
  <si>
    <t>[U2 : [r2, U' L2 U]]</t>
  </si>
  <si>
    <t>[Lw' U Lw : [D2, r U r']]</t>
  </si>
  <si>
    <t>[Lw' U : [U r U', R']]</t>
  </si>
  <si>
    <t>[Lw' : [U2 r U2, Lw U2 Lw']]</t>
  </si>
  <si>
    <t>[l' U' : [U' r U, L]]</t>
  </si>
  <si>
    <t>[U : [R, U r U']]</t>
  </si>
  <si>
    <t>[R, U r U']</t>
  </si>
  <si>
    <t>[U' R U, r]</t>
  </si>
  <si>
    <t>[U' : [U' R U, r]]</t>
  </si>
  <si>
    <t>[Lw' U : [R, U r U']]</t>
  </si>
  <si>
    <t>[R U : [r, U L' U']]</t>
  </si>
  <si>
    <t>[Lw2 U : [R, U r U']]</t>
  </si>
  <si>
    <t>[R : [U r U', r]]</t>
  </si>
  <si>
    <t>[D' R' D, r']</t>
  </si>
  <si>
    <t>[R U : [r, U L2 U']]</t>
  </si>
  <si>
    <t>[R : [D', r U r']]</t>
  </si>
  <si>
    <t>[R U r : [r, U R U']]</t>
  </si>
  <si>
    <t>[Uw' R' : [U' r2 U, R2]]</t>
  </si>
  <si>
    <t>[Uw' : [U R' U', r2]]</t>
  </si>
  <si>
    <t>[Uw L' : [U r2 U', L2]]</t>
  </si>
  <si>
    <t>[Uw : [U' L' U, r2]]</t>
  </si>
  <si>
    <t>[z : [r, U L' U']]</t>
  </si>
  <si>
    <t>[x : [U', R' u' R]]</t>
  </si>
  <si>
    <t>[R : [D2, r U r']]</t>
  </si>
  <si>
    <t>[R : [U r U', R2]]</t>
  </si>
  <si>
    <t>[r' : [U' R U, r2]]</t>
  </si>
  <si>
    <t>[u' : [R D R', u2]]</t>
  </si>
  <si>
    <t>[U' : [L', U' r U]]</t>
  </si>
  <si>
    <t>[U : [U L' U', r]]</t>
  </si>
  <si>
    <t>[U L' U', r]</t>
  </si>
  <si>
    <t>[L', U' r U]</t>
  </si>
  <si>
    <t>[Lw' U2 : [R U' R' U, r]]</t>
  </si>
  <si>
    <t>[R U : [U L' U', r]]</t>
  </si>
  <si>
    <t>[U' : [L' E L, U2]]</t>
  </si>
  <si>
    <t>[Lw2 U' : [L, U' r U]]</t>
  </si>
  <si>
    <t>[L' U' : [r, U' R2 U]]</t>
  </si>
  <si>
    <t>[D L D', r']</t>
  </si>
  <si>
    <t>[L' : [U' r U, L']]</t>
  </si>
  <si>
    <t>[L' U' r : [r, U R' U']]</t>
  </si>
  <si>
    <t>[L' : [D', r U' r']]</t>
  </si>
  <si>
    <t>[z' : [r, U' R U]]</t>
  </si>
  <si>
    <t>[F, L' f' L]</t>
  </si>
  <si>
    <t>[F, L' f L]</t>
  </si>
  <si>
    <t>[L' E L, U]</t>
  </si>
  <si>
    <t>[U r' : [U L' U', r2]]</t>
  </si>
  <si>
    <t>[E', R U' R']</t>
  </si>
  <si>
    <t>[Uw L' : [U' r U, L2]]</t>
  </si>
  <si>
    <t>[L' Uw' : [r, U' R U]]</t>
  </si>
  <si>
    <t>[L' : [D2, r U' r']]</t>
  </si>
  <si>
    <t>[L' : [L' E L, U]]</t>
  </si>
  <si>
    <t>[L' U' : [r, U' R' U]]</t>
  </si>
  <si>
    <t>[r' : [U L' U', r2]]</t>
  </si>
  <si>
    <t>[L' : [U' r U, L2]]</t>
  </si>
  <si>
    <t>[u' R : [E', R2]]</t>
  </si>
  <si>
    <t>[U Lw : [r U r', D2]]</t>
  </si>
  <si>
    <t>[M : [U R' U', M2]]</t>
  </si>
  <si>
    <t>[Lw : [r U r', D2]]</t>
  </si>
  <si>
    <t>[u L : [E', L2]]</t>
  </si>
  <si>
    <t>[Lw' U2 : [Lw U2 Lw', U2 r U2]]</t>
  </si>
  <si>
    <t>[U' Lw' U2 : [Lw U2 Lw', U2 r U2]]</t>
  </si>
  <si>
    <t>[R, D' M D]</t>
  </si>
  <si>
    <t>[Lw' U' : [f', L F L']]</t>
  </si>
  <si>
    <t>[E R U' R : [E', R2]]</t>
  </si>
  <si>
    <t>[Lw2 U : [U r U', R]]</t>
  </si>
  <si>
    <t>[S' : [L' E L, U]]</t>
  </si>
  <si>
    <t>[Lw2 U' : [U' r U, L]]</t>
  </si>
  <si>
    <t>[Lw2 U : [U r U', R2]]</t>
  </si>
  <si>
    <t>[Lw2 U : [D' R2 D, r']]</t>
  </si>
  <si>
    <t>[Lw2 U2 : [r, R U' R' U]]</t>
  </si>
  <si>
    <t>[Lw' U' : [U' r2 U, R']]</t>
  </si>
  <si>
    <t>[r U R' : [E', R2]]</t>
  </si>
  <si>
    <t>[Lw' U' : [U' r2 U, R2]]</t>
  </si>
  <si>
    <t>[r' U' : [M', U2]]</t>
  </si>
  <si>
    <t>[Lw' U' : [U' r2 U, R]]</t>
  </si>
  <si>
    <t>[r U R : [E, R2]]</t>
  </si>
  <si>
    <t>[Lw' U' : [R' U R U', r2]]</t>
  </si>
  <si>
    <t>[M' U' L' : [E, L2]]</t>
  </si>
  <si>
    <t>[l' U : [U r2 U', L]]</t>
  </si>
  <si>
    <t>[R : (M D' M' D')2]</t>
  </si>
  <si>
    <t>[Lw' U : [U r2 U', L]]</t>
  </si>
  <si>
    <t>[l' U : [U r2 U', L']]</t>
  </si>
  <si>
    <t>[U R' U', M']</t>
  </si>
  <si>
    <t>[Lw' U : [U r2 U', L']]</t>
  </si>
  <si>
    <t>[E, L U L']</t>
  </si>
  <si>
    <t>[Lw2 U' : [L F L', f']]</t>
  </si>
  <si>
    <t>[Lw2 U2 : [r, U' R' U]]</t>
  </si>
  <si>
    <t>[Lw2 : [U2 r U2, Lw U2 Lw']]</t>
  </si>
  <si>
    <t>[Lw2 U' : [U' r U, L']]</t>
  </si>
  <si>
    <t>[U : [R E R', U2]]</t>
  </si>
  <si>
    <t>[R E R', U']</t>
  </si>
  <si>
    <t>[U : [R2, U r U']]</t>
  </si>
  <si>
    <t>[U' : [U', R E R']]</t>
  </si>
  <si>
    <t>[R2, U r U']</t>
  </si>
  <si>
    <t>[R' f R : [S', R2]]</t>
  </si>
  <si>
    <t>[U' R2 U, r]</t>
  </si>
  <si>
    <t>[U' : [U' R2 U, r]]</t>
  </si>
  <si>
    <t>[D' : [l', U L2 U']]</t>
  </si>
  <si>
    <t>[R E : [R' U' R, E]]</t>
  </si>
  <si>
    <t>[R : [r, U r U']]</t>
  </si>
  <si>
    <t>[L' U' : [U' R2 U, r]]</t>
  </si>
  <si>
    <t>[Lw2 U : [R2, U r U']]</t>
  </si>
  <si>
    <t>[U' : [S, R' B R]]</t>
  </si>
  <si>
    <t>[R D' R' D, r']</t>
  </si>
  <si>
    <t>[R F R', S']</t>
  </si>
  <si>
    <t>[R2 U : [r, U L2 U']]</t>
  </si>
  <si>
    <t>[D' M D, R]</t>
  </si>
  <si>
    <t>[Uw R : [R, U r U']]</t>
  </si>
  <si>
    <t>[D' M D, R']</t>
  </si>
  <si>
    <t>[R Uw' R' : [U' r2 U, R2]]</t>
  </si>
  <si>
    <t>[F' R' : [E, R2]]</t>
  </si>
  <si>
    <t>[R Uw' : [U R' U', r2]]</t>
  </si>
  <si>
    <t>[x : [R U' R', u]]</t>
  </si>
  <si>
    <t>[M' U R' : [E', R2]]</t>
  </si>
  <si>
    <t>[R' F R' : [S, R2]]</t>
  </si>
  <si>
    <t>[L' x : [R U' R', u']]</t>
  </si>
  <si>
    <t>[D' : [U' l' U, L2]]</t>
  </si>
  <si>
    <t>[M' U R : [E, R2]]</t>
  </si>
  <si>
    <t>[4Rw : [R U' R', u']]</t>
  </si>
  <si>
    <t>[M' D' : [M', D2]]</t>
  </si>
  <si>
    <t>[x : [R U' R', u']]</t>
  </si>
  <si>
    <t>(M D' M' D')2</t>
  </si>
  <si>
    <t>[Lw U : [R2, U r U']]</t>
  </si>
  <si>
    <t>[S U L : [E, L2]]</t>
  </si>
  <si>
    <t>[R2 : [U r U', R]]</t>
  </si>
  <si>
    <t>[U R2 U', M']</t>
  </si>
  <si>
    <t>[r' : [U' R2 U, r2]]</t>
  </si>
  <si>
    <t>[R u' : [R D R', u2]]</t>
  </si>
  <si>
    <t>[U : [r', D' R2 D]]</t>
  </si>
  <si>
    <t>[r', D' R2 D]</t>
  </si>
  <si>
    <t>[R' E' : [R U' R', E']]</t>
  </si>
  <si>
    <t>[U' : [r', D' R2 D]]</t>
  </si>
  <si>
    <t>[r', D L2 D']</t>
  </si>
  <si>
    <t>[U' Rw' : [r', U R U']]</t>
  </si>
  <si>
    <t>[U' : [L E' L', U2]]</t>
  </si>
  <si>
    <t>[r', D' R' D]</t>
  </si>
  <si>
    <t>[U : [U, L E' L']]</t>
  </si>
  <si>
    <t>[r', D L D']</t>
  </si>
  <si>
    <t>[L E' L', U]</t>
  </si>
  <si>
    <t>[Lw2 U : [r', D' R2 D]]</t>
  </si>
  <si>
    <t>[r', R D' R' D]</t>
  </si>
  <si>
    <t>[r', L' D L D']</t>
  </si>
  <si>
    <t>[E', L' U L]</t>
  </si>
  <si>
    <t>[r' : [r', U R' U']]</t>
  </si>
  <si>
    <t>[r' : [r', U R2 U']]</t>
  </si>
  <si>
    <t>[r' : [r', U R U']]</t>
  </si>
  <si>
    <t>[M : [U R U', M2]]</t>
  </si>
  <si>
    <t>[r' : [r', R' U R U']]</t>
  </si>
  <si>
    <t>[r' : [r', U' L U]]</t>
  </si>
  <si>
    <t>[r' : [r', L U' L' U]]</t>
  </si>
  <si>
    <t>[E R U' R' : [E', R2]]</t>
  </si>
  <si>
    <t>[r' : [r', U' L' U]]</t>
  </si>
  <si>
    <t>[R', D' M D]</t>
  </si>
  <si>
    <t>[r' : [r', U' L2 U]]</t>
  </si>
  <si>
    <t>[Lw U : [r', D' R2 D]]</t>
  </si>
  <si>
    <t>[r', D' R D]</t>
  </si>
  <si>
    <t>[S' : [L E' L', U]]</t>
  </si>
  <si>
    <t>[E R U' R : [E, R2]]</t>
  </si>
  <si>
    <t>[U Rw' : [r', U R U']]</t>
  </si>
  <si>
    <t>[r', D L' D']</t>
  </si>
  <si>
    <t>[M R U' : [M', U2]]</t>
  </si>
  <si>
    <t>[U' E' L : [S', L2]]</t>
  </si>
  <si>
    <t>[U' : [L2, U' r U]]</t>
  </si>
  <si>
    <t>[M' U' L : [E', L2]]</t>
  </si>
  <si>
    <t>[U : [U L2 U', r]]</t>
  </si>
  <si>
    <t>[U L2 U', r]</t>
  </si>
  <si>
    <t>[R' : (M D' M' D')2]</t>
  </si>
  <si>
    <t>[L2, U' r U]</t>
  </si>
  <si>
    <t>[E, R' U' R]</t>
  </si>
  <si>
    <t>[D : [l', U' R2 U]]</t>
  </si>
  <si>
    <t>[U R U', M']</t>
  </si>
  <si>
    <t>[R U : [U L2 U', r]]</t>
  </si>
  <si>
    <t>[L : [L E' L', U]]</t>
  </si>
  <si>
    <t>[L' : [L', U' r U]]</t>
  </si>
  <si>
    <t>[Lw2 U2 : [R U' R' U, r]]</t>
  </si>
  <si>
    <t>[R2 U : [U L2 U', r]]</t>
  </si>
  <si>
    <t>[L' D L D', r']</t>
  </si>
  <si>
    <t>[S U' : [R2, S]]</t>
  </si>
  <si>
    <t>[Uw' L2 : [U' r U, L']]</t>
  </si>
  <si>
    <t>[R' F R, S]</t>
  </si>
  <si>
    <t>[x : [L' U L, d']]</t>
  </si>
  <si>
    <t>[4Lw' : [L' U L, d']]</t>
  </si>
  <si>
    <t>[l F : [F, l' S' l]]</t>
  </si>
  <si>
    <t>[D : [U l' U', R2]]</t>
  </si>
  <si>
    <t>[S U' R : [E, R2]]</t>
  </si>
  <si>
    <t>[M : u M u2 M u]</t>
  </si>
  <si>
    <t>[L Uw : [U R' U', r2]]</t>
  </si>
  <si>
    <t>[R' F R, S']</t>
  </si>
  <si>
    <t>[x : [L' U L, d]]</t>
  </si>
  <si>
    <t>[Uw L2 : [U' r U, L']]</t>
  </si>
  <si>
    <t>[L' u2 L, D']</t>
  </si>
  <si>
    <t>[Lw U' : [L, U' r U]]</t>
  </si>
  <si>
    <t>[r : [M2, U R' U']]</t>
  </si>
  <si>
    <t>[L2 U' : [r, U' R' U]]</t>
  </si>
  <si>
    <t>[R' : [F, R' S' R]]</t>
  </si>
  <si>
    <t>[r' : [U L2 U', r2]]</t>
  </si>
  <si>
    <t>[S' : [U, L' E L]]</t>
  </si>
  <si>
    <t>[L2 : [U' r U, L']]</t>
  </si>
  <si>
    <t>[F' R : [E, R2]]</t>
  </si>
  <si>
    <t>[S' : [U, L E' L']]</t>
  </si>
  <si>
    <t>[Uw : [R, U r U']]</t>
  </si>
  <si>
    <t>[l U' : [M', U2]]</t>
  </si>
  <si>
    <t>[U r : [U R' U', r]]</t>
  </si>
  <si>
    <t>[M U' : [M', U2]]</t>
  </si>
  <si>
    <t>[r : [U R' U', r]]</t>
  </si>
  <si>
    <t>[M L' U' : [M', U2]]</t>
  </si>
  <si>
    <t>[U' r : [U R' U', r]]</t>
  </si>
  <si>
    <t>[L F' L' : [S', L2]]</t>
  </si>
  <si>
    <t>[U2 : [U R' U', r2]]</t>
  </si>
  <si>
    <t>[M' : (U' M' U' M)2]</t>
  </si>
  <si>
    <t>[R : [r U r', D']]</t>
  </si>
  <si>
    <t>[L' U' r : [U R' U', r]]</t>
  </si>
  <si>
    <t>[R u' R : [E', R2]]</t>
  </si>
  <si>
    <t>[Lw' U' : [R', U' r2 U]]</t>
  </si>
  <si>
    <t>[R U R' U', M']</t>
  </si>
  <si>
    <t>[Uw R : [U r U', R]]</t>
  </si>
  <si>
    <t>[S U' R' : [E', R2]]</t>
  </si>
  <si>
    <t>[r' : [U R' U', r']]</t>
  </si>
  <si>
    <t>[Uw' L : [U' r U, L]]</t>
  </si>
  <si>
    <t>[R' : [U' r2 U, R']]</t>
  </si>
  <si>
    <t>[U : [R E' R', U2]]</t>
  </si>
  <si>
    <t>[R' : [U' r2 U, R2]]</t>
  </si>
  <si>
    <t>[R, U' r2 U]</t>
  </si>
  <si>
    <t>[R E' R', U']</t>
  </si>
  <si>
    <t>[Rw' U' : [r', U' L U]]</t>
  </si>
  <si>
    <t>[U : [U R' U', r2]]</t>
  </si>
  <si>
    <t>[R : [R E' R', U']]</t>
  </si>
  <si>
    <t>[u2, R D R']]</t>
  </si>
  <si>
    <t>[Lw2 U' : [R', U' r2 U]]</t>
  </si>
  <si>
    <t>[U' M' : [U', R E' R']]</t>
  </si>
  <si>
    <t>[U R' U', r2]</t>
  </si>
  <si>
    <t>[R D R', u]</t>
  </si>
  <si>
    <t>[E, L' U L]</t>
  </si>
  <si>
    <t>[r U2 r', D']</t>
  </si>
  <si>
    <t>[u' R' : [E, R2]]</t>
  </si>
  <si>
    <t>[r U r', D']</t>
  </si>
  <si>
    <t>[M : [U' L U, M2]]</t>
  </si>
  <si>
    <t>[r : [U R2 U', r]]</t>
  </si>
  <si>
    <t>[u L' : [E, L2]]</t>
  </si>
  <si>
    <t>[r U' r', D]</t>
  </si>
  <si>
    <t>[r U R : [E', R2]]</t>
  </si>
  <si>
    <t>[U2 : [U R2 U', r2]]</t>
  </si>
  <si>
    <t>[R U r : [U R U', r]]</t>
  </si>
  <si>
    <t>[M' U R : [E', R2]]</t>
  </si>
  <si>
    <t>[L' : [r U' r', D']]</t>
  </si>
  <si>
    <t>[E R U' R' : [E, R2]]</t>
  </si>
  <si>
    <t>[Lw' U' : [R2, U' r2 U]]</t>
  </si>
  <si>
    <t>[l U : [M', U2]]</t>
  </si>
  <si>
    <t>[R Uw' R : [U' r2 U, R2]]</t>
  </si>
  <si>
    <t>[r' : [U R2 U', r']]</t>
  </si>
  <si>
    <t>[S : [R E' R', U']]</t>
  </si>
  <si>
    <t>[x : [d', L' U L]]</t>
  </si>
  <si>
    <t>[E' L' U L' : [E, L2]]</t>
  </si>
  <si>
    <t>[R2 : [U' r2 U, R]]</t>
  </si>
  <si>
    <t>[L', D M D']</t>
  </si>
  <si>
    <t>[L' : (M D M' D)2]</t>
  </si>
  <si>
    <t>[E', R' U' R]</t>
  </si>
  <si>
    <t>[R2, U' r2 U]</t>
  </si>
  <si>
    <t>[U' L U, M']</t>
  </si>
  <si>
    <t>[z' : [R, U r2 U']]</t>
  </si>
  <si>
    <t>[U : [U R2 U', r2]]</t>
  </si>
  <si>
    <t>[L' U : [U R2 U', r2]]</t>
  </si>
  <si>
    <t>[R2 D : [R2, U' r2 U]]</t>
  </si>
  <si>
    <t>[U' M U : [M', U2]]</t>
  </si>
  <si>
    <t>[Lw : [r U2 r', D']]</t>
  </si>
  <si>
    <t>[L F' L', S']</t>
  </si>
  <si>
    <t>[R' Uw : [U' R U, r]]</t>
  </si>
  <si>
    <t>[U R2 U', r2]</t>
  </si>
  <si>
    <t>[S' U L' : [E', L2]]</t>
  </si>
  <si>
    <t>[D, R' u R]</t>
  </si>
  <si>
    <t>[L F' : [L' U L, E']]</t>
  </si>
  <si>
    <t>[r' F' : [F', r S r']]</t>
  </si>
  <si>
    <t>[M : u' M u2 M u']</t>
  </si>
  <si>
    <t>[R' U : [r U r', D']]</t>
  </si>
  <si>
    <t>[L : [F', L S L']]</t>
  </si>
  <si>
    <t>[l' : [M2, U' L U]]</t>
  </si>
  <si>
    <t>[L F' L', S]</t>
  </si>
  <si>
    <t>[r' U : [M', U2]]</t>
  </si>
  <si>
    <t>[R' F R : [S, R2]]</t>
  </si>
  <si>
    <t>[M R U : [M', U2]]</t>
  </si>
  <si>
    <t>[M U : [M', U2]]</t>
  </si>
  <si>
    <t>[S : [U', R E' R']]</t>
  </si>
  <si>
    <t>[S : [U', R' E R]]</t>
  </si>
  <si>
    <t>[F L' : [E', L2]]</t>
  </si>
  <si>
    <t>[M' : (U M' U M)2]</t>
  </si>
  <si>
    <t>[S' U L : [E, L2]]</t>
  </si>
  <si>
    <t>[L' U' L U, M']</t>
  </si>
  <si>
    <t>[U' l U : [M', U2]]</t>
  </si>
  <si>
    <t>[U : [R' E R, U2]]</t>
  </si>
  <si>
    <t>[U r : [U R U', r]]</t>
  </si>
  <si>
    <t>[R' E R, U']</t>
  </si>
  <si>
    <t>[r : [U R U', r]]</t>
  </si>
  <si>
    <t>[U' r : [U R U', r]]</t>
  </si>
  <si>
    <t>[U' : [U', R' E R]]</t>
  </si>
  <si>
    <t>[U2 : [U R U', r2]]</t>
  </si>
  <si>
    <t>[E, R U' R']</t>
  </si>
  <si>
    <t>[Uw' R : [U' r2 U, R2]]</t>
  </si>
  <si>
    <t>[z' : [U' R U, r]]</t>
  </si>
  <si>
    <t>[Lw' U' : [R, U' r2 U]]</t>
  </si>
  <si>
    <t>[R Uw' : [r2, U R' U']]</t>
  </si>
  <si>
    <t>[U' E' R : [E', R2]]</t>
  </si>
  <si>
    <t>[r' : [U R U', r']]</t>
  </si>
  <si>
    <t>[M : [U' L' U, M2]]</t>
  </si>
  <si>
    <t>[4Lw' : [d', L' U L]]</t>
  </si>
  <si>
    <t>[U E L : [E', L2]]</t>
  </si>
  <si>
    <t>[R : [U' r2 U, R2]]</t>
  </si>
  <si>
    <t>[r U R' : [E, R2]]</t>
  </si>
  <si>
    <t>[M' U R' : [E, R2]]</t>
  </si>
  <si>
    <t>[U E R' : [S, R2]]</t>
  </si>
  <si>
    <t>[z' : [U' R U, r2]]</t>
  </si>
  <si>
    <t>[E' L' U L : [E, L2]]</t>
  </si>
  <si>
    <t>[U : [U R U', r2]]</t>
  </si>
  <si>
    <t>[S' : [R' E R, U']]</t>
  </si>
  <si>
    <t>[L, D M D']</t>
  </si>
  <si>
    <t>[l' : (U M' U M)2]</t>
  </si>
  <si>
    <t>[R' : [D, R' u2 R]]</t>
  </si>
  <si>
    <t>[R' : [R' E R, U']]</t>
  </si>
  <si>
    <t>[D R2 : [U' r2 U, R']]</t>
  </si>
  <si>
    <t>[U' L' U, M']</t>
  </si>
  <si>
    <t>[Lw2 U' : [R, U' r2 U]]</t>
  </si>
  <si>
    <t>[E', L U L']</t>
  </si>
  <si>
    <t>[R' : [r U r', D']]</t>
  </si>
  <si>
    <t>[U R U', r2]</t>
  </si>
  <si>
    <t>[R' : [D, R' u R]]</t>
  </si>
  <si>
    <t>[U' : [L' E' L, U2]]</t>
  </si>
  <si>
    <t>[U : [U, L' E' L]]</t>
  </si>
  <si>
    <t>[Lw U' : [r2, R' U R U']]</t>
  </si>
  <si>
    <t>[L' E' L, U]</t>
  </si>
  <si>
    <t>[U' : [Lw U2 Lw', U2 r U2]]</t>
  </si>
  <si>
    <t>[r : [R' U R U', r]]</t>
  </si>
  <si>
    <t>[D : [R2, U' r U]]</t>
  </si>
  <si>
    <t>[U' : [r2, R' U R U']]</t>
  </si>
  <si>
    <t>[Uw' : [r2, U R' U']]</t>
  </si>
  <si>
    <t>[D : [U' R U, M']]</t>
  </si>
  <si>
    <t>[L' f' L, F]</t>
  </si>
  <si>
    <t>[U : [L F L', S]]</t>
  </si>
  <si>
    <t>[Lw' U' : [r2, R' U R U']]</t>
  </si>
  <si>
    <t>[S' U' R : [E, R2]]</t>
  </si>
  <si>
    <t>[x : [u, R U' R']]</t>
  </si>
  <si>
    <t>[r' : [R' U R U', r']]</t>
  </si>
  <si>
    <t>[D : [R2, U l' U']]</t>
  </si>
  <si>
    <t>[L' F' L, S]</t>
  </si>
  <si>
    <t>[U' r2 U, R]</t>
  </si>
  <si>
    <t>[U : [S', L B' L']]</t>
  </si>
  <si>
    <t>[U' r2 U, R2]</t>
  </si>
  <si>
    <t>[M' U' L : [E, L2]]</t>
  </si>
  <si>
    <t>[M' D : [M', D2]]</t>
  </si>
  <si>
    <t>[U' : [r2, U' L U]]</t>
  </si>
  <si>
    <t>[M' U' L' : [E', L2]]</t>
  </si>
  <si>
    <t>[R U : [U R U', r2]]</t>
  </si>
  <si>
    <t>[L F' L : [S', L2]]</t>
  </si>
  <si>
    <t>[U' : [r2, U' L' U]]</t>
  </si>
  <si>
    <t>[D M D', L']</t>
  </si>
  <si>
    <t>[U' : [r2, U' L2 U]]</t>
  </si>
  <si>
    <t>[F L : [E', L2]]</t>
  </si>
  <si>
    <t>[Lw2 U' : [r2, R' U R U']]</t>
  </si>
  <si>
    <t>[D M D', L]</t>
  </si>
  <si>
    <t>[4Uw' : [r2, U' L U]]</t>
  </si>
  <si>
    <t>(M D M' D)2</t>
  </si>
  <si>
    <t>[R' U R U', r2]</t>
  </si>
  <si>
    <t>[R : [R D R', u]]</t>
  </si>
  <si>
    <t>[D : [U' R' U, M']]</t>
  </si>
  <si>
    <t>[U' L2 U, M']</t>
  </si>
  <si>
    <t>[L' U' : [f, L F L']]</t>
  </si>
  <si>
    <t>[S' U' R' : [E', R2]]</t>
  </si>
  <si>
    <t>[U r : [U' L U, r]]</t>
  </si>
  <si>
    <t>[r : [U' L U, r]]</t>
  </si>
  <si>
    <t>[U' M' U : [M', U2]]</t>
  </si>
  <si>
    <t>[U' r : [U' L U, r]]</t>
  </si>
  <si>
    <t>(M U' M' U')2</t>
  </si>
  <si>
    <t>[U2 : [U' L U, r2]]</t>
  </si>
  <si>
    <t>(M U M' U)2</t>
  </si>
  <si>
    <t>[Uw L : [U r2 U', L2]]</t>
  </si>
  <si>
    <t>[L' f L, F]</t>
  </si>
  <si>
    <t>[U' : [R, U' M U]]</t>
  </si>
  <si>
    <t>[l' U : [L, U r2 U']]</t>
  </si>
  <si>
    <t>U M U M' U2 M' U' M U</t>
  </si>
  <si>
    <t>[L' x : [u', R U' R']]</t>
  </si>
  <si>
    <t>[U : [L', U M U']]</t>
  </si>
  <si>
    <t>[r' : [U' L U, r']]</t>
  </si>
  <si>
    <t>[L Uw : [r2, U R' U']]</t>
  </si>
  <si>
    <t>[D' R' F : [R2, E]]</t>
  </si>
  <si>
    <t>[Rw' U' : [U' L U, r']]</t>
  </si>
  <si>
    <t>[z' : [U r2 U', R]]</t>
  </si>
  <si>
    <t>[D L F' : [L2, E']]</t>
  </si>
  <si>
    <t>[z' : [r2, U' R U]]</t>
  </si>
  <si>
    <t>[R : (D M D M')2]</t>
  </si>
  <si>
    <t>[U' : [U' L U, r2]]</t>
  </si>
  <si>
    <t>(D M D M')2</t>
  </si>
  <si>
    <t>[L, U r2 U']</t>
  </si>
  <si>
    <t>[r : (M' U M U)2]</t>
  </si>
  <si>
    <t>[L : [U r2 U', L2]]</t>
  </si>
  <si>
    <t>[M' : (M' U M U)2]</t>
  </si>
  <si>
    <t>[L : [U r2 U', L]]</t>
  </si>
  <si>
    <t>[L' : (D' M D' M')2]</t>
  </si>
  <si>
    <t>[Lw2 U : [L', U r2 U']]</t>
  </si>
  <si>
    <t>[M' : (M' U' M U')2]</t>
  </si>
  <si>
    <t>[z : [U' L' U, l]]</t>
  </si>
  <si>
    <t>[L : (D' M D' M')2]</t>
  </si>
  <si>
    <t>[U' L U, r2]</t>
  </si>
  <si>
    <t>(D' M D' M')2</t>
  </si>
  <si>
    <t>[Uw' L : [U r2 U', L2]]</t>
  </si>
  <si>
    <t>[U' : [R', U' M U]]</t>
  </si>
  <si>
    <t>[U2 Rw : [U R' U', r]]</t>
  </si>
  <si>
    <t>[D' : [U R2 U', M']]</t>
  </si>
  <si>
    <t>[U D : [U R2 U', r]]</t>
  </si>
  <si>
    <t>[U : [L, U M U']]</t>
  </si>
  <si>
    <t>[r : [L U' L' U, r]]</t>
  </si>
  <si>
    <t>[U : [Lw U2 Lw', U2 r U2]]</t>
  </si>
  <si>
    <t>[R U' : [R2, S]]</t>
  </si>
  <si>
    <t>[U2 : [R' U R U', r2]]</t>
  </si>
  <si>
    <t>[E : [R E' R', U']]</t>
  </si>
  <si>
    <t>[Uw : [r2, U' L' U]]</t>
  </si>
  <si>
    <t>[U r : [U L' U', r2]]</t>
  </si>
  <si>
    <t>[Lw' U : [L, U r2 U']]</t>
  </si>
  <si>
    <t>[L E2 L', U]</t>
  </si>
  <si>
    <t>[4Rw : [u', R U' R']]</t>
  </si>
  <si>
    <t>[r' : [L U' L' U, r']]</t>
  </si>
  <si>
    <t>[U R : [S, R2]]</t>
  </si>
  <si>
    <t>[x : [d, L' U L]]</t>
  </si>
  <si>
    <t>[U : [r2, U R' U']]</t>
  </si>
  <si>
    <t>[R U' R : [E, R2]]</t>
  </si>
  <si>
    <t>[U : [r2, U R2 U']]</t>
  </si>
  <si>
    <t>[U : [r2, U R U']]</t>
  </si>
  <si>
    <t>[R U : [r2, U R U']]</t>
  </si>
  <si>
    <t>U R U R U' R' U' R' U' R</t>
  </si>
  <si>
    <t>[U r2 U', L]</t>
  </si>
  <si>
    <t>[U D L' : [E, L2]]</t>
  </si>
  <si>
    <t>[U r2 U', L']</t>
  </si>
  <si>
    <t>[U L' : [E, L2]]</t>
  </si>
  <si>
    <t>[U r2 U', L2]</t>
  </si>
  <si>
    <t>[Lw2 U : [L2, U r2 U']]</t>
  </si>
  <si>
    <t>[S U L' : [E, L2]]</t>
  </si>
  <si>
    <t>[R' U D : [U R2 U', r]]</t>
  </si>
  <si>
    <t>[R' U' R, E]</t>
  </si>
  <si>
    <t>[U : [r2, R' U R U']]</t>
  </si>
  <si>
    <t>[R u' R' : [E', R2]]</t>
  </si>
  <si>
    <t>[R' U' R, E']</t>
  </si>
  <si>
    <t>[Lw U : [L2, U r2 U']]</t>
  </si>
  <si>
    <t>[S' U L' : [E, L2]]</t>
  </si>
  <si>
    <t>[U r : [U' L' U, r]]</t>
  </si>
  <si>
    <t>[R' : [U', R' E R]]</t>
  </si>
  <si>
    <t>[r : [U' L' U, r]]</t>
  </si>
  <si>
    <t>[L E : [E, L' U L]]</t>
  </si>
  <si>
    <t>[U' r : [U' L' U, r]]</t>
  </si>
  <si>
    <t>[U' : [U' M U, R']]</t>
  </si>
  <si>
    <t>[U2 : [U' L' U, r2]]</t>
  </si>
  <si>
    <t>[z : [U L' U', r]]</t>
  </si>
  <si>
    <t>[M, U' R' U]</t>
  </si>
  <si>
    <t>[Uw L : [U' r U, L2]]</t>
  </si>
  <si>
    <t>[R U' R' : [E', R2]]</t>
  </si>
  <si>
    <t>[l' U : [L', U r2 U']]</t>
  </si>
  <si>
    <t>[D' : [L2, U' l' U]]</t>
  </si>
  <si>
    <t>[r' : [U' L' U, r']]</t>
  </si>
  <si>
    <t>[R' U' R U, M]</t>
  </si>
  <si>
    <t>[Uw L : [U' r U, L]]</t>
  </si>
  <si>
    <t>[L U L' U', M]</t>
  </si>
  <si>
    <t>[U' R U, M]</t>
  </si>
  <si>
    <t>[R D R', u2]]</t>
  </si>
  <si>
    <t>[U L' U', M]</t>
  </si>
  <si>
    <t>[L' U : [r2, U R2 U']]</t>
  </si>
  <si>
    <t>[R' : [R' u2 R, D]]</t>
  </si>
  <si>
    <t>[U' : [U' L' U, r2]]</t>
  </si>
  <si>
    <t>[R' : [U' R' U, M]]</t>
  </si>
  <si>
    <t>[L' : [U r2 U', L2]]</t>
  </si>
  <si>
    <t>[U : [S, R B R']]</t>
  </si>
  <si>
    <t>[L', U r2 U']</t>
  </si>
  <si>
    <t>[L' : [U r2 U', L']]</t>
  </si>
  <si>
    <t>[M', U R' U']</t>
  </si>
  <si>
    <t>[Lw2 U : [L, U r2 U']]</t>
  </si>
  <si>
    <t>[M', U R2 U']</t>
  </si>
  <si>
    <t>[R' U r : [U' L' U, r]]</t>
  </si>
  <si>
    <t>[M', U R U']</t>
  </si>
  <si>
    <t>[U' L' U, r2]</t>
  </si>
  <si>
    <t>[M', R U R' U']</t>
  </si>
  <si>
    <t>[L : [r U r', D]]</t>
  </si>
  <si>
    <t>[M', U' L U]</t>
  </si>
  <si>
    <t>[M', L' U' L U]</t>
  </si>
  <si>
    <t>[r U2 r', D]</t>
  </si>
  <si>
    <t>[M', U' L' U]</t>
  </si>
  <si>
    <t>[M', U' L2 U]</t>
  </si>
  <si>
    <t>[U : [f, L F L']]</t>
  </si>
  <si>
    <t>[D' : [M', U R2 U']]</t>
  </si>
  <si>
    <t>[U2 : [U' L2 U, r2]]</t>
  </si>
  <si>
    <t>[U' R' U, M]</t>
  </si>
  <si>
    <t>[x : [R' u' R, U']]</t>
  </si>
  <si>
    <t>[U L U', M]</t>
  </si>
  <si>
    <t>[L' Uw' : [U' R U, r]]</t>
  </si>
  <si>
    <t>[Lw' U : [L', U r2 U']]</t>
  </si>
  <si>
    <t>[x : [u', R U' R']]</t>
  </si>
  <si>
    <t>[r' : [U' L2 U, r']]</t>
  </si>
  <si>
    <t>[L' U' : [S', L2]]</t>
  </si>
  <si>
    <t>[L' Uw L : [U' r U, L2]]</t>
  </si>
  <si>
    <t>[R' E2 R, U']</t>
  </si>
  <si>
    <t>[D', L' u2 L]</t>
  </si>
  <si>
    <t>[E' : [L' E L, U]]</t>
  </si>
  <si>
    <t>[R2 D : [U' r2 U, R2]]</t>
  </si>
  <si>
    <t>[D R : [U' r2 U, R]]</t>
  </si>
  <si>
    <t>[R' U' R : [E', R2]]</t>
  </si>
  <si>
    <t>[U' : [U' L2 U, r2]]</t>
  </si>
  <si>
    <t>[L2 : [U r2 U', L']]</t>
  </si>
  <si>
    <t>[U' L' : [S', L2]]</t>
  </si>
  <si>
    <t>[L2, U r2 U']</t>
  </si>
  <si>
    <t>[L2 : [U r2 U', L]]</t>
  </si>
  <si>
    <t>[U' R : [E', R2]]</t>
  </si>
  <si>
    <t>[Rw : [D', l U2 l']]</t>
  </si>
  <si>
    <t>[U' D' R : [E', R2]]</t>
  </si>
  <si>
    <t>[x R : [u', R U' R']]</t>
  </si>
  <si>
    <t>U' L' U' L' U L U L U L'</t>
  </si>
  <si>
    <t>[U' L2 U, r2]</t>
  </si>
  <si>
    <t>[L U L', E]</t>
  </si>
  <si>
    <t>[Uw' L2 : [U r2 U', L]]</t>
  </si>
  <si>
    <t>[R' E' : [E', R U' R']]</t>
  </si>
  <si>
    <t>[L : [U, L E' L']]</t>
  </si>
  <si>
    <t>[r U2 r', D2]</t>
  </si>
  <si>
    <t>[S U' R : [E', R2]]</t>
  </si>
  <si>
    <t>[r U r', D2]</t>
  </si>
  <si>
    <t>[L' u L : [E, L2]]</t>
  </si>
  <si>
    <t>[U' : [r U r', D2]]</t>
  </si>
  <si>
    <t>[L U L', E']</t>
  </si>
  <si>
    <t>[r U' r', D2]</t>
  </si>
  <si>
    <t>[Lw' U Lw : [r U r', D2]]</t>
  </si>
  <si>
    <t>[S' U' R : [E', R2]]</t>
  </si>
  <si>
    <t>[U : [U M U', L]]</t>
  </si>
  <si>
    <t>[R : [r U r', D2]]</t>
  </si>
  <si>
    <t>[L' : [r U' r', D2]]</t>
  </si>
  <si>
    <t>[R U' R : [E', R2]]</t>
  </si>
  <si>
    <t>[Lw2 U' : [f', L F L']]</t>
  </si>
  <si>
    <t>[M, U L U']</t>
  </si>
  <si>
    <t>[Lw U : [U r U', R2]]</t>
  </si>
  <si>
    <t>[Lw U : [D' R2 D, r']]</t>
  </si>
  <si>
    <t>[Lw U' : [U' r U, L]]</t>
  </si>
  <si>
    <t>[Lw2 U' : [U' r2 U, R']]</t>
  </si>
  <si>
    <t>[Lw : [D', r U2 r']]</t>
  </si>
  <si>
    <t>[Lw2 U' : [U' r2 U, R]]</t>
  </si>
  <si>
    <t>TOTAL UF AVERAGE:</t>
  </si>
  <si>
    <t>[Lw2 U' : [R' U R U', r2]]</t>
  </si>
  <si>
    <t>[Lw2 U : [U r2 U', L']]</t>
  </si>
  <si>
    <t>[Lw2 U : [U r2 U', L2]]</t>
  </si>
  <si>
    <t>[Lw2 U : [U r2 U', L]]</t>
  </si>
  <si>
    <t>[Rw : [l U2 l', D']]</t>
  </si>
  <si>
    <t>[R' : [r U r', D2]]</t>
  </si>
  <si>
    <t>[Lw : [U2 r U2, Lw U2 Lw']]</t>
  </si>
  <si>
    <t>[L : [r U r', D2]]</t>
  </si>
  <si>
    <t>[U : [R', U r U']]</t>
  </si>
  <si>
    <t>[R', U r U']</t>
  </si>
  <si>
    <t>[U' R' U, r]</t>
  </si>
  <si>
    <t>[U' : [U' R' U, r]]</t>
  </si>
  <si>
    <t>[Lw' U : [R', U r U']]</t>
  </si>
  <si>
    <t>[R' : [U r U', R2]]</t>
  </si>
  <si>
    <t>[L' U' : [U' R' U, r]]</t>
  </si>
  <si>
    <t>[Lw2 U2 : [U' R' U, r]]</t>
  </si>
  <si>
    <t>[R' : [U r U', R']]</t>
  </si>
  <si>
    <t>[D' R D, r']</t>
  </si>
  <si>
    <t>[L2 U' : [U' R' U, r]]</t>
  </si>
  <si>
    <t>[R' Uw : [r, U' R U]]</t>
  </si>
  <si>
    <t>[R' : [D', r U r']]</t>
  </si>
  <si>
    <t>[4Uw' : [U' L U, r2]]</t>
  </si>
  <si>
    <t>[z : [l, U' L' U]]</t>
  </si>
  <si>
    <t>[R' U D : [r, U R2 U']]</t>
  </si>
  <si>
    <t>[R' U r : [r, U' L' U]]</t>
  </si>
  <si>
    <t>[x R : [R U' R', u']]</t>
  </si>
  <si>
    <t>[R' : [D2, r U r']]</t>
  </si>
  <si>
    <t>[r' : [U' R' U, r2]]</t>
  </si>
  <si>
    <t>[R' U : [r, U L U']]</t>
  </si>
  <si>
    <t>[Lw U2 Lw', U2 r U2]</t>
  </si>
  <si>
    <t>[r : [R U' R' U, r2]]</t>
  </si>
  <si>
    <t>[D : [U R2 U', r]]</t>
  </si>
  <si>
    <t>[Lw' : [Lw U2 Lw', U2 r U2]]</t>
  </si>
  <si>
    <t>[r : [U' R U, r2]]</t>
  </si>
  <si>
    <t>[r : [U L' U', r2]]</t>
  </si>
  <si>
    <t>[Lw2 : [Lw U2 Lw', U2 r U2]]</t>
  </si>
  <si>
    <t>[r : [U' R2 U, r2]]</t>
  </si>
  <si>
    <t>[U Rw' : [U R U', r']]</t>
  </si>
  <si>
    <t>[r : [U L2 U', r2]]</t>
  </si>
  <si>
    <t>[r2, U R' U']</t>
  </si>
  <si>
    <t>[r2, U R2 U']</t>
  </si>
  <si>
    <t>[r2, U R U']</t>
  </si>
  <si>
    <t>[r2, R' U R U']</t>
  </si>
  <si>
    <t>[r2, U' L U]</t>
  </si>
  <si>
    <t>[U : [R' U R U', r2]]</t>
  </si>
  <si>
    <t>[r2, U' L' U]</t>
  </si>
  <si>
    <t>[r2, U' L2 U]</t>
  </si>
  <si>
    <t>[Lw : [Lw U2 Lw', U2 r U2]]</t>
  </si>
  <si>
    <t>[r : [U' R' U, r2]]</t>
  </si>
  <si>
    <t>[r : [U L U', r2]]</t>
  </si>
  <si>
    <t>[U' : [L, U' r U]]</t>
  </si>
  <si>
    <t>[U : [U L U', r]]</t>
  </si>
  <si>
    <t>[U L U', r]</t>
  </si>
  <si>
    <t>[L, U' r U]</t>
  </si>
  <si>
    <t>[l' U' : [L, U' r U]]</t>
  </si>
  <si>
    <t>[u : [R D R', u2]]</t>
  </si>
  <si>
    <t>[L : [U' r U, L2]]</t>
  </si>
  <si>
    <t>[Lw2 U' : [L', U' r U]]</t>
  </si>
  <si>
    <t>[R u : [R D R', u2]]</t>
  </si>
  <si>
    <t>[D L' D', r']</t>
  </si>
  <si>
    <t>[L : [U' r U, L]]</t>
  </si>
  <si>
    <t>[u, R D R']</t>
  </si>
  <si>
    <t>[R' u R, D]</t>
  </si>
  <si>
    <t>[R' : [R' u R, D]]</t>
  </si>
  <si>
    <t>[R : [u, R D R']]</t>
  </si>
  <si>
    <t>[Uw' L' : [U r2 U', L2]]</t>
  </si>
  <si>
    <t>comms w/ RS 4 mover</t>
  </si>
  <si>
    <t>[L : [D, r U r']]</t>
  </si>
  <si>
    <t>[Uw' L' : [U r2 U', L']]</t>
  </si>
  <si>
    <t>[L : [D2, r U r']]</t>
  </si>
  <si>
    <t>[R' U : [U L U', r]]</t>
  </si>
  <si>
    <t>[r' : [U L U', r2]]</t>
  </si>
  <si>
    <t>PROGRESS (506 TOTAL):</t>
  </si>
  <si>
    <t>comms w/ LS 4 mover</t>
  </si>
  <si>
    <t>comms w/ LE 4 mover</t>
  </si>
  <si>
    <t>comms w/ RE 4 mover</t>
  </si>
  <si>
    <t>comms w/ MU 4 mover</t>
  </si>
  <si>
    <t>comms w/ MD 4 mover</t>
  </si>
  <si>
    <t>comms w/ Mu 4 mover</t>
  </si>
  <si>
    <t>U perm variants</t>
  </si>
  <si>
    <t>[U M2 U' : [M, U2]]</t>
  </si>
  <si>
    <t>[R' D' : [U2, M']]</t>
  </si>
  <si>
    <t>[L D : [U2, M']]</t>
  </si>
  <si>
    <t>[D' : [U2, M']]</t>
  </si>
  <si>
    <t>[D : [U2, M']]</t>
  </si>
  <si>
    <t>[Rw : [U2, M' D M]]</t>
  </si>
  <si>
    <t>[U2, M D' M']</t>
  </si>
  <si>
    <t>[Rw' : [M D' M', U2]]</t>
  </si>
  <si>
    <t>[U M U : [M', U2]]</t>
  </si>
  <si>
    <t>[Lw' : [U2, M' D' M]]</t>
  </si>
  <si>
    <t>[Lw : [M D M', U2]]</t>
  </si>
  <si>
    <t>[U2, M D M']</t>
  </si>
  <si>
    <t>[R D' : [U2, M']]</t>
  </si>
  <si>
    <t>[L' D : [U2, M']]</t>
  </si>
  <si>
    <t>[U M2 U : [M, U2]]</t>
  </si>
  <si>
    <t>[4Lw : [U M' U', R]]</t>
  </si>
  <si>
    <t>[Rw : [M', U' R' U]]</t>
  </si>
  <si>
    <t>[M D2 M', U]</t>
  </si>
  <si>
    <t>[4Lw : [U M' U', R2]]</t>
  </si>
  <si>
    <t>[R2 D : [M, D2]]</t>
  </si>
  <si>
    <t>[z R : [U' M U, R]]</t>
  </si>
  <si>
    <t>[M D' M', U]</t>
  </si>
  <si>
    <t>[z R : [U M' U', R]]</t>
  </si>
  <si>
    <t>[z' : [L', U M U']]</t>
  </si>
  <si>
    <t>[U' Rw : [U R' U', M']]</t>
  </si>
  <si>
    <t>[Lw : [M D M', U]]</t>
  </si>
  <si>
    <t>[M D M', U]</t>
  </si>
  <si>
    <t>[D' : [M D' M', U]]</t>
  </si>
  <si>
    <t>[x' : [R, U M' U']]</t>
  </si>
  <si>
    <t>[Rw' : [M, U' R U]]</t>
  </si>
  <si>
    <t>[z' : [L', U' M2 U]]</t>
  </si>
  <si>
    <t>[U' M2 U' : [M, U2]]</t>
  </si>
  <si>
    <t>[z : [R, U' M2 U]]</t>
  </si>
  <si>
    <t>[D : [M D' M', U']]</t>
  </si>
  <si>
    <t>[4Rw' : [U' M' U, L']]</t>
  </si>
  <si>
    <t>[M D2 M', U']</t>
  </si>
  <si>
    <t>[L2 D' : [M, D2]]</t>
  </si>
  <si>
    <t>[U' : [R U' R' U, M2]]</t>
  </si>
  <si>
    <t>[4Rw' : [U' M' U, L2]]</t>
  </si>
  <si>
    <t>[z : [R, U' M U]]</t>
  </si>
  <si>
    <t>[M D' M', U']</t>
  </si>
  <si>
    <t>[Rw' : [M D' M', U']]</t>
  </si>
  <si>
    <t>[U' Rw' : [U' R U, M]]</t>
  </si>
  <si>
    <t>[z' L' : [U M U', L']]</t>
  </si>
  <si>
    <t>[z' L' : [U' M' U, L']]</t>
  </si>
  <si>
    <t>[M D M', U']</t>
  </si>
  <si>
    <t>[D' : [M D' M', U']]</t>
  </si>
  <si>
    <t>[z : [R, U M2 U']]</t>
  </si>
  <si>
    <t>[Lw : [M, U L' U']]</t>
  </si>
  <si>
    <t>[x' : [L', U' M' U]]</t>
  </si>
  <si>
    <t>[R' D' : [M', U2]]</t>
  </si>
  <si>
    <t>[4Lw : [R, U M' U']]</t>
  </si>
  <si>
    <t>[z : [U' M2 U, R]]</t>
  </si>
  <si>
    <t>[z' U' L' U : [M', U2]]</t>
  </si>
  <si>
    <t>[U R U : [M', U2]]</t>
  </si>
  <si>
    <t>[D' U R U : [M', U2]]</t>
  </si>
  <si>
    <t>[M2, U' R U]</t>
  </si>
  <si>
    <t>[R' D : [M, D2]]</t>
  </si>
  <si>
    <t>[D' : [M', U' R U]]</t>
  </si>
  <si>
    <t>[F : [U' M2 U, R]]</t>
  </si>
  <si>
    <t>[z' U : [L', U M U']]</t>
  </si>
  <si>
    <t>[z' D : [U L' U', M']]</t>
  </si>
  <si>
    <t>[D : [M', U' R U]]</t>
  </si>
  <si>
    <t>[x' : [R2, U M' U']]</t>
  </si>
  <si>
    <t>[z : [M2, U R U']]</t>
  </si>
  <si>
    <t>[Rw : [U' R' U, M']]</t>
  </si>
  <si>
    <t>[D : [U', M D' M']]</t>
  </si>
  <si>
    <t>[L D : [M', U2]]</t>
  </si>
  <si>
    <t>[4Rw' : [L', U' M' U]]</t>
  </si>
  <si>
    <t>[z' U' L' U' : [M', U2]]</t>
  </si>
  <si>
    <t>[U, M D2 M']</t>
  </si>
  <si>
    <t>[U', M D2 M']</t>
  </si>
  <si>
    <t>[U R U' : [M', U2]]</t>
  </si>
  <si>
    <t>[D' : [M', U2]]</t>
  </si>
  <si>
    <t>[4Lw : [R2, U M' U']]</t>
  </si>
  <si>
    <t>[L2 D : [M, D2]]</t>
  </si>
  <si>
    <t>[D' U R U' : [M', U2]]</t>
  </si>
  <si>
    <t>[U' : [M2, R U' R' U]]</t>
  </si>
  <si>
    <t>[U' R U, M2]</t>
  </si>
  <si>
    <t>[D : [M', U2]]</t>
  </si>
  <si>
    <t>[R2 D' : [M, D2]]</t>
  </si>
  <si>
    <t>[4Rw' : [L2, U' M' U]]</t>
  </si>
  <si>
    <t>[R' D' : [M, D2]]</t>
  </si>
  <si>
    <t>[Rw : [M' D M, U2]]</t>
  </si>
  <si>
    <t>[z R : [R, U' M U]]</t>
  </si>
  <si>
    <t>[z : [U' M U, R]]</t>
  </si>
  <si>
    <t>B (Ubr)</t>
  </si>
  <si>
    <t>C (Ufr)</t>
  </si>
  <si>
    <t>D (Ufl)</t>
  </si>
  <si>
    <t>E (Ful)</t>
  </si>
  <si>
    <t>F (Fur)</t>
  </si>
  <si>
    <t>[M D' M', U2]</t>
  </si>
  <si>
    <t>G (Fdr)</t>
  </si>
  <si>
    <t>[U, M D' M']</t>
  </si>
  <si>
    <t>H (Fdl)</t>
  </si>
  <si>
    <t>[U', M D' M']</t>
  </si>
  <si>
    <t>I (Dfl)</t>
  </si>
  <si>
    <t>J (Dfr)</t>
  </si>
  <si>
    <t>[D' : [U' R U, M']]</t>
  </si>
  <si>
    <t>K (Dbr)</t>
  </si>
  <si>
    <t>L (Dbl)</t>
  </si>
  <si>
    <t>M (Rub)</t>
  </si>
  <si>
    <t>N (Rdb)</t>
  </si>
  <si>
    <t>O (Rdf)</t>
  </si>
  <si>
    <t>P (Ruf)</t>
  </si>
  <si>
    <t>Q (Ldb)</t>
  </si>
  <si>
    <t>R (Lub)</t>
  </si>
  <si>
    <t>S (Luf)</t>
  </si>
  <si>
    <t>T (Ldf)</t>
  </si>
  <si>
    <t>U (Bdl)</t>
  </si>
  <si>
    <t>V (Bdr)</t>
  </si>
  <si>
    <t>[Rw' : [U2, M D' M']]</t>
  </si>
  <si>
    <t>W (Bur)</t>
  </si>
  <si>
    <t>[z R : [R, U M' U']]</t>
  </si>
  <si>
    <t>Y (Bul)</t>
  </si>
  <si>
    <t>[Rw' : [U', M D' M']]</t>
  </si>
  <si>
    <t>[Rw : [l', U r' U']]</t>
  </si>
  <si>
    <t>[U M U : [U2, M']]</t>
  </si>
  <si>
    <t>[U' Rw' : [M, U' R U]]</t>
  </si>
  <si>
    <t>[F : [R, U' M2 U]]</t>
  </si>
  <si>
    <t>[Lw' : [M' D' M, U2]]</t>
  </si>
  <si>
    <t>[z' : [U M U', L']]</t>
  </si>
  <si>
    <t>[z' L' : [L', U M U']]</t>
  </si>
  <si>
    <t>[z' U : [U M U', L']]</t>
  </si>
  <si>
    <t>[Lw : [U' l' U, r]]</t>
  </si>
  <si>
    <t>[x U' : [r', U' l U]]</t>
  </si>
  <si>
    <t>[U' M U' : [U2, M']]</t>
  </si>
  <si>
    <t>[U' Rw : [M', U R' U']]</t>
  </si>
  <si>
    <t>[z' D : [M', U L' U']]</t>
  </si>
  <si>
    <t>[3Lw'</t>
  </si>
  <si>
    <t>[Lw : [U2, M D M']]</t>
  </si>
  <si>
    <t>[Lw : [U, M D M']]</t>
  </si>
  <si>
    <t>[x U : [U r' U', l]]</t>
  </si>
  <si>
    <t>[z' L' : [L', U' M' U]]</t>
  </si>
  <si>
    <t>[D r2 D', l2]</t>
  </si>
  <si>
    <t>[r2, D' l2 D]</t>
  </si>
  <si>
    <t>[D' : [r2, D' l2 D]]</t>
  </si>
  <si>
    <t>[D : [D r2 D', l2]]</t>
  </si>
  <si>
    <t>[U, r' u r]</t>
  </si>
  <si>
    <t>[U : [U, r' d' r]]</t>
  </si>
  <si>
    <t>[U, r d r']</t>
  </si>
  <si>
    <t>[U : [U, r u' r']]</t>
  </si>
  <si>
    <t>[U, r d' r']</t>
  </si>
  <si>
    <t>[M D M', U2]</t>
  </si>
  <si>
    <t>[U : [U, r u r']]</t>
  </si>
  <si>
    <t>[U, r' u' r]</t>
  </si>
  <si>
    <t>[U, M D M']</t>
  </si>
  <si>
    <t>[U : [U, r' d r]]</t>
  </si>
  <si>
    <t>[U', M D M']</t>
  </si>
  <si>
    <t>[x' : [U r U', l']]</t>
  </si>
  <si>
    <t>[x' : [r, U' l' U]]</t>
  </si>
  <si>
    <t>[l u2 l', U']</t>
  </si>
  <si>
    <t>[U, r' u2 r]</t>
  </si>
  <si>
    <t>[D' : [U, M D' M']]</t>
  </si>
  <si>
    <t>[D' : [U', M D' M']]</t>
  </si>
  <si>
    <t>[U2, r u2 r']</t>
  </si>
  <si>
    <t>[Uw : [r' u' r, U2]]</t>
  </si>
  <si>
    <t>[y' U' : [r' d' r, U2]]</t>
  </si>
  <si>
    <t>[Rw' U' : [l', U' r U]]</t>
  </si>
  <si>
    <t>[Rw' U' Rw D' : [D' r2 D, l2]]</t>
  </si>
  <si>
    <t>[3Lw U' : [U' l' U, r2]]</t>
  </si>
  <si>
    <t>[R D' : [M', U2]]</t>
  </si>
  <si>
    <t>[Rw' U' Rw : [r2, D l2 D']]</t>
  </si>
  <si>
    <t>[Rw' U' Rw : [D' r2 D, l2]]</t>
  </si>
  <si>
    <t>[U : [r' u r, U2]]</t>
  </si>
  <si>
    <t>[U2, r' d' r]</t>
  </si>
  <si>
    <t>[x' : [U M' U', R]]</t>
  </si>
  <si>
    <t>[U : [r d r', U2]]</t>
  </si>
  <si>
    <t>[z : [U M2 U', R]]</t>
  </si>
  <si>
    <t>[U2, r u' r']</t>
  </si>
  <si>
    <t>[U : [r d' r', U2]]</t>
  </si>
  <si>
    <t>[x' : [U M' U', R2]]</t>
  </si>
  <si>
    <t>[U2, r u r']</t>
  </si>
  <si>
    <t>[U : [r' u' r, U2]]</t>
  </si>
  <si>
    <t>[U2, r' d r]</t>
  </si>
  <si>
    <t>[U2, r' d2 r]</t>
  </si>
  <si>
    <t>[Lw U' : [U' l' U, r']]</t>
  </si>
  <si>
    <t>[l u2 l', U2]</t>
  </si>
  <si>
    <t>[U : [r' u2 r, U2]]</t>
  </si>
  <si>
    <t>[Uw' : [U', r u' r']]</t>
  </si>
  <si>
    <t>[Rw' : [U' R U, M]]</t>
  </si>
  <si>
    <t>[Uw : [r' u' r, U]]</t>
  </si>
  <si>
    <t>[Lw : [U L' U', M]]</t>
  </si>
  <si>
    <t>[y' : [U', r' d' r]]</t>
  </si>
  <si>
    <t>[U' x : [U' r' U, l]]</t>
  </si>
  <si>
    <t>[U : [l2, D r2 D']]</t>
  </si>
  <si>
    <t>[U : [D' l2 D, r2]]</t>
  </si>
  <si>
    <t>[U' : [r2, D l2 D']]</t>
  </si>
  <si>
    <t>[U' : [D' r2 D, l2]]</t>
  </si>
  <si>
    <t>[U : [r' u r, U]]</t>
  </si>
  <si>
    <t>[U' : [U', r' d' r]]</t>
  </si>
  <si>
    <t>[U : [r d r', U]]</t>
  </si>
  <si>
    <t>[U' : [U', r u' r']]</t>
  </si>
  <si>
    <t>[U : [r d' r', U]]</t>
  </si>
  <si>
    <t>[L' D : [M', U2]]</t>
  </si>
  <si>
    <t>[U' : [U', r u r']]</t>
  </si>
  <si>
    <t>[U : [r' u' r, U]]</t>
  </si>
  <si>
    <t>[z' : [U' M2 U, L']]</t>
  </si>
  <si>
    <t>[U' : [U', r' d r]]</t>
  </si>
  <si>
    <t>[y' : [U', r' d r]]</t>
  </si>
  <si>
    <t>[U x' : [U' l' U, r]]</t>
  </si>
  <si>
    <t>[x' : [U' M' U, L']]</t>
  </si>
  <si>
    <t>[l u2 l', U]</t>
  </si>
  <si>
    <t>[z : [U R U', M2]]</t>
  </si>
  <si>
    <t>[Uw : [r' u r, U]]</t>
  </si>
  <si>
    <t>[Rw': [U r U', l']]</t>
  </si>
  <si>
    <t>[r u2 r', U2]</t>
  </si>
  <si>
    <t>[Uw' : [r u' r', U']]</t>
  </si>
  <si>
    <t>[D : [U r2 U', l']]</t>
  </si>
  <si>
    <t>[U r2 U', l']</t>
  </si>
  <si>
    <t>[D' : [U r2 U', l']]</t>
  </si>
  <si>
    <t>[D2 : [U r2 U', l']]</t>
  </si>
  <si>
    <t>[Uw r Uw', l']</t>
  </si>
  <si>
    <t>[R' : [Uw r Uw', l']]</t>
  </si>
  <si>
    <t>[R2 : [Uw r Uw', l']]</t>
  </si>
  <si>
    <t>[Rw : [l', Uw r Uw']]</t>
  </si>
  <si>
    <t>[z : [u, r U r']]</t>
  </si>
  <si>
    <t>[U : [l' U' l, u']]</t>
  </si>
  <si>
    <t>[F : [r U r', u']]</t>
  </si>
  <si>
    <t>[z : [u, r U2 r']]</t>
  </si>
  <si>
    <t>[F : [l, U r U']]</t>
  </si>
  <si>
    <t>[U r' U', l']</t>
  </si>
  <si>
    <t>[u2, r' U2 r]</t>
  </si>
  <si>
    <t>[F : [r U r', u2]]</t>
  </si>
  <si>
    <t>[Lw : [r, U' l' U]]</t>
  </si>
  <si>
    <t>[Uw : [U2, r' u' r]]</t>
  </si>
  <si>
    <t>[Uw : [U, r' u' r]]</t>
  </si>
  <si>
    <t>[l2, U r U']</t>
  </si>
  <si>
    <t>[D' : [l2, U r U']]</t>
  </si>
  <si>
    <t>[D2 : [l2, U r U']]</t>
  </si>
  <si>
    <t>[D : [l2, U r U']]</t>
  </si>
  <si>
    <t>[r U r', u]</t>
  </si>
  <si>
    <t>[R' : [r U r', u]]</t>
  </si>
  <si>
    <t>[R2 : [r U r', u]]</t>
  </si>
  <si>
    <t>[R : [r U r', u]]</t>
  </si>
  <si>
    <t>[Rw : [U, r d' r']]</t>
  </si>
  <si>
    <t>[U : [Uw' l' Uw, r]]</t>
  </si>
  <si>
    <t>[r U r', u']</t>
  </si>
  <si>
    <t>[L' : [r U r', u']]</t>
  </si>
  <si>
    <t>[l, U r U']</t>
  </si>
  <si>
    <t>[x' : [r2, U' l' U]]</t>
  </si>
  <si>
    <t>[x' U' : [r2, U' l' U]]</t>
  </si>
  <si>
    <t>[r U r', u2]</t>
  </si>
  <si>
    <t>[x U' : [U' l U, r']]</t>
  </si>
  <si>
    <t>[y' U : [r' d' r, U2]]</t>
  </si>
  <si>
    <t>[y' : [r' d' r, U']]</t>
  </si>
  <si>
    <t>[F' : [l2, U r U']]</t>
  </si>
  <si>
    <t>[x U' : [U' l U, r]]</t>
  </si>
  <si>
    <t>[U' D : [l2, U' r U]]</t>
  </si>
  <si>
    <t>[U' : [l2, U' r U]]</t>
  </si>
  <si>
    <t>[Uw' : [l, U' r U]]</t>
  </si>
  <si>
    <t>[r U2 r', d']</t>
  </si>
  <si>
    <t>[Rw : [U2, r u' r']]</t>
  </si>
  <si>
    <t>[Rw U : [r' u r, U2]]</t>
  </si>
  <si>
    <t>[Rw U : [r d' r', U2]</t>
  </si>
  <si>
    <t>[Rw : [U2, r u r']]</t>
  </si>
  <si>
    <t>[F' : [r U r', u']]</t>
  </si>
  <si>
    <t>[r U2 r', d]</t>
  </si>
  <si>
    <t>[F' : [l, U r U']]</t>
  </si>
  <si>
    <t>[x' D' : [r2, U' l' U]]</t>
  </si>
  <si>
    <t>[U' x' : [r2, U l' U']]</t>
  </si>
  <si>
    <t>[U' : [l, U' r U]]</t>
  </si>
  <si>
    <t>[x U : [l, U r' U']]</t>
  </si>
  <si>
    <t>[Rw' U' : [U' r U, l']]</t>
  </si>
  <si>
    <t>[U' x : [l, U' r' U]]</t>
  </si>
  <si>
    <t>[F2 : [l2, U r U']]</t>
  </si>
  <si>
    <t>[U' D : [U' r2 U, l']]</t>
  </si>
  <si>
    <t>[U' : [U' r2 U, l']]</t>
  </si>
  <si>
    <t>[D' U' : [U' r2 U, l']]</t>
  </si>
  <si>
    <t>[F : [Uw r Uw', l']]</t>
  </si>
  <si>
    <t>[F' : [r U2 r', d']]</t>
  </si>
  <si>
    <t>[U : [l' U2 l, d']]</t>
  </si>
  <si>
    <t>[Uw' : [U' r' U, l']]</t>
  </si>
  <si>
    <t>[l', Uw r Uw']</t>
  </si>
  <si>
    <t>[z U' : [l', Uw r Uw']]</t>
  </si>
  <si>
    <t>[F2 : [r U r', u']]</t>
  </si>
  <si>
    <t>[z U : [l', Uw r Uw']]</t>
  </si>
  <si>
    <t>[x' D2 : [U r2 U', l']]</t>
  </si>
  <si>
    <t>[d2, r' U r]</t>
  </si>
  <si>
    <t>[U' : [U' r' U, l']]</t>
  </si>
  <si>
    <t>[F2 : [r U r', u2]]</t>
  </si>
  <si>
    <t>[l2, D r2 D']</t>
  </si>
  <si>
    <t>[Rw' U' Rw D' : [l2, D' r2 D]]</t>
  </si>
  <si>
    <t>[U : [D r2 D', l2]]</t>
  </si>
  <si>
    <t>[D : [l', U r2 U']]</t>
  </si>
  <si>
    <t>[U r U', l2]</t>
  </si>
  <si>
    <t>[F' : [U r U', l2]]</t>
  </si>
  <si>
    <t>[F2 : [U r U', l2]]</t>
  </si>
  <si>
    <t>[Uw r Uw', l2]</t>
  </si>
  <si>
    <t>[R' : [Uw r Uw', l2]]</t>
  </si>
  <si>
    <t>[R2 : [Uw r Uw', l2]]</t>
  </si>
  <si>
    <t>[R : [Uw r Uw', l2]]</t>
  </si>
  <si>
    <t>[z u : [r U r', u2]]</t>
  </si>
  <si>
    <t>[y' U : [l', U r2 U']]</t>
  </si>
  <si>
    <t>[u' : [U r U', l2]]</t>
  </si>
  <si>
    <t>[z u : [r U2 r', u2]]</t>
  </si>
  <si>
    <t>[D : [l, U r2 U']]</t>
  </si>
  <si>
    <t>[U r' U', l2]</t>
  </si>
  <si>
    <t>[U' D' : [U' r' U, l2]]</t>
  </si>
  <si>
    <t>[D Rw : [r U r', u2]]</t>
  </si>
  <si>
    <t>[D' l2 D, r2]</t>
  </si>
  <si>
    <t>[3Lw U' : [r2, U' l' U]]</t>
  </si>
  <si>
    <t>[U : [r2, D' l2 D]]</t>
  </si>
  <si>
    <t>[l', U r2 U']</t>
  </si>
  <si>
    <t>[D' : [U r U', l2]]</t>
  </si>
  <si>
    <t>[x U' : [r, U' l U]]</t>
  </si>
  <si>
    <t>[U' D : [l', U' r2 U]]</t>
  </si>
  <si>
    <t>[r : [r U r', u]]</t>
  </si>
  <si>
    <t>[R' r : [r U r', u]]</t>
  </si>
  <si>
    <t>[r' : [r' U r, d]]</t>
  </si>
  <si>
    <t>[Rw : [r U r', u]]</t>
  </si>
  <si>
    <t>[y' : [l', U' r2 U]]</t>
  </si>
  <si>
    <t>[U : [Uw' l' Uw, r2]]</t>
  </si>
  <si>
    <t>[r : [r U r', u']]</t>
  </si>
  <si>
    <t>[x z : [r, U l U']]</t>
  </si>
  <si>
    <t>[l, U r2 U']</t>
  </si>
  <si>
    <t>[D' : [U r' U', l2]]</t>
  </si>
  <si>
    <t>[x' U' : [r', U' l' U]]</t>
  </si>
  <si>
    <t>[Rw : [r U r', u2]]</t>
  </si>
  <si>
    <t>[D' : [D' l2 D, r2]]</t>
  </si>
  <si>
    <t>[Rw' U' Rw : [D l2 D', r2]]</t>
  </si>
  <si>
    <t>[U' : [D l2 D', r2]]</t>
  </si>
  <si>
    <t>[D' : [l', U r2 U']]</t>
  </si>
  <si>
    <t>[D2 : [U r U', l2]]</t>
  </si>
  <si>
    <t>[U' D : [U' r U, l2]]</t>
  </si>
  <si>
    <t>[U' : [l', U' r2 U]]</t>
  </si>
  <si>
    <t>[Rw' : [r' U' r, u']]</t>
  </si>
  <si>
    <t>[r : [r U2 r', d']]</t>
  </si>
  <si>
    <t>[R y' : [U' l' U, r2]]</t>
  </si>
  <si>
    <t>[y' : [U' l' U, r2]]</t>
  </si>
  <si>
    <t>[4Uw' : [l', U' r2 U]]</t>
  </si>
  <si>
    <t>[Rw' : [r' U' r, u]]</t>
  </si>
  <si>
    <t>[D' Rw : [r U r', u']]</t>
  </si>
  <si>
    <t>[Rw : [r U2 r', d]]</t>
  </si>
  <si>
    <t>[D' : [l, U r2 U']]</t>
  </si>
  <si>
    <t>[D2 : [U r' U', l2]]</t>
  </si>
  <si>
    <t>[D U' : [U' r' U, l2]]</t>
  </si>
  <si>
    <t>[U' : [l, U' r2 U]]</t>
  </si>
  <si>
    <t>[D : [l2, D r2 D']]</t>
  </si>
  <si>
    <t>[Rw' U' Rw : [l2, D' r2 D]]</t>
  </si>
  <si>
    <t>[U' : [l2, D' r2 D]]</t>
  </si>
  <si>
    <t>[D2 : [l', U r2 U']]</t>
  </si>
  <si>
    <t>[D : [U r U', l2]]</t>
  </si>
  <si>
    <t>[U' : [U' r U, l2]]</t>
  </si>
  <si>
    <t>[D' U' : [l', U' r2 U]]</t>
  </si>
  <si>
    <t>[D : [Uw r Uw', l2]]</t>
  </si>
  <si>
    <t>[y' D U : [l, U r2 U']]</t>
  </si>
  <si>
    <t>[Dw : [U r' U', l2]]</t>
  </si>
  <si>
    <t>[Uw' : [U' r' U, l2]]</t>
  </si>
  <si>
    <t>[U l' : [l' U2 l, d]]</t>
  </si>
  <si>
    <t>[D' Rw' : [r' U2 r, u]]</t>
  </si>
  <si>
    <t>[y U : [U l U', r2]]</t>
  </si>
  <si>
    <t>[4Uw' : [U' r U, l2]]</t>
  </si>
  <si>
    <t>[D2 : [l, U r2 U']]</t>
  </si>
  <si>
    <t>[D : [U r' U', l2]]</t>
  </si>
  <si>
    <t>[U' : [U' r' U, l2]]</t>
  </si>
  <si>
    <t>[D' U' : [l, U' r2 U]]</t>
  </si>
  <si>
    <t>[r' u r, U]</t>
  </si>
  <si>
    <t>[U' : [r' u r, U2]]</t>
  </si>
  <si>
    <t>[U : [U, r' u r]]</t>
  </si>
  <si>
    <t>[u, r U r']</t>
  </si>
  <si>
    <t>[Uw' : [U' r U, l]]</t>
  </si>
  <si>
    <t>[F : [l', Uw r Uw']]</t>
  </si>
  <si>
    <t>[l2, Uw r Uw']</t>
  </si>
  <si>
    <t>[r : [u, r U r']]</t>
  </si>
  <si>
    <t>[Rw' : [u', r' U' r]]</t>
  </si>
  <si>
    <t>[D : [l2, Uw r Uw']]</t>
  </si>
  <si>
    <t>[R' y : [l', U' r' U]]</t>
  </si>
  <si>
    <t>[L u : [r U r', u2]]</t>
  </si>
  <si>
    <t>[u : [r U r', u2]]</t>
  </si>
  <si>
    <t>[y' : [U' r U, l]]</t>
  </si>
  <si>
    <t>[l, Uw r Uw']</t>
  </si>
  <si>
    <t>[r' : [r' u r, U]]</t>
  </si>
  <si>
    <t>[R' : [u', r' U2 r]]</t>
  </si>
  <si>
    <t>[u : [r U r', u]]</t>
  </si>
  <si>
    <t>[U : [r' d' r, U]]</t>
  </si>
  <si>
    <t>[r' d' r, U2]</t>
  </si>
  <si>
    <t>[U' : [r' d' r, U']]</t>
  </si>
  <si>
    <t>[R' : [l', Uw r Uw']]</t>
  </si>
  <si>
    <t>[R' : [u, r U r']]</t>
  </si>
  <si>
    <t>[d', r U2 r']</t>
  </si>
  <si>
    <t>[F' : [d', r U2 r']]</t>
  </si>
  <si>
    <t>[R' : [l2, Uw r Uw']]</t>
  </si>
  <si>
    <t>[R' r : [u, r U r']]</t>
  </si>
  <si>
    <t>[r : [d', r U2 r']]</t>
  </si>
  <si>
    <t>[y' D U : [U r2 U', l]]</t>
  </si>
  <si>
    <t>[R d : [r' U r, d2]]</t>
  </si>
  <si>
    <t>[R2 u' : [r' U2 r, u2]]</t>
  </si>
  <si>
    <t>[R' u : [r U r', U2]]</t>
  </si>
  <si>
    <t>[d' : [r U2 r', d2]]</t>
  </si>
  <si>
    <t>[Rw' : [l, Uw r Uw']]</t>
  </si>
  <si>
    <t>[Rw' : [r' u r, U]]</t>
  </si>
  <si>
    <t>[Rw' U' : [r' u r, U2]]</t>
  </si>
  <si>
    <t>[z Lw : [U', l u' l']]</t>
  </si>
  <si>
    <t>[r d r', U]</t>
  </si>
  <si>
    <t>[U' : [r d r', U2]]</t>
  </si>
  <si>
    <t>[U : [U, r d r']]</t>
  </si>
  <si>
    <t>[R2 : [l', Uw r Uw']]</t>
  </si>
  <si>
    <t>[R2 : [u, r U r']]</t>
  </si>
  <si>
    <t>[Rw : [r u' r', U2]]</t>
  </si>
  <si>
    <t>[U : [d', l' U2 l]]</t>
  </si>
  <si>
    <t>[R2 : [l2, Uw r Uw']]</t>
  </si>
  <si>
    <t>[r' : [d, r' U r]]</t>
  </si>
  <si>
    <t>[R y' : [r2, U' l' U]]</t>
  </si>
  <si>
    <t>[Dw : [l2, U r' U']]</t>
  </si>
  <si>
    <t>[z : [l2, Uw r Uw']]</t>
  </si>
  <si>
    <t>[R u' : [r' U2 r, u2]]</t>
  </si>
  <si>
    <t>[R2 u : [r U r', u2]]</t>
  </si>
  <si>
    <t>[z U : [l2, Uw r Uw']]</t>
  </si>
  <si>
    <t>[R2 : [l, Uw r Uw']]</t>
  </si>
  <si>
    <t>[d, r' U r]</t>
  </si>
  <si>
    <t>[R : [u', r' U2 r]]</t>
  </si>
  <si>
    <t>[z' Lw : [U2, l u' l']]</t>
  </si>
  <si>
    <t>[U : [r u' r', U]]</t>
  </si>
  <si>
    <t>[r u' r', U2]</t>
  </si>
  <si>
    <t>[U' : [r u' r', U']]</t>
  </si>
  <si>
    <t>[Rw : [Uw r Uw', l']]</t>
  </si>
  <si>
    <t>[R : [u, r U r']]</t>
  </si>
  <si>
    <t>[Rw U' : [r' u r, U2]]</t>
  </si>
  <si>
    <t>[Uw' : [l', U' r' U]]</t>
  </si>
  <si>
    <t>[R : [l2, Uw r Uw']]</t>
  </si>
  <si>
    <t>[Rw : [u, r U r']]</t>
  </si>
  <si>
    <t>[y' : [r2, U' l' U]]</t>
  </si>
  <si>
    <t>[Uw' : [l2, U' r' U]]</t>
  </si>
  <si>
    <t>[y' : [l', U' r' U]]</t>
  </si>
  <si>
    <t>[u' : [r' U2 r, u2]]</t>
  </si>
  <si>
    <t>[R u : [r U r', u2]]</t>
  </si>
  <si>
    <t>[x' z' : [U l' U', r2]]</t>
  </si>
  <si>
    <t>[Rw : [l, Uw r Uw']]</t>
  </si>
  <si>
    <t>[Uw : [r', U' l' U]]</t>
  </si>
  <si>
    <t>[u', r' U2 r]</t>
  </si>
  <si>
    <t>[R u : [r U r', u]]</t>
  </si>
  <si>
    <t>[r d' r', U]</t>
  </si>
  <si>
    <t>[U' : [r d' r', U2]]</t>
  </si>
  <si>
    <t>[U : [U, r d' r']]</t>
  </si>
  <si>
    <t>[z : [r U r', u]]</t>
  </si>
  <si>
    <t>[Rw : [r d' r', U]]</t>
  </si>
  <si>
    <t>[Rw U' : [r d' r', U2]</t>
  </si>
  <si>
    <t>[z u : [u2, r U r']]</t>
  </si>
  <si>
    <t>[y' : [U' r2 U, l']]</t>
  </si>
  <si>
    <t>[4Uw' : [U' r2 U, l']]</t>
  </si>
  <si>
    <t>[U l' : [d, l' U2 l]]</t>
  </si>
  <si>
    <t>[R' y : [U' r' U, l']]</t>
  </si>
  <si>
    <t>[R d' : [r' U r, d2]]</t>
  </si>
  <si>
    <t>[z : [Uw r Uw', l2]]</t>
  </si>
  <si>
    <t>[y' : [U' r' U, l']]</t>
  </si>
  <si>
    <t>[z u : [u, r U r']]</t>
  </si>
  <si>
    <t>[d', r' U r]</t>
  </si>
  <si>
    <t>[L : [u, r' U2 r]]</t>
  </si>
  <si>
    <t>[z R' : [r' U2 r, u']]</t>
  </si>
  <si>
    <t>[U : [r u r', U]]</t>
  </si>
  <si>
    <t>[U' : [r u r', U']]</t>
  </si>
  <si>
    <t>[U : [u', l' U' l]]</t>
  </si>
  <si>
    <t>[U : [r, Uw' l' Uw]]</t>
  </si>
  <si>
    <t>[Rw : [r u r', U2]]</t>
  </si>
  <si>
    <t>[z U' : [Uw r Uw', r]]</t>
  </si>
  <si>
    <t>[y' U : [U r2 U', l']]</t>
  </si>
  <si>
    <t>[U : [r2, Uw' l' Uw]]</t>
  </si>
  <si>
    <t>[Rw' : [u, r' U' r]]</t>
  </si>
  <si>
    <t>[D' Rw' : [u, r' U2 r]]</t>
  </si>
  <si>
    <t>[L u : [u2, r U r']]</t>
  </si>
  <si>
    <t>[R2 u : [r' U2 r, u2]]</t>
  </si>
  <si>
    <t>[R u : [r' U2 r, u2]]</t>
  </si>
  <si>
    <t>[u : [r' U2 r, u2]]</t>
  </si>
  <si>
    <t>[z : [l U2 l', u']]</t>
  </si>
  <si>
    <t>[U : [r', Uw' l' Uw]]</t>
  </si>
  <si>
    <t>[u, r' U2 r]</t>
  </si>
  <si>
    <t>[U x' : [r U2 r', u']]</t>
  </si>
  <si>
    <t>[r' u' r, U]</t>
  </si>
  <si>
    <t>[U' : [r' u' r, U2]]</t>
  </si>
  <si>
    <t>[U : [U, r' u' r]]</t>
  </si>
  <si>
    <t>[F : [u', r U r']]</t>
  </si>
  <si>
    <t>[u', r U r']</t>
  </si>
  <si>
    <t>[F' : [u', r U r']]</t>
  </si>
  <si>
    <t>[F2 : [u', r U r']]</t>
  </si>
  <si>
    <t>[u' : [l2, U r U']]</t>
  </si>
  <si>
    <t>[r : [u', r U r']]</t>
  </si>
  <si>
    <t>[D' Rw : [u', r U r']]</t>
  </si>
  <si>
    <t>[y U : [r2, U l U']]</t>
  </si>
  <si>
    <t>[u : [u2, r U r']]</t>
  </si>
  <si>
    <t>[R' u' : [r U r', U2]]</t>
  </si>
  <si>
    <t>[R2 u' : [r U r', u2]]</t>
  </si>
  <si>
    <t>[R u' : [r U r', u2]]</t>
  </si>
  <si>
    <t>[z : [l U l', u']]</t>
  </si>
  <si>
    <t>[Rw' : [r' u' r, U]]</t>
  </si>
  <si>
    <t>[Rw' U' : [r' u' r, U2]]</t>
  </si>
  <si>
    <t>[u' : [r U r', u']]</t>
  </si>
  <si>
    <t>[U : [r' d r, U]]</t>
  </si>
  <si>
    <t>[r' d r, U2]</t>
  </si>
  <si>
    <t>[U' : [r' d r, U']]</t>
  </si>
  <si>
    <t>[z : [r U2 r', u]]</t>
  </si>
  <si>
    <t>[L' : [u', r U r']]</t>
  </si>
  <si>
    <t>[d, r U2 r']</t>
  </si>
  <si>
    <t>[z U : [Uw r Uw', l']]</t>
  </si>
  <si>
    <t>[z u : [u2, r U2 r']]</t>
  </si>
  <si>
    <t>[x z : [U l U', r]]</t>
  </si>
  <si>
    <t>[Rw : [d, r U2 r']]</t>
  </si>
  <si>
    <t>[4Uw' : [l2, U' r U]]</t>
  </si>
  <si>
    <t>[y' : [l, U' r U]]</t>
  </si>
  <si>
    <t>[d : [r U2 r', d2]]</t>
  </si>
  <si>
    <t>[z U : [Uw r Uw', l2]]</t>
  </si>
  <si>
    <t>[x' z' : [r2, U l' U']]</t>
  </si>
  <si>
    <t>[y' : [r U' r', d]]</t>
  </si>
  <si>
    <t>[Rw' U : [r' d r, U]]</t>
  </si>
  <si>
    <t>[Rw' : [r' d r, U2]]</t>
  </si>
  <si>
    <t>[L' u' : [r U r', u']]</t>
  </si>
  <si>
    <t>[x' : [l', U r U']]</t>
  </si>
  <si>
    <t>[r' d2 r, U2]</t>
  </si>
  <si>
    <t>[y' : [r' d r, U']]</t>
  </si>
  <si>
    <t>[F : [U r U', l]]</t>
  </si>
  <si>
    <t>[U r U', l]</t>
  </si>
  <si>
    <t>[F' : [U r U', l]]</t>
  </si>
  <si>
    <t>[x' D2 : [l', U r2 U']]</t>
  </si>
  <si>
    <t>[D : [U r2 U', l]]</t>
  </si>
  <si>
    <t>[U r2 U', l]</t>
  </si>
  <si>
    <t>[D' : [U r2 U', l]]</t>
  </si>
  <si>
    <t>[D2 : [U r2 U', l]]</t>
  </si>
  <si>
    <t>[Uw r Uw', l]</t>
  </si>
  <si>
    <t>[Rw' : [Uw r Uw', l]]</t>
  </si>
  <si>
    <t>[R2 : [Uw r Uw', l]]</t>
  </si>
  <si>
    <t>[Rw : [Uw r Uw', l]]</t>
  </si>
  <si>
    <t>[z u : [r U r', u]]</t>
  </si>
  <si>
    <t>[z : [u', l U2 l']]</t>
  </si>
  <si>
    <t>[z : [u', l U l']]</t>
  </si>
  <si>
    <t>[y' : [d, r U' r']]</t>
  </si>
  <si>
    <t>[x' : [U' l' U, r]]</t>
  </si>
  <si>
    <t>[Lw U' : [r', U' l' U]]</t>
  </si>
  <si>
    <t>[U x' : [r, U' l' U]]</t>
  </si>
  <si>
    <t>[l', U r' U']</t>
  </si>
  <si>
    <t>[x' : [U' l' U, r2]]</t>
  </si>
  <si>
    <t>[x' D' : [U' l' U, r2]]</t>
  </si>
  <si>
    <t>[r' U r, d2]</t>
  </si>
  <si>
    <t>[l2, U r' U']</t>
  </si>
  <si>
    <t>[D' : [l2, U r' U']]</t>
  </si>
  <si>
    <t>[D2 : [l2, U r' U']]</t>
  </si>
  <si>
    <t>[D : [l2, U r' U']]</t>
  </si>
  <si>
    <t>[r' : [U, r' u r]]</t>
  </si>
  <si>
    <t>[Rw' : [U, r' u r]]</t>
  </si>
  <si>
    <t>[r' U r, d]</t>
  </si>
  <si>
    <t>[Uw : [U' l' U, r']]</t>
  </si>
  <si>
    <t>[r' U r, d']</t>
  </si>
  <si>
    <t>[U : [Uw' l' Uw, r']]</t>
  </si>
  <si>
    <t>[Rw' : [U, r' u' r]]</t>
  </si>
  <si>
    <t>[Rw' U : [U, r' d r]]</t>
  </si>
  <si>
    <t>[U', l u2 l']</t>
  </si>
  <si>
    <t>[U2, l u2 l']</t>
  </si>
  <si>
    <t>[U, l u2 l']</t>
  </si>
  <si>
    <t>[r' U2 r, u2]</t>
  </si>
  <si>
    <t>[x' U' : [U' l' U, r2]]</t>
  </si>
  <si>
    <t>[U' x' : [U l' U', r2]]</t>
  </si>
  <si>
    <t>[U' : [l', U' r' U]]</t>
  </si>
  <si>
    <t>[U' D' : [l2, U' r' U]]</t>
  </si>
  <si>
    <t>[x' U' : [U' l' U, r']]</t>
  </si>
  <si>
    <t>[D U' : [l2, U' r' U]]</t>
  </si>
  <si>
    <t>[U' : [l2, U' r' U]]</t>
  </si>
  <si>
    <t>[R' : [r' U2 r, u']]</t>
  </si>
  <si>
    <t>[Rw' U : [r' u r, U2]]</t>
  </si>
  <si>
    <t>[R : [r' U2 r, u']]</t>
  </si>
  <si>
    <t>[r' U2 r, u']</t>
  </si>
  <si>
    <t>[L : [r' U2 r, u]]</t>
  </si>
  <si>
    <t>[r' U2 r, u]</t>
  </si>
  <si>
    <t>[Rw' U : [r' u' r, U2]]</t>
  </si>
  <si>
    <t>[Rw' : [U2, r' d r]]</t>
  </si>
  <si>
    <t>[r' u2 r, U]</t>
  </si>
  <si>
    <t>[U' : [r' u2 r, U2]]</t>
  </si>
  <si>
    <t>[Uw : [U, r' u r]]</t>
  </si>
  <si>
    <t>[F : [u2, r U r']]</t>
  </si>
  <si>
    <t>[u2, r U r']</t>
  </si>
  <si>
    <t>[U' : [U' r U, l]]</t>
  </si>
  <si>
    <t>[F2 : [u2, r U r']]</t>
  </si>
  <si>
    <t>[D Rw : [u2, r U r']]</t>
  </si>
  <si>
    <t>[Rw : [u2, r U r']]</t>
  </si>
  <si>
    <t>[U' : [U' r2 U, l]]</t>
  </si>
  <si>
    <t>[D' U' : [U' r2 U, l]]</t>
  </si>
  <si>
    <t>[u : [u, r U r']]</t>
  </si>
  <si>
    <t>[z Lw : [l u' l', U']]</t>
  </si>
  <si>
    <t>[z' Lw : [l u' l', U2]]</t>
  </si>
  <si>
    <t>[R u : [u, r U r']]</t>
  </si>
  <si>
    <t>[z R' : [u', r' U2 r]]</t>
  </si>
  <si>
    <t>[U x' : [u', r U2 r']]</t>
  </si>
  <si>
    <t>[u' : [u', r U r']]</t>
  </si>
  <si>
    <t>[L' u' : [u', r U r']]</t>
  </si>
  <si>
    <t>PROGRESS (440 TOTAL)</t>
  </si>
  <si>
    <t>sub-1.0</t>
  </si>
  <si>
    <t>sub-1.5</t>
  </si>
  <si>
    <t>sub-2</t>
  </si>
  <si>
    <t>sub-2.5</t>
  </si>
  <si>
    <t>sub-3</t>
  </si>
  <si>
    <t>BADDDD</t>
  </si>
  <si>
    <t>^^^ REFERRING TO 5X5 TIMES</t>
  </si>
  <si>
    <t>A (UB)</t>
  </si>
  <si>
    <t>B (UR)</t>
  </si>
  <si>
    <t>C (UF)</t>
  </si>
  <si>
    <t>E (FU)</t>
  </si>
  <si>
    <t>F (FR)</t>
  </si>
  <si>
    <t>G (FD)</t>
  </si>
  <si>
    <t>H (FL)</t>
  </si>
  <si>
    <t>I (DF)</t>
  </si>
  <si>
    <t>J (DR)</t>
  </si>
  <si>
    <t>K (DB)</t>
  </si>
  <si>
    <t>L (DL)</t>
  </si>
  <si>
    <t>M (RB)</t>
  </si>
  <si>
    <t>N (RD)</t>
  </si>
  <si>
    <t>O (RF)</t>
  </si>
  <si>
    <t>P (RU)</t>
  </si>
  <si>
    <t>Q (LB)</t>
  </si>
  <si>
    <t>R (LU)</t>
  </si>
  <si>
    <t>S (LF)</t>
  </si>
  <si>
    <t>T (LD)</t>
  </si>
  <si>
    <t>U (BD)</t>
  </si>
  <si>
    <t>V (BR)</t>
  </si>
  <si>
    <t>W (BU)</t>
  </si>
  <si>
    <t>Y (BL)</t>
  </si>
  <si>
    <t>[Lw : [U' l' U, M']]</t>
  </si>
  <si>
    <t>[3Rw' U : [U r2 U', M']]</t>
  </si>
  <si>
    <t>[Lw U' : [l', U' M' U]]</t>
  </si>
  <si>
    <t>[3Rw' : [l', U M' U']]</t>
  </si>
  <si>
    <t>[U' : [M' u2 M, U']]</t>
  </si>
  <si>
    <t>[D : [U, M u2 M']]</t>
  </si>
  <si>
    <t>[U, M u2 M']</t>
  </si>
  <si>
    <t>[D' : [U, M u2 M']]</t>
  </si>
  <si>
    <t>[Rw' : [U, M u M']]</t>
  </si>
  <si>
    <t>[U, M' d M]</t>
  </si>
  <si>
    <t>[U2 : [r E r', U']]</t>
  </si>
  <si>
    <t>[U, M u M']</t>
  </si>
  <si>
    <t>[U2 : [r E' r', U']]</t>
  </si>
  <si>
    <t>[U, M u' M']</t>
  </si>
  <si>
    <t>[U2 : [r' E r, U']]</t>
  </si>
  <si>
    <t>[U, M' d' M]</t>
  </si>
  <si>
    <t>[Lw : [U' l' U, M]]</t>
  </si>
  <si>
    <t>[x' U' : [M', U' l' U]]</t>
  </si>
  <si>
    <t>[Uw : [M u M', U']]</t>
  </si>
  <si>
    <t>[x' : [l', U M' U']]</t>
  </si>
  <si>
    <t>[Rw' U : [M', U r U']]</t>
  </si>
  <si>
    <t>[3Uw U : [r E r, U2]]</t>
  </si>
  <si>
    <t>[Rw' U' : [M', U' r U]]</t>
  </si>
  <si>
    <t>[3Uw U : [r E' r', U2]]</t>
  </si>
  <si>
    <t>[U' : [M' u2 M, U2]]</t>
  </si>
  <si>
    <t>[U' D' : [M' u2 M, U2]]</t>
  </si>
  <si>
    <t>[U : [M u2 M', U2]]</t>
  </si>
  <si>
    <t>[U' D : [M' u2 M, U2]]</t>
  </si>
  <si>
    <t>[U2, r' E' r]</t>
  </si>
  <si>
    <t>[U' : [M d' M', U2]]</t>
  </si>
  <si>
    <t>[U2, r E r']</t>
  </si>
  <si>
    <t>[U : [M u M', U2]]</t>
  </si>
  <si>
    <t>[U2, r E' r']</t>
  </si>
  <si>
    <t>[U : [M u' M', U2]]</t>
  </si>
  <si>
    <t>[U2, r' E r]</t>
  </si>
  <si>
    <t>[U' : [M d M', U2]]</t>
  </si>
  <si>
    <t>[Rw' U : [M, U r U']]</t>
  </si>
  <si>
    <t>[3Uw U : [r E r', U2]]</t>
  </si>
  <si>
    <t>[Rw' U' : [M, U' r U]]</t>
  </si>
  <si>
    <t>[3Uw U : [r' E' r, U2]]</t>
  </si>
  <si>
    <t>[U2 Rw' : [U r U', M']]</t>
  </si>
  <si>
    <t>[M U' : [U' r U, M']]</t>
  </si>
  <si>
    <t>[Lw : [U l' U', M']]</t>
  </si>
  <si>
    <t>[3Rw' : [l', U' M' U]]</t>
  </si>
  <si>
    <t>[U', M' u2 M]</t>
  </si>
  <si>
    <t>[D' : [U', M' u2 M]]</t>
  </si>
  <si>
    <t>[U : [M u2 M', U]]</t>
  </si>
  <si>
    <t>[D : [U', M' u2 M]]</t>
  </si>
  <si>
    <t>[U2 : [r' E' r, U]]</t>
  </si>
  <si>
    <t>[U', M d' M']</t>
  </si>
  <si>
    <t>[U2 : [r E r', U]]</t>
  </si>
  <si>
    <t>[U', M' u' M]</t>
  </si>
  <si>
    <t>[U2 : [r E' r', U]]</t>
  </si>
  <si>
    <t>[U', M' u M]</t>
  </si>
  <si>
    <t>[U2 : [r' E r, U]]</t>
  </si>
  <si>
    <t>[U', M d M']</t>
  </si>
  <si>
    <t>[Lw U : [l', U M U']]</t>
  </si>
  <si>
    <t>[x' U : [M', U l' U']]</t>
  </si>
  <si>
    <t>[x' : [M', U l' U']]</t>
  </si>
  <si>
    <t>[3Rw' : [l, U' M' U]]</t>
  </si>
  <si>
    <t>[Lw : [M', U' l' U]]</t>
  </si>
  <si>
    <t>[Rw' U : [U r U', M']]</t>
  </si>
  <si>
    <t>[Lw U : [U M' U', l']]</t>
  </si>
  <si>
    <t>[D' : [l2, U' M' U]]</t>
  </si>
  <si>
    <t>[U : [U r2 U', M']]</t>
  </si>
  <si>
    <t>[D : [l2, U M' U']]</t>
  </si>
  <si>
    <t>[l2, U M' U']</t>
  </si>
  <si>
    <t>[Rw' : [M' U M, u]]</t>
  </si>
  <si>
    <t>[Rw2 : [M' U M, u]]</t>
  </si>
  <si>
    <t>[Rw : [M' U M, u]]</t>
  </si>
  <si>
    <t>[M' U M, u]</t>
  </si>
  <si>
    <t>[3Dw : [l', U M' U']]</t>
  </si>
  <si>
    <t>[M' U M, u']</t>
  </si>
  <si>
    <t>[3Dw' : [l, U M' U']]</t>
  </si>
  <si>
    <t>[z Uw : [Uw r Uw', M']]</t>
  </si>
  <si>
    <t>[x' : [M2, U' l' U]]</t>
  </si>
  <si>
    <t>[U : [U r' U', M']]</t>
  </si>
  <si>
    <t>[M' U M, u2]</t>
  </si>
  <si>
    <t>[l, U M' U']</t>
  </si>
  <si>
    <t>[M U : [M', U r U']]</t>
  </si>
  <si>
    <t>[3Uw U' : [r E r, U2]]</t>
  </si>
  <si>
    <t>[3Rw' U' : [M', U' r2 U]]</t>
  </si>
  <si>
    <t>[U : [M2, U r U']]</t>
  </si>
  <si>
    <t>[D' U : [M2, U r U']]</t>
  </si>
  <si>
    <t>[U' : [M2, U' r U]]</t>
  </si>
  <si>
    <t>[U D : [M2, U r U']]</t>
  </si>
  <si>
    <t>[r U2 r', E']</t>
  </si>
  <si>
    <t>[Dw' U' : [M', U' r U]]</t>
  </si>
  <si>
    <t>[3Rw U : [M u M', U2]]</t>
  </si>
  <si>
    <t>[Uw : [M', Uw r Uw']]</t>
  </si>
  <si>
    <t>[Rw : [U2, r E' r']]</t>
  </si>
  <si>
    <t>[u' U : [M', Uw r Uw']]</t>
  </si>
  <si>
    <t>[r U2 r', E]</t>
  </si>
  <si>
    <t>[Dw U' : [M', U' r U]]</t>
  </si>
  <si>
    <t>[U : [M, U r U']]</t>
  </si>
  <si>
    <t>[F' U : [U r' U', M']]</t>
  </si>
  <si>
    <t>[U' : [M, U' r U]]</t>
  </si>
  <si>
    <t>[F' : [l, U M' U']]</t>
  </si>
  <si>
    <t xml:space="preserve"> </t>
  </si>
  <si>
    <t>Alg</t>
  </si>
  <si>
    <t>Corresponding targets or Gen'ed</t>
  </si>
  <si>
    <t>Best single time</t>
  </si>
  <si>
    <t># of regrips</t>
  </si>
  <si>
    <t>A (DF-BU)</t>
  </si>
  <si>
    <t>[Lw U' : [U' M' U, l']]</t>
  </si>
  <si>
    <t>DF-LU-BU (DA)</t>
  </si>
  <si>
    <t>[Rw' U' : [U' r U, M']]</t>
  </si>
  <si>
    <t>B (DF-RU)</t>
  </si>
  <si>
    <t>[Lw : [M', U l' U']]</t>
  </si>
  <si>
    <t>M' U r' F R S R' F' R S' U'</t>
  </si>
  <si>
    <t>DF-FU-UB-UL-RU + DF-BU-UF (CWRB+AE)</t>
  </si>
  <si>
    <t>[U' : [U' r2 U, M']]</t>
  </si>
  <si>
    <t>C (DF-FU)</t>
  </si>
  <si>
    <t>[x : [U l U', M']]</t>
  </si>
  <si>
    <t>U M' U' l F' L' S' L F L' S</t>
  </si>
  <si>
    <t>DF-RU-UL-UB-FU + FU-UL-RU (BRWC+ FU float RB)</t>
  </si>
  <si>
    <t>[l2, U' M' U]</t>
  </si>
  <si>
    <t>D (DF-LU)</t>
  </si>
  <si>
    <t>[3Uw' : [U l U', M']]</t>
  </si>
  <si>
    <t>DF-BU-LU (AD)</t>
  </si>
  <si>
    <t>[M' U' M, d']</t>
  </si>
  <si>
    <t>[3Uw' : [U' r' U, M']]</t>
  </si>
  <si>
    <t>E (DF-UF)</t>
  </si>
  <si>
    <t>(r2 U' R2 B2)2</t>
  </si>
  <si>
    <t>[M' : [U', M' u' M]]</t>
  </si>
  <si>
    <t>[3Uw' : [U l' U', M']]</t>
  </si>
  <si>
    <t>F (DF-RF)</t>
  </si>
  <si>
    <t>[3Rw : [U, M' u M]]</t>
  </si>
  <si>
    <t>r U r' F R S R' F' R S' U' R'</t>
  </si>
  <si>
    <t>[3Uw' : [U' r U, M']]</t>
  </si>
  <si>
    <t>[M' U' M, d]</t>
  </si>
  <si>
    <t>[F : [U M U', l']]</t>
  </si>
  <si>
    <t>H (DF-LF)</t>
  </si>
  <si>
    <t>[E R' : S' M' U M U2 S U]</t>
  </si>
  <si>
    <t>[U' : [U' r' U, M']]</t>
  </si>
  <si>
    <t>E R' setup to DR alg</t>
  </si>
  <si>
    <t>[x' : [M2, U l' U']]</t>
  </si>
  <si>
    <t>[l, U' M' U]</t>
  </si>
  <si>
    <t>J (DF-RD)</t>
  </si>
  <si>
    <t>[R : r U r' F R S R' F' R S' U' R']</t>
  </si>
  <si>
    <t>R setup to RF alg</t>
  </si>
  <si>
    <t>K (DF-BD)</t>
  </si>
  <si>
    <t>M' U M' U' M U M U'</t>
  </si>
  <si>
    <t>L (DF-LD)</t>
  </si>
  <si>
    <t>[S U : [M', U2]] (U M' U M)2</t>
  </si>
  <si>
    <t>DF-LD-LU + DF-BU-LU (LD+AD)</t>
  </si>
  <si>
    <t>M (DF-BR)</t>
  </si>
  <si>
    <t>[R : S' M' U M U2 S U]</t>
  </si>
  <si>
    <t>R setup to DR alg</t>
  </si>
  <si>
    <t>N (DF-DR)</t>
  </si>
  <si>
    <t>S' M' U M U2 S U</t>
  </si>
  <si>
    <t>O (DF-FR)</t>
  </si>
  <si>
    <t>[R' : S' M' U M U2 S U]</t>
  </si>
  <si>
    <t>R' setup to DR alg</t>
  </si>
  <si>
    <t>P (DF-UR)</t>
  </si>
  <si>
    <t>[R2 : S' M' U M U2 S U]</t>
  </si>
  <si>
    <t>R2 setup to DR alg</t>
  </si>
  <si>
    <t>Q (DF-BL)</t>
  </si>
  <si>
    <t>U L' U' M' U2 S U' S' l U'</t>
  </si>
  <si>
    <t>U L' U' setup to DL alg, hella cancellations!</t>
  </si>
  <si>
    <t>R (DF-UL)</t>
  </si>
  <si>
    <t>cancel to U perm (DF-UB-UL)</t>
  </si>
  <si>
    <t>S (DF-FL)</t>
  </si>
  <si>
    <t>[E : r U r' F R S R' F' R S' U' R']</t>
  </si>
  <si>
    <t>E setup to RF alg</t>
  </si>
  <si>
    <t>T (DF-DL)</t>
  </si>
  <si>
    <t>M' U2 S U' S' M U'</t>
  </si>
  <si>
    <t>U (DF-DB)</t>
  </si>
  <si>
    <t>M2 U M2 U2 M' U2 M' U M2 U2</t>
  </si>
  <si>
    <t>V (DF-RB)</t>
  </si>
  <si>
    <t>R' M' U r' F R S R' F' R S' U' R</t>
  </si>
  <si>
    <t>R' setup to RU alg</t>
  </si>
  <si>
    <t>W (DF-UB)</t>
  </si>
  <si>
    <t>[3Rw' : [U M' U', l']]</t>
  </si>
  <si>
    <t>cancel to U perm (DF-UL-UB)</t>
  </si>
  <si>
    <t>[3Uw U' : [r E' r', U2]]</t>
  </si>
  <si>
    <t>Y (DF-LB)</t>
  </si>
  <si>
    <t>[3Rw' : [U' M' U, l']]</t>
  </si>
  <si>
    <t>[E' R : S' M' U M U2 S U]</t>
  </si>
  <si>
    <t>E' R setup to DR alg</t>
  </si>
  <si>
    <t>[U M2 U', l']</t>
  </si>
  <si>
    <t>Averages:</t>
  </si>
  <si>
    <t>[D' : [U M2 U', l']]</t>
  </si>
  <si>
    <t>[U' M2 U, l']</t>
  </si>
  <si>
    <t>[D : [U M2 U', l']]</t>
  </si>
  <si>
    <t>[R' : [Uw M' Uw', l']]</t>
  </si>
  <si>
    <t>[z' : [d, M' U M]]</t>
  </si>
  <si>
    <t>[3Rw : [Uw M' Uw', l']]</t>
  </si>
  <si>
    <t>[Uw M' Uw', l']</t>
  </si>
  <si>
    <t>[U : [l' U' l, E]]</t>
  </si>
  <si>
    <t>[u : [U' M U, l']]</t>
  </si>
  <si>
    <t>[z U : [u, M' U M]]</t>
  </si>
  <si>
    <t>[Dw : [U' M' U, l']]</t>
  </si>
  <si>
    <t>[U M U', l']</t>
  </si>
  <si>
    <t>[E2, r' U2 r]</t>
  </si>
  <si>
    <t>[U' M U, l']</t>
  </si>
  <si>
    <t>[F : [U' l U, M']]</t>
  </si>
  <si>
    <t>[U2 : [M' u2 M, U]]</t>
  </si>
  <si>
    <t>[U : [M' u2 M, U2]]</t>
  </si>
  <si>
    <t>[M' u2 M, U']</t>
  </si>
  <si>
    <t>[D' : [l2, U' M' U, l2]]</t>
  </si>
  <si>
    <t>[U : [U r U', M2]]</t>
  </si>
  <si>
    <t>[D' : [U' M' U, l2]]</t>
  </si>
  <si>
    <t>[l', U M2 U']</t>
  </si>
  <si>
    <t>[3Uw : [U r U', M2]]</t>
  </si>
  <si>
    <t>[3Rw2 : [U, M u M']]</t>
  </si>
  <si>
    <t>[3Rw : [M' U M, u]]</t>
  </si>
  <si>
    <t>[M' : [M' U M, u]]</t>
  </si>
  <si>
    <t>[3Uw : [U r' U', M2]]</t>
  </si>
  <si>
    <t>[M' : [M' U M, u']]</t>
  </si>
  <si>
    <t>[3Uw : [U' l U, M2]]</t>
  </si>
  <si>
    <t>[3Rw' : [M U M', d']]</t>
  </si>
  <si>
    <t>[D' : [U M U', l2]]</t>
  </si>
  <si>
    <t>[3Rw U : [U r2 U', M']]</t>
  </si>
  <si>
    <t>[U' D : [M, U' r2 U]]</t>
  </si>
  <si>
    <t>[l, U M2 U']</t>
  </si>
  <si>
    <t>[D : [M u2 M', U]]</t>
  </si>
  <si>
    <t>[U D' : [M' u2 M, U2]]</t>
  </si>
  <si>
    <t>[D' : [M' u2 M, U']]</t>
  </si>
  <si>
    <t>[U : [M', U r2 U']]</t>
  </si>
  <si>
    <t>[D' U : [U r U', M2]]</t>
  </si>
  <si>
    <t>[U' : [M', U' r2 U]]</t>
  </si>
  <si>
    <t>[D' : [l', U M2 U']]</t>
  </si>
  <si>
    <t>[y : [U r U', M2]]</t>
  </si>
  <si>
    <t>[Rw2 U : [M u M', U2]]</t>
  </si>
  <si>
    <t>[y' : [U' r' U, M2]]</t>
  </si>
  <si>
    <t>[Uw : [M', Uw r2 Uw']]</t>
  </si>
  <si>
    <t>[y : [U r' U', M2]]</t>
  </si>
  <si>
    <t>[D' 3Rw : [M' U M, u']]</t>
  </si>
  <si>
    <t>[y' : [U' r U, M2]]</t>
  </si>
  <si>
    <t>[4Uw' : [M', U' r2 U]]</t>
  </si>
  <si>
    <t>[U : [M, U r2 U']]</t>
  </si>
  <si>
    <t>[U' D : [U' r' U, M2]]</t>
  </si>
  <si>
    <t>[U' : [M, U' r2 U]]</t>
  </si>
  <si>
    <t>[D' : [l, U M2 U']]</t>
  </si>
  <si>
    <t>[M u2 M', U]</t>
  </si>
  <si>
    <t>[U' : [M u2 M', U2]]</t>
  </si>
  <si>
    <t>[U2 : [M u2 M', U']]</t>
  </si>
  <si>
    <t>[D : [U M' U', l2]]</t>
  </si>
  <si>
    <t>[U' : [U' r U, M2]]</t>
  </si>
  <si>
    <t>[x : [M', U l U']]</t>
  </si>
  <si>
    <t>[l', U' M2 U]</t>
  </si>
  <si>
    <t>[3Rw' : [M U' M', u']]</t>
  </si>
  <si>
    <t>[3Rw2 : [U', M' u' M]]</t>
  </si>
  <si>
    <t>[3Uw' : [U' r' U, M2]]</t>
  </si>
  <si>
    <t>[y : [U r2 U', M']]</t>
  </si>
  <si>
    <t>[3Uw' : [U l' U', M2]]</t>
  </si>
  <si>
    <t>[M : [M U' M', u]]</t>
  </si>
  <si>
    <t>[3Uw' : [U' r U, M2]]</t>
  </si>
  <si>
    <t>[y : [M, U r2 U']]</t>
  </si>
  <si>
    <t>[U D' : [M, U r2 U']]</t>
  </si>
  <si>
    <t>[U' : [U' r' U, M2]]</t>
  </si>
  <si>
    <t>[x' : [M, U l' U']]</t>
  </si>
  <si>
    <t>[l, U' M2 U]</t>
  </si>
  <si>
    <t>[U D : [M' u2 M, U2]]</t>
  </si>
  <si>
    <t>[D : [M' u2 M, U']]</t>
  </si>
  <si>
    <t>[U M' U', l2]</t>
  </si>
  <si>
    <t>[U D : [U r U', M2]]</t>
  </si>
  <si>
    <t>[U' M' U, l2]</t>
  </si>
  <si>
    <t>[D : [l', U M2 U']]</t>
  </si>
  <si>
    <t>[R' : [Uw M' Uw', l2]]</t>
  </si>
  <si>
    <t>[d' : [U' M' U, l2]]</t>
  </si>
  <si>
    <t>[R : [Uw M' Uw', l2]]</t>
  </si>
  <si>
    <t>[Uw M' Uw', l2]</t>
  </si>
  <si>
    <t>[z Uw : [M' U' M, u2]]</t>
  </si>
  <si>
    <t>[u' : [U M' U', l2]]</t>
  </si>
  <si>
    <t>[z Uw : [M' U M, u2]]</t>
  </si>
  <si>
    <t>[z u : [M' U M, u2]]</t>
  </si>
  <si>
    <t>[U M U', l2]</t>
  </si>
  <si>
    <t>[U D : [U r' U', M2]]</t>
  </si>
  <si>
    <t>[U' M U, l2]</t>
  </si>
  <si>
    <t>[D : [l, U M2 U']]</t>
  </si>
  <si>
    <t>[U : [r' E' r, U]]</t>
  </si>
  <si>
    <t>[r' E' r, U2]</t>
  </si>
  <si>
    <t>[U' : [r' E' r, U']]</t>
  </si>
  <si>
    <t>[R' : [u, M' U M]]</t>
  </si>
  <si>
    <t>[E', r U2 r']</t>
  </si>
  <si>
    <t>[3Uw' : [M', U l U']]</t>
  </si>
  <si>
    <t>[R' : [l', Uw M' Uw']]</t>
  </si>
  <si>
    <t>[3Uw : [M2, U r U']]</t>
  </si>
  <si>
    <t>[y : [M2, U r U']]</t>
  </si>
  <si>
    <t>[3Rw' : [u', M U' M']]</t>
  </si>
  <si>
    <t>[R' : [l2, Uw M' Uw']]</t>
  </si>
  <si>
    <t>[R' 3Uw : [U r' U', M']]</t>
  </si>
  <si>
    <t>[R' u : [M' U M, u2]]</t>
  </si>
  <si>
    <t>[3Uw : [r U r', E2]]</t>
  </si>
  <si>
    <t>[y : [M, U r U']]</t>
  </si>
  <si>
    <t>[3Rw' : [M u M', U]]</t>
  </si>
  <si>
    <t>[Rw' U' : [M u M', U2]]</t>
  </si>
  <si>
    <t>[3Rw' : [M' u' M, U']]</t>
  </si>
  <si>
    <t>[3Rw' : [l, Uw M' Uw']]</t>
  </si>
  <si>
    <t>[M' d M, U]</t>
  </si>
  <si>
    <t>[U : [M d' M', U2]]</t>
  </si>
  <si>
    <t>[M d' M', U']</t>
  </si>
  <si>
    <t>[R2 : [u, M' U M]]</t>
  </si>
  <si>
    <t>[R' : [E', r U2 r']]</t>
  </si>
  <si>
    <t>[d', M' U' M]</t>
  </si>
  <si>
    <t>[z' : [M' U M, d]]</t>
  </si>
  <si>
    <t>[3Rw2 : [M u M', U]]</t>
  </si>
  <si>
    <t>[Rw2 U' : [M u M', U2]]</t>
  </si>
  <si>
    <t>[3Rw2 : [M' u' M, U']]</t>
  </si>
  <si>
    <t>[d' : [l2, U' M' U]]</t>
  </si>
  <si>
    <t>[y U : [r', U M' U']]</t>
  </si>
  <si>
    <t>[R2 u : [M' U M', u2]]</t>
  </si>
  <si>
    <t>[y' U' : [r, U' M U]]</t>
  </si>
  <si>
    <t>[d' : [M' U' M, d2]]</t>
  </si>
  <si>
    <t>[d, M U M']</t>
  </si>
  <si>
    <t>[Rw' : [r' E' r, U2]]</t>
  </si>
  <si>
    <t>[M : [M d' M', U']]</t>
  </si>
  <si>
    <t>[Dw' : [l, U' M' U]]</t>
  </si>
  <si>
    <t>[U : [r E r', U]]</t>
  </si>
  <si>
    <t>[r E r', U2]</t>
  </si>
  <si>
    <t>[U' : [r E r', U']]</t>
  </si>
  <si>
    <t>[3Rw : [M u M', U]]</t>
  </si>
  <si>
    <t>[3Rw U' : [M u M', U2]]</t>
  </si>
  <si>
    <t>[3Uw' : [M', U' r' U]]</t>
  </si>
  <si>
    <t>[3Rw : [l', Uw M' Uw']]</t>
  </si>
  <si>
    <t>[3Rw : [u, M' U M]]</t>
  </si>
  <si>
    <t>[y' : [M2, U' r' U]]</t>
  </si>
  <si>
    <t>[3Uw' : [M2, U' r' U]]</t>
  </si>
  <si>
    <t>[R : [l2, Uw M' Uw']]</t>
  </si>
  <si>
    <t>[R y : [U r' U', M']]</t>
  </si>
  <si>
    <t>[R u : [M U M', u2]]</t>
  </si>
  <si>
    <t>[R y' : [U' r U, M]]</t>
  </si>
  <si>
    <t>[y' : [M', U' r' U]]</t>
  </si>
  <si>
    <t>[3Uw : [U' l' U, M]]</t>
  </si>
  <si>
    <t>[E, r' U2 r]</t>
  </si>
  <si>
    <t>[R : [u', M U' M']]</t>
  </si>
  <si>
    <t>[R : [l, Uw M' Uw']]</t>
  </si>
  <si>
    <t>[M u M', U]</t>
  </si>
  <si>
    <t>[U' : [M u M', U2]]</t>
  </si>
  <si>
    <t>[M' u' M, U']</t>
  </si>
  <si>
    <t>[u, M' U M]</t>
  </si>
  <si>
    <t>[Uw : [Uw r Uw', M']]</t>
  </si>
  <si>
    <t>[M' : [M' u' M, U']]</t>
  </si>
  <si>
    <t>[l', Uw M' Uw']</t>
  </si>
  <si>
    <t>[M' : [u, M' U M]]</t>
  </si>
  <si>
    <t>[Uw : [Uw r2 Uw', M']]</t>
  </si>
  <si>
    <t>[y : [M', U r2 U']]</t>
  </si>
  <si>
    <t>[l2, Uw M' Uw']</t>
  </si>
  <si>
    <t>[3Uw : [U r' U', M']]</t>
  </si>
  <si>
    <t>[u : [M' U M, u2]]</t>
  </si>
  <si>
    <t>[3Uw' : [U' r U, M]]</t>
  </si>
  <si>
    <t>[z Uw : [U r2 U', M']]</t>
  </si>
  <si>
    <t>[M : [M u M', U]]</t>
  </si>
  <si>
    <t>[Uw : [U r' U', M']]</t>
  </si>
  <si>
    <t>[u', M U' M']</t>
  </si>
  <si>
    <t>[l, Uw M' Uw']</t>
  </si>
  <si>
    <t>[U : [r E' r', U]]</t>
  </si>
  <si>
    <t>[r E' r', U2]</t>
  </si>
  <si>
    <t>[U' : [r E' r', U']]</t>
  </si>
  <si>
    <t>[L : [u', M' U M]]</t>
  </si>
  <si>
    <t>[Rw : [r E' r', U2]]</t>
  </si>
  <si>
    <t>[3Uw' : [M', U l' U']]</t>
  </si>
  <si>
    <t>[U : [E, l' U' l]]</t>
  </si>
  <si>
    <t>[3Uw : [M2, U r' U']]</t>
  </si>
  <si>
    <t>[y : [M2, U r' U']]</t>
  </si>
  <si>
    <t>[3Uw' : [M2, U l' U']]</t>
  </si>
  <si>
    <t>[z Uw : [u2, M' U' M]]</t>
  </si>
  <si>
    <t>[R' 3Uw : [M', U r' U']]</t>
  </si>
  <si>
    <t>[y U : [U M' U', r']]</t>
  </si>
  <si>
    <t>[R y : [M', U r' U']]</t>
  </si>
  <si>
    <t>[3Uw : [M', U r' U']]</t>
  </si>
  <si>
    <t>[3Uw : [M, U r' U']]</t>
  </si>
  <si>
    <t>[E', r' U2 r]</t>
  </si>
  <si>
    <t>[3Dw : [U' M U, l']]</t>
  </si>
  <si>
    <t>[z U : [M U M', u']]</t>
  </si>
  <si>
    <t>[M u' M', U]</t>
  </si>
  <si>
    <t>[U' : [M u' M', U2]]</t>
  </si>
  <si>
    <t>[M' u M, U']</t>
  </si>
  <si>
    <t>[u', M' U M]</t>
  </si>
  <si>
    <t>[u' U : [Uw r Uw', M']]</t>
  </si>
  <si>
    <t>[3Rw : [M' u M, U]]</t>
  </si>
  <si>
    <t>[u : [l', U' M U]]</t>
  </si>
  <si>
    <t>[M' : [u', M' U M]]</t>
  </si>
  <si>
    <t>[D' 3Rw : [u', M' U M]]</t>
  </si>
  <si>
    <t>[M : [u, M U' M']]</t>
  </si>
  <si>
    <t>[u' : [l2, U M' U']]</t>
  </si>
  <si>
    <t>[R' u : [u2, M' U M]]</t>
  </si>
  <si>
    <t>[R2 u' : [M' U M', u2]]</t>
  </si>
  <si>
    <t>[R u' : [M U M', u2]]</t>
  </si>
  <si>
    <t>[u' : [M' U M, u2]]</t>
  </si>
  <si>
    <t>[3Rw' : [M u' M', U]]</t>
  </si>
  <si>
    <t>[Rw' U' : [M u' M', U2]]</t>
  </si>
  <si>
    <t>[u, M U' M']</t>
  </si>
  <si>
    <t>[z : [M U M', u']]</t>
  </si>
  <si>
    <t>[U : [r' E r, U]]</t>
  </si>
  <si>
    <t>[r' E r, U2]</t>
  </si>
  <si>
    <t>[U' : [r' E r, U']]</t>
  </si>
  <si>
    <t>[L' : [u', M' U M]]</t>
  </si>
  <si>
    <t>[E, r U2 r']</t>
  </si>
  <si>
    <t>[3Uw' : [M', U' r U]]</t>
  </si>
  <si>
    <t>[z U : [M' U M, u]]</t>
  </si>
  <si>
    <t>[3Uw : [M2, U' l U]]</t>
  </si>
  <si>
    <t>[y' : [M2, U' r U]]</t>
  </si>
  <si>
    <t>[3Uw' : [M2, U' r U]]</t>
  </si>
  <si>
    <t>[z Uw : [u2, M' U M]]</t>
  </si>
  <si>
    <t>[3Uw : [E2, r U r']]</t>
  </si>
  <si>
    <t>[y' U' : [U' M U, r]]</t>
  </si>
  <si>
    <t>[R y' : [M, U' r U]]</t>
  </si>
  <si>
    <t>[3Uw' : [M, U' r U]]</t>
  </si>
  <si>
    <t>[u E' : [U M U', l]]</t>
  </si>
  <si>
    <t>[Rw' : [r' E r, U2]]</t>
  </si>
  <si>
    <t>[L' : [u, M U' M']]</t>
  </si>
  <si>
    <t>[3Uw' : [r U' r', E]]</t>
  </si>
  <si>
    <t>[M' d' M, U]</t>
  </si>
  <si>
    <t>[U : [M d M', U2]]</t>
  </si>
  <si>
    <t>[M d M', U']</t>
  </si>
  <si>
    <t>[z Uw : [M', Uw r Uw']]</t>
  </si>
  <si>
    <t>[Rw U : [M d M', U2]]</t>
  </si>
  <si>
    <t>[d, M' U' M]</t>
  </si>
  <si>
    <t>[Dw : [l', U' M' U]]</t>
  </si>
  <si>
    <t>[3Rw' : [d', M U M']]</t>
  </si>
  <si>
    <t>[4Uw' : [U' r2 U, M']]</t>
  </si>
  <si>
    <t>[y : [U r2 U', M]]</t>
  </si>
  <si>
    <t>[z u : [u2, M' U M]]</t>
  </si>
  <si>
    <t>[y : [U r U', M]]</t>
  </si>
  <si>
    <t>[d : [M' U' M, d2]]</t>
  </si>
  <si>
    <t>[y' : [U' r' U, M']]</t>
  </si>
  <si>
    <t>[z Uw : [M', U r2 U']]</t>
  </si>
  <si>
    <t>[d', M U M']</t>
  </si>
  <si>
    <t>[Rw' U : [M d M', U2]]</t>
  </si>
  <si>
    <t>[3Rw' : [M d M', U']]</t>
  </si>
  <si>
    <t>[z : [M U' M', u']]</t>
  </si>
  <si>
    <t>[Lw : [M, U' l' U]]</t>
  </si>
  <si>
    <t>[Rw' U : [U r U', M]]</t>
  </si>
  <si>
    <t>[U2 Rw' : [M, U r U']]</t>
  </si>
  <si>
    <t>[x' : [U' l' U, M2]]</t>
  </si>
  <si>
    <t>[U : [U r U', M]]</t>
  </si>
  <si>
    <t>[3Rw : [M' u2 M, U']]</t>
  </si>
  <si>
    <t>[l', U M U']</t>
  </si>
  <si>
    <t>[D' : [l2, U M U']]</t>
  </si>
  <si>
    <t>[U : [U r2 U', M]]</t>
  </si>
  <si>
    <t>[U D' : [U r2 U', M]]</t>
  </si>
  <si>
    <t>[l2, U M U']</t>
  </si>
  <si>
    <t>[3Rw' : [U, M u M']]</t>
  </si>
  <si>
    <t>[M U M', d]</t>
  </si>
  <si>
    <t>[3Uw : [M, U' l' U]]</t>
  </si>
  <si>
    <t>[M : [U, M u M']]</t>
  </si>
  <si>
    <t>[3Uw : [U r' U', M]]</t>
  </si>
  <si>
    <t>[3Rw' : [U, M u' M']]</t>
  </si>
  <si>
    <t>[u E' : [l, U M U']]</t>
  </si>
  <si>
    <t>[M U M', d']</t>
  </si>
  <si>
    <t>[x' U' : [U' l' U, M']]</t>
  </si>
  <si>
    <t>[3Uw U' : [r E r', U2]]</t>
  </si>
  <si>
    <t>[x' U : [U l' U', M']]</t>
  </si>
  <si>
    <t>[U : [M', U r' U']]</t>
  </si>
  <si>
    <t>[U x' : [U' M' U, r2]]</t>
  </si>
  <si>
    <t>[U' : [M', U' r' U]]</t>
  </si>
  <si>
    <t>[r' U2 r, E2]</t>
  </si>
  <si>
    <t>[3Rw U : [M', U r2 U']]</t>
  </si>
  <si>
    <t>[U' D : [M2, U' r' U]]</t>
  </si>
  <si>
    <t>[U' : [M2, U' r' U]]</t>
  </si>
  <si>
    <t>[U D : [M2, U r' U']]</t>
  </si>
  <si>
    <t>[Rw' U : [M u M', U2]]</t>
  </si>
  <si>
    <t>[Rw' : [U2, r' E' r]]</t>
  </si>
  <si>
    <t>[r' U2 r, E]</t>
  </si>
  <si>
    <t>[Uw : [M', U r' U']]</t>
  </si>
  <si>
    <t>[r' U2 r, E']</t>
  </si>
  <si>
    <t>[Rw' U : [M u' M', U2]]</t>
  </si>
  <si>
    <t>[Rw' : [U2, r' E r]]</t>
  </si>
  <si>
    <t>[Rw' U' : [M d M', U2]]</t>
  </si>
  <si>
    <t>[Uw : [U', M u M']]</t>
  </si>
  <si>
    <t>[Rw' U' : [U' r U, M]]</t>
  </si>
  <si>
    <t>[x' : [U l' U', M']]</t>
  </si>
  <si>
    <t>[u2, M' U M]</t>
  </si>
  <si>
    <t>[U' : [U' r U, M]]</t>
  </si>
  <si>
    <t>[x' : [U l' U', M2]]</t>
  </si>
  <si>
    <t>[l', U' M U]</t>
  </si>
  <si>
    <t>[U' D : [U' r2 U, M]]</t>
  </si>
  <si>
    <t>[U' : [U' r2 U, M]]</t>
  </si>
  <si>
    <t>[x' : [U l' U', M]]</t>
  </si>
  <si>
    <t>[l2, U' M U]</t>
  </si>
  <si>
    <t>[3Rw' : [U', M' u' M]]</t>
  </si>
  <si>
    <t>[M : [U', M d' M']]</t>
  </si>
  <si>
    <t>[R : [M U' M', u']]</t>
  </si>
  <si>
    <t>[M U' M', u']</t>
  </si>
  <si>
    <t>[3Dw : [l', U' M U]]</t>
  </si>
  <si>
    <t>[M U' M', u]</t>
  </si>
  <si>
    <t>[L' : [M U' M', u]]</t>
  </si>
  <si>
    <t>[3Rw' : [U', M d M']]</t>
  </si>
  <si>
    <t>[x' : [U M' U', l']]</t>
  </si>
  <si>
    <t>[3Uw U' : [r' E' r, U2]]</t>
  </si>
  <si>
    <t>[x' : [l', U' M' U]]</t>
  </si>
  <si>
    <t>[U M' U', l]</t>
  </si>
  <si>
    <t>[F' : [U M' U', l]]</t>
  </si>
  <si>
    <t>[U' M' U, l]</t>
  </si>
  <si>
    <t>[F : [M', U' l U]]</t>
  </si>
  <si>
    <t>[U M2 U', l]</t>
  </si>
  <si>
    <t>[D' : [U M2 U', l]]</t>
  </si>
  <si>
    <t>[U' M2 U, l]</t>
  </si>
  <si>
    <t>[D : [U M2 U', l]]</t>
  </si>
  <si>
    <t>[3Rw' : [Uw M' Uw', l]]</t>
  </si>
  <si>
    <t>[Dw' : [U' M' U, l]]</t>
  </si>
  <si>
    <t>[R : [Uw M' Uw', l]]</t>
  </si>
  <si>
    <t>[Uw M' Uw', l]</t>
  </si>
  <si>
    <t>[z U : [u', M U M']]</t>
  </si>
  <si>
    <t>[z : [u', M U M']]</t>
  </si>
  <si>
    <t>[3Uw' : [E, r U' r']]</t>
  </si>
  <si>
    <t>[z : [u', M U' M']]</t>
  </si>
  <si>
    <t>Total UL average:</t>
  </si>
  <si>
    <t>Explanation or Cube Explorer</t>
  </si>
  <si>
    <t>A (UF-UB)</t>
  </si>
  <si>
    <t>UF-UL-UB</t>
  </si>
  <si>
    <t>B (UF-UR)</t>
  </si>
  <si>
    <t xml:space="preserve">U' M' U M2 U M2 U M' U2 M2 </t>
  </si>
  <si>
    <t>Z perm</t>
  </si>
  <si>
    <t>D (UF-UL)</t>
  </si>
  <si>
    <t>UF-UB-UL</t>
  </si>
  <si>
    <t>F (UF-FR)</t>
  </si>
  <si>
    <t>[F R' : S' M' U M U2 S U]</t>
  </si>
  <si>
    <t>F' to DF-RF+UL-UB 2e2e</t>
  </si>
  <si>
    <t>G (UF-FD)</t>
  </si>
  <si>
    <t>H (UF-FL)</t>
  </si>
  <si>
    <t>[E F : r U r' F R S R' F' R S' U' R']</t>
  </si>
  <si>
    <t>E F to DF-RF+UL-UB 2e2e</t>
  </si>
  <si>
    <t>I (UF-DF)</t>
  </si>
  <si>
    <t>M' U2 M U M2 U' M U2 M' U' M2 U</t>
  </si>
  <si>
    <t>Cube Explorer</t>
  </si>
  <si>
    <t>J (UF-DR)</t>
  </si>
  <si>
    <t>M' S' U S M U M' U2 M</t>
  </si>
  <si>
    <t>K (UF-DB)</t>
  </si>
  <si>
    <t>M U2 M' U' M' U2 M' U' M U2 M</t>
  </si>
  <si>
    <t>M U2 M' cancel into DB comm</t>
  </si>
  <si>
    <t>L (UF-DL)</t>
  </si>
  <si>
    <t>[D : (r2 U' R2 B2)2]</t>
  </si>
  <si>
    <t>D to UF-DF+UL-UB 2e2e</t>
  </si>
  <si>
    <t>M (UF-RB)</t>
  </si>
  <si>
    <t>R U' S' U R B' R' S R B R2</t>
  </si>
  <si>
    <t>N (UF-RD)</t>
  </si>
  <si>
    <t>[x' : R U' R' E' R U R' F' E F]</t>
  </si>
  <si>
    <t>O (UF-RF)</t>
  </si>
  <si>
    <t>[F : r U r' F R S R' F' R S' U' R']</t>
  </si>
  <si>
    <t>F to DF-RF+UL-UB 2e2e</t>
  </si>
  <si>
    <t>P (UF-RU)</t>
  </si>
  <si>
    <t>R' B' R' S' R B R' U' S U R2</t>
  </si>
  <si>
    <t>Q (UF-LB)</t>
  </si>
  <si>
    <t>U2 R E' R' U R E R' M2 U M U2 M' U M2 U</t>
  </si>
  <si>
    <t>UF-LB-UL cancel into UF-UB-UL</t>
  </si>
  <si>
    <t>R (UF-LU)</t>
  </si>
  <si>
    <t>UF-BU-LU</t>
  </si>
  <si>
    <t>S (UF-LF)</t>
  </si>
  <si>
    <t>[F2 : r U r' F R S R' F' R S' U' R']</t>
  </si>
  <si>
    <t>F2 to DF-RF+UL-UB 2e2e</t>
  </si>
  <si>
    <t>T (UF-LD)</t>
  </si>
  <si>
    <t>[D : U M' U' l F' L' S' L F L' S]</t>
  </si>
  <si>
    <t>D to UF-FD+UL-UB 2e2e</t>
  </si>
  <si>
    <t>U (UF-BD)</t>
  </si>
  <si>
    <t>M U M' U M U M U M U2 M' U M2 U</t>
  </si>
  <si>
    <t>UF-BD-UL cancel into UF-UB-UL</t>
  </si>
  <si>
    <t>V (UF-BR)</t>
  </si>
  <si>
    <t>r U2 M U' M' S' U' S r'</t>
  </si>
  <si>
    <t>W (UF-BU)</t>
  </si>
  <si>
    <t>UF-LU-BU</t>
  </si>
  <si>
    <t>Y (UF-BL)</t>
  </si>
  <si>
    <t>L U F2 R U R' U' F2 L' U'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</si>
  <si>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</si>
  <si>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</si>
  <si>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</si>
  <si>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</si>
  <si>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</si>
  <si>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</si>
  <si>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</si>
  <si>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</si>
  <si>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</si>
  <si>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</si>
  <si>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</si>
  <si>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</si>
  <si>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</si>
  <si>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</si>
  <si>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</si>
  <si>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</si>
  <si>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</si>
  <si>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</si>
  <si>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</si>
  <si>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</si>
  <si>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</si>
  <si>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</si>
  <si>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</si>
  <si>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</si>
  <si>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abs</t>
  </si>
  <si>
    <t>AC</t>
  </si>
  <si>
    <t>ad</t>
  </si>
  <si>
    <t>Ace Ventura</t>
  </si>
  <si>
    <t>afterparty</t>
  </si>
  <si>
    <t>silver</t>
  </si>
  <si>
    <t>Ash Ketchum</t>
  </si>
  <si>
    <t>AI</t>
  </si>
  <si>
    <t>AJ</t>
  </si>
  <si>
    <t>AK-47</t>
  </si>
  <si>
    <t>ale</t>
  </si>
  <si>
    <t>arm</t>
  </si>
  <si>
    <t>ant</t>
  </si>
  <si>
    <t>Ayo</t>
  </si>
  <si>
    <t>apple</t>
  </si>
  <si>
    <t>aquarium</t>
  </si>
  <si>
    <t>art</t>
  </si>
  <si>
    <t>ass</t>
  </si>
  <si>
    <t>attack</t>
  </si>
  <si>
    <t>Australian</t>
  </si>
  <si>
    <t>AVE</t>
  </si>
  <si>
    <t>"awwwww"</t>
  </si>
  <si>
    <t>Allie</t>
  </si>
  <si>
    <t>"baaaaahhhh"</t>
  </si>
  <si>
    <t>bacon</t>
  </si>
  <si>
    <t>bed</t>
  </si>
  <si>
    <t>bee</t>
  </si>
  <si>
    <t>beef</t>
  </si>
  <si>
    <t>bag</t>
  </si>
  <si>
    <t>bitch</t>
  </si>
  <si>
    <t>bye</t>
  </si>
  <si>
    <t>blowjob</t>
  </si>
  <si>
    <t>bike</t>
  </si>
  <si>
    <t>ball</t>
  </si>
  <si>
    <t>boom/explosion</t>
  </si>
  <si>
    <t>Ben Kenna</t>
  </si>
  <si>
    <t>Bo Lee</t>
  </si>
  <si>
    <t>beep/honk</t>
  </si>
  <si>
    <t>BBQ</t>
  </si>
  <si>
    <t>bear</t>
  </si>
  <si>
    <t>Betsy</t>
  </si>
  <si>
    <t>bat</t>
  </si>
  <si>
    <t>Boo</t>
  </si>
  <si>
    <t>beaver</t>
  </si>
  <si>
    <t>bow</t>
  </si>
  <si>
    <t>little boy</t>
  </si>
  <si>
    <t>California flag</t>
  </si>
  <si>
    <t>corn on the cob</t>
  </si>
  <si>
    <t>Call of Duty</t>
  </si>
  <si>
    <t>Celina</t>
  </si>
  <si>
    <t>Cuff</t>
  </si>
  <si>
    <t>cog</t>
  </si>
  <si>
    <t>cash</t>
  </si>
  <si>
    <t>city</t>
  </si>
  <si>
    <t>cage</t>
  </si>
  <si>
    <t>cake</t>
  </si>
  <si>
    <t>call</t>
  </si>
  <si>
    <t>clam</t>
  </si>
  <si>
    <t>cone</t>
  </si>
  <si>
    <t>coffee</t>
  </si>
  <si>
    <t>cops</t>
  </si>
  <si>
    <t>co-quail</t>
  </si>
  <si>
    <t>car</t>
  </si>
  <si>
    <t>case</t>
  </si>
  <si>
    <t>cat</t>
  </si>
  <si>
    <t>cup</t>
  </si>
  <si>
    <t>cave</t>
  </si>
  <si>
    <t>cow</t>
  </si>
  <si>
    <t>clay</t>
  </si>
  <si>
    <t>dad</t>
  </si>
  <si>
    <t>dab</t>
  </si>
  <si>
    <t>dc</t>
  </si>
  <si>
    <t>Dee-Dee</t>
  </si>
  <si>
    <t>deaf</t>
  </si>
  <si>
    <t>dig</t>
  </si>
  <si>
    <t>dish</t>
  </si>
  <si>
    <t>dynamite</t>
  </si>
  <si>
    <t>DJ</t>
  </si>
  <si>
    <t>dick</t>
  </si>
  <si>
    <t>doll</t>
  </si>
  <si>
    <t>dam</t>
  </si>
  <si>
    <t>dinner</t>
  </si>
  <si>
    <t>doe</t>
  </si>
  <si>
    <t>dip</t>
  </si>
  <si>
    <t>Dairy Queen</t>
  </si>
  <si>
    <t>door</t>
  </si>
  <si>
    <t>diss</t>
  </si>
  <si>
    <t>dippin dots</t>
  </si>
  <si>
    <t>doo-doo</t>
  </si>
  <si>
    <t>dive</t>
  </si>
  <si>
    <t>draw</t>
  </si>
  <si>
    <t>Dory</t>
  </si>
  <si>
    <t>EA skate</t>
  </si>
  <si>
    <t>ebony</t>
  </si>
  <si>
    <t>easy</t>
  </si>
  <si>
    <t>Ed</t>
  </si>
  <si>
    <t>effort</t>
  </si>
  <si>
    <t>egg</t>
  </si>
  <si>
    <t>Earth</t>
  </si>
  <si>
    <t>Einstein</t>
  </si>
  <si>
    <t>ejaculate</t>
  </si>
  <si>
    <t>"eek!!!!"</t>
  </si>
  <si>
    <t>eel</t>
  </si>
  <si>
    <t>Em</t>
  </si>
  <si>
    <t>Ender</t>
  </si>
  <si>
    <t>EO</t>
  </si>
  <si>
    <t>ep</t>
  </si>
  <si>
    <t>equality</t>
  </si>
  <si>
    <t>ear</t>
  </si>
  <si>
    <t>Es</t>
  </si>
  <si>
    <t>eat</t>
  </si>
  <si>
    <t>European</t>
  </si>
  <si>
    <t>Eevee</t>
  </si>
  <si>
    <t>Ewok</t>
  </si>
  <si>
    <t>Ellie</t>
  </si>
  <si>
    <t>father</t>
  </si>
  <si>
    <t>fabulous</t>
  </si>
  <si>
    <t>FMC</t>
  </si>
  <si>
    <t>food</t>
  </si>
  <si>
    <t>flee</t>
  </si>
  <si>
    <t>fig newton</t>
  </si>
  <si>
    <t>fish</t>
  </si>
  <si>
    <t>fight</t>
  </si>
  <si>
    <t>fudge</t>
  </si>
  <si>
    <t>fuck</t>
  </si>
  <si>
    <t>fall</t>
  </si>
  <si>
    <t>family</t>
  </si>
  <si>
    <t>fan</t>
  </si>
  <si>
    <t>foe</t>
  </si>
  <si>
    <t>fap</t>
  </si>
  <si>
    <t>FAQ</t>
  </si>
  <si>
    <t>flare</t>
  </si>
  <si>
    <t>fossil</t>
  </si>
  <si>
    <t>fat</t>
  </si>
  <si>
    <t>FUBU</t>
  </si>
  <si>
    <t>high-five</t>
  </si>
  <si>
    <t>ferris wheel</t>
  </si>
  <si>
    <t>Faye</t>
  </si>
  <si>
    <t>grandma</t>
  </si>
  <si>
    <t>grab</t>
  </si>
  <si>
    <t>gameboy color</t>
  </si>
  <si>
    <t>god</t>
  </si>
  <si>
    <t>genie</t>
  </si>
  <si>
    <t>Gaffer Gamgee</t>
  </si>
  <si>
    <t>Tim Goh</t>
  </si>
  <si>
    <t>G.I. Joe</t>
  </si>
  <si>
    <t>"good job!"</t>
  </si>
  <si>
    <t>geek</t>
  </si>
  <si>
    <t>girl</t>
  </si>
  <si>
    <t>graham crackers</t>
  </si>
  <si>
    <t>gun</t>
  </si>
  <si>
    <t>goo</t>
  </si>
  <si>
    <t>gap</t>
  </si>
  <si>
    <t>GQ models</t>
  </si>
  <si>
    <t>gore</t>
  </si>
  <si>
    <t>gas</t>
  </si>
  <si>
    <t>Game of Thrones</t>
  </si>
  <si>
    <t>glue</t>
  </si>
  <si>
    <t>grave</t>
  </si>
  <si>
    <t>grow</t>
  </si>
  <si>
    <t>gay</t>
  </si>
  <si>
    <t>"ha!"</t>
  </si>
  <si>
    <t>husband</t>
  </si>
  <si>
    <t>hardcore</t>
  </si>
  <si>
    <t>head</t>
  </si>
  <si>
    <t>He-Man</t>
  </si>
  <si>
    <t>Hugh Hefner</t>
  </si>
  <si>
    <t>hug</t>
  </si>
  <si>
    <t>high</t>
  </si>
  <si>
    <t>handjob</t>
  </si>
  <si>
    <t>hick</t>
  </si>
  <si>
    <t>hail</t>
  </si>
  <si>
    <t>hammer</t>
  </si>
  <si>
    <t>honey</t>
  </si>
  <si>
    <t>hoe</t>
  </si>
  <si>
    <t>hipsters</t>
  </si>
  <si>
    <t>headquarters</t>
  </si>
  <si>
    <t>hair</t>
  </si>
  <si>
    <t>hose</t>
  </si>
  <si>
    <t>hat</t>
  </si>
  <si>
    <t>hulu</t>
  </si>
  <si>
    <t>hive</t>
  </si>
  <si>
    <t>hawk</t>
  </si>
  <si>
    <t>hickey</t>
  </si>
  <si>
    <t>Isa Beniston</t>
  </si>
  <si>
    <t>Imperial Beach</t>
  </si>
  <si>
    <t>integrated circuit</t>
  </si>
  <si>
    <t>ID</t>
  </si>
  <si>
    <t>ice</t>
  </si>
  <si>
    <t>iff/if and only if</t>
  </si>
  <si>
    <t>instagram</t>
  </si>
  <si>
    <t>Ishaan</t>
  </si>
  <si>
    <t>inject</t>
  </si>
  <si>
    <t>Mike 'n' Ikes</t>
  </si>
  <si>
    <t>island</t>
  </si>
  <si>
    <t>instant messenger</t>
  </si>
  <si>
    <t>inside</t>
  </si>
  <si>
    <t>Io</t>
  </si>
  <si>
    <t>iphone</t>
  </si>
  <si>
    <t>IQ test</t>
  </si>
  <si>
    <t>iron</t>
  </si>
  <si>
    <t>Isis</t>
  </si>
  <si>
    <t>It</t>
  </si>
  <si>
    <t>ICU</t>
  </si>
  <si>
    <t>ivysaur</t>
  </si>
  <si>
    <t>"I win!"</t>
  </si>
  <si>
    <t>icy</t>
  </si>
  <si>
    <t>"jahhhhhhh"</t>
  </si>
  <si>
    <t>job</t>
  </si>
  <si>
    <t>J.C.</t>
  </si>
  <si>
    <t>Jeb Bush</t>
  </si>
  <si>
    <t>jester</t>
  </si>
  <si>
    <t>Jeff</t>
  </si>
  <si>
    <t>jog</t>
  </si>
  <si>
    <t>Josh</t>
  </si>
  <si>
    <t>Jedi</t>
  </si>
  <si>
    <t>Jake</t>
  </si>
  <si>
    <t>jail</t>
  </si>
  <si>
    <t>jam</t>
  </si>
  <si>
    <t>Jon Snow</t>
  </si>
  <si>
    <t>Joe</t>
  </si>
  <si>
    <t>japanese</t>
  </si>
  <si>
    <t>Jaqen H'ghar</t>
  </si>
  <si>
    <t>jar</t>
  </si>
  <si>
    <t>Jess</t>
  </si>
  <si>
    <t>Jet</t>
  </si>
  <si>
    <t>Julian</t>
  </si>
  <si>
    <t>jive</t>
  </si>
  <si>
    <t>jaw</t>
  </si>
  <si>
    <t>Jayden Mcneill</t>
  </si>
  <si>
    <t>katana</t>
  </si>
  <si>
    <t>kibble</t>
  </si>
  <si>
    <t>Kacey</t>
  </si>
  <si>
    <t>kid</t>
  </si>
  <si>
    <t>Kehana</t>
  </si>
  <si>
    <t>keef</t>
  </si>
  <si>
    <t>keg</t>
  </si>
  <si>
    <t>kitchen</t>
  </si>
  <si>
    <t>Kai</t>
  </si>
  <si>
    <t>Kellen James</t>
  </si>
  <si>
    <t>kill</t>
  </si>
  <si>
    <t>Kim</t>
  </si>
  <si>
    <t>kin</t>
  </si>
  <si>
    <t>koala</t>
  </si>
  <si>
    <t>Kip</t>
  </si>
  <si>
    <t>kill Quinn</t>
  </si>
  <si>
    <t>Kerr effect</t>
  </si>
  <si>
    <t>kiss</t>
  </si>
  <si>
    <t>Kit Clement</t>
  </si>
  <si>
    <t>kookoo</t>
  </si>
  <si>
    <t>Yuri Kivshar</t>
  </si>
  <si>
    <t>King of the Woogies</t>
  </si>
  <si>
    <t>KY lube</t>
  </si>
  <si>
    <t>"Lalalala"</t>
  </si>
  <si>
    <t>lab</t>
  </si>
  <si>
    <t>LC Cuber</t>
  </si>
  <si>
    <t>lead</t>
  </si>
  <si>
    <t>Lee</t>
  </si>
  <si>
    <t>leaf</t>
  </si>
  <si>
    <t>leg</t>
  </si>
  <si>
    <t>Lash</t>
  </si>
  <si>
    <t>lie</t>
  </si>
  <si>
    <t>La Jolla</t>
  </si>
  <si>
    <t>lick</t>
  </si>
  <si>
    <t>lamb</t>
  </si>
  <si>
    <t>Brandon Lin</t>
  </si>
  <si>
    <t>Lauren</t>
  </si>
  <si>
    <t>lip</t>
  </si>
  <si>
    <t>liquor</t>
  </si>
  <si>
    <t>ladder</t>
  </si>
  <si>
    <t>lass</t>
  </si>
  <si>
    <t>light</t>
  </si>
  <si>
    <t>Lulu</t>
  </si>
  <si>
    <t>liver</t>
  </si>
  <si>
    <t>law</t>
  </si>
  <si>
    <t>lay</t>
  </si>
  <si>
    <t>mama</t>
  </si>
  <si>
    <t>mob</t>
  </si>
  <si>
    <t>microphone</t>
  </si>
  <si>
    <t>mad</t>
  </si>
  <si>
    <t>me</t>
  </si>
  <si>
    <t>MF DOOM</t>
  </si>
  <si>
    <t>magazine</t>
  </si>
  <si>
    <t>match</t>
  </si>
  <si>
    <t>Mimi</t>
  </si>
  <si>
    <t>Michael Jordan</t>
  </si>
  <si>
    <t>Michael</t>
  </si>
  <si>
    <t>mall</t>
  </si>
  <si>
    <t>minion</t>
  </si>
  <si>
    <t>moo</t>
  </si>
  <si>
    <t>map</t>
  </si>
  <si>
    <t>mannequin</t>
  </si>
  <si>
    <t>Mario</t>
  </si>
  <si>
    <t>mess</t>
  </si>
  <si>
    <t>mitt</t>
  </si>
  <si>
    <t>muumuu</t>
  </si>
  <si>
    <t>Maven</t>
  </si>
  <si>
    <t>mow</t>
  </si>
  <si>
    <t>May</t>
  </si>
  <si>
    <t>"nahhhhhh"</t>
  </si>
  <si>
    <t>nob</t>
  </si>
  <si>
    <t>North Carolina</t>
  </si>
  <si>
    <t>Ned Stark</t>
  </si>
  <si>
    <t>nether</t>
  </si>
  <si>
    <t>Neff</t>
  </si>
  <si>
    <t>nug</t>
  </si>
  <si>
    <t>Graham Nash</t>
  </si>
  <si>
    <t>Knights who say "Ni"</t>
  </si>
  <si>
    <t>ninja</t>
  </si>
  <si>
    <t>Nick</t>
  </si>
  <si>
    <t>nail</t>
  </si>
  <si>
    <t>Nemo</t>
  </si>
  <si>
    <t>nose</t>
  </si>
  <si>
    <t>nap</t>
  </si>
  <si>
    <t>Ryan Nyquist</t>
  </si>
  <si>
    <t>NAR</t>
  </si>
  <si>
    <t>Ness</t>
  </si>
  <si>
    <t>net</t>
  </si>
  <si>
    <t>Nubi</t>
  </si>
  <si>
    <t>navel</t>
  </si>
  <si>
    <t>newspaper</t>
  </si>
  <si>
    <t>Bill Nye</t>
  </si>
  <si>
    <t>OSA</t>
  </si>
  <si>
    <t>Ocean Beach</t>
  </si>
  <si>
    <t>Orange County</t>
  </si>
  <si>
    <t>overdose</t>
  </si>
  <si>
    <t>Old English</t>
  </si>
  <si>
    <t>off</t>
  </si>
  <si>
    <t>original gangsters</t>
  </si>
  <si>
    <t>one-handed</t>
  </si>
  <si>
    <t>oil</t>
  </si>
  <si>
    <t>orange juice</t>
  </si>
  <si>
    <t>"ok"</t>
  </si>
  <si>
    <t>owl</t>
  </si>
  <si>
    <t>"om"</t>
  </si>
  <si>
    <t>Ono</t>
  </si>
  <si>
    <t>old people</t>
  </si>
  <si>
    <t>"ohhh Quinn..."</t>
  </si>
  <si>
    <t>ore</t>
  </si>
  <si>
    <t>ostrich</t>
  </si>
  <si>
    <t>otter</t>
  </si>
  <si>
    <t>"out!"</t>
  </si>
  <si>
    <t>oven</t>
  </si>
  <si>
    <t>"ow!"</t>
  </si>
  <si>
    <t>oyster</t>
  </si>
  <si>
    <t>Pa</t>
  </si>
  <si>
    <t>pebble</t>
  </si>
  <si>
    <t>PAC</t>
  </si>
  <si>
    <t>pad</t>
  </si>
  <si>
    <t>pee</t>
  </si>
  <si>
    <t>puff</t>
  </si>
  <si>
    <t>pig</t>
  </si>
  <si>
    <t>pitch</t>
  </si>
  <si>
    <t>pie</t>
  </si>
  <si>
    <t>P.J.</t>
  </si>
  <si>
    <t>pick</t>
  </si>
  <si>
    <t>pill</t>
  </si>
  <si>
    <t>Pam</t>
  </si>
  <si>
    <t>pen</t>
  </si>
  <si>
    <t>poo</t>
  </si>
  <si>
    <t>Rancho Penasquitos</t>
  </si>
  <si>
    <t>pour</t>
  </si>
  <si>
    <t>possum</t>
  </si>
  <si>
    <t>pet</t>
  </si>
  <si>
    <t>puppy</t>
  </si>
  <si>
    <t>pervert</t>
  </si>
  <si>
    <t>pow/punch</t>
  </si>
  <si>
    <t>pay</t>
  </si>
  <si>
    <t>Q and A</t>
  </si>
  <si>
    <t>quarterback</t>
  </si>
  <si>
    <t>quack</t>
  </si>
  <si>
    <t>quad</t>
  </si>
  <si>
    <t>queen</t>
  </si>
  <si>
    <t>queef</t>
  </si>
  <si>
    <t>Quagmire</t>
  </si>
  <si>
    <t>quidditch</t>
  </si>
  <si>
    <t>Quickly's</t>
  </si>
  <si>
    <t>QJ cube</t>
  </si>
  <si>
    <t>quick</t>
  </si>
  <si>
    <t>quill</t>
  </si>
  <si>
    <t>Quail-Man</t>
  </si>
  <si>
    <t>Quinn</t>
  </si>
  <si>
    <t>quote</t>
  </si>
  <si>
    <t>quarterpipe</t>
  </si>
  <si>
    <t>quarter</t>
  </si>
  <si>
    <t>quiz</t>
  </si>
  <si>
    <t>quit</t>
  </si>
  <si>
    <t>cuties</t>
  </si>
  <si>
    <t>quiver</t>
  </si>
  <si>
    <t>quick-witted</t>
  </si>
  <si>
    <t>cube</t>
  </si>
  <si>
    <t>rally</t>
  </si>
  <si>
    <t>rub</t>
  </si>
  <si>
    <t>RC car</t>
  </si>
  <si>
    <t>red</t>
  </si>
  <si>
    <t>real skateboard</t>
  </si>
  <si>
    <t>referee</t>
  </si>
  <si>
    <t>rug</t>
  </si>
  <si>
    <t>rash</t>
  </si>
  <si>
    <t>Riley</t>
  </si>
  <si>
    <t>Ra's Al Ghul</t>
  </si>
  <si>
    <t>Rick Grimes</t>
  </si>
  <si>
    <t>rail</t>
  </si>
  <si>
    <t>ram</t>
  </si>
  <si>
    <t>run</t>
  </si>
  <si>
    <t>Rowe Hessler</t>
  </si>
  <si>
    <t>rap</t>
  </si>
  <si>
    <t>Raekwon</t>
  </si>
  <si>
    <t>Ross Geller</t>
  </si>
  <si>
    <t>rat</t>
  </si>
  <si>
    <t>ruler</t>
  </si>
  <si>
    <t>rave</t>
  </si>
  <si>
    <t>raw</t>
  </si>
  <si>
    <t>Ray</t>
  </si>
  <si>
    <t>essay</t>
  </si>
  <si>
    <t>skateboard</t>
  </si>
  <si>
    <t>scare</t>
  </si>
  <si>
    <t>sad</t>
  </si>
  <si>
    <t>See's candy</t>
  </si>
  <si>
    <t>safe</t>
  </si>
  <si>
    <t>segway</t>
  </si>
  <si>
    <t>"shhhh!"</t>
  </si>
  <si>
    <t>si, senor</t>
  </si>
  <si>
    <t>San Jose</t>
  </si>
  <si>
    <t>skunk</t>
  </si>
  <si>
    <t>sell</t>
  </si>
  <si>
    <t>Sam</t>
  </si>
  <si>
    <t>sin</t>
  </si>
  <si>
    <t>soap</t>
  </si>
  <si>
    <t>sip</t>
  </si>
  <si>
    <t>squeeze</t>
  </si>
  <si>
    <t>soccer</t>
  </si>
  <si>
    <t>sit</t>
  </si>
  <si>
    <t>Hikaru Sulu</t>
  </si>
  <si>
    <t>save</t>
  </si>
  <si>
    <t>sew</t>
  </si>
  <si>
    <t>soy sauce</t>
  </si>
  <si>
    <t>"tada!"</t>
  </si>
  <si>
    <t>tab</t>
  </si>
  <si>
    <t>tic tac</t>
  </si>
  <si>
    <t>Todd</t>
  </si>
  <si>
    <t>tee-shirt</t>
  </si>
  <si>
    <t>taffy</t>
  </si>
  <si>
    <t>tug</t>
  </si>
  <si>
    <t>Tosh.0</t>
  </si>
  <si>
    <t>T.I.</t>
  </si>
  <si>
    <t>Taj Mahal</t>
  </si>
  <si>
    <t>tick</t>
  </si>
  <si>
    <t>tile</t>
  </si>
  <si>
    <t>Tom</t>
  </si>
  <si>
    <t>tan</t>
  </si>
  <si>
    <t>toe</t>
  </si>
  <si>
    <t>tape</t>
  </si>
  <si>
    <t>Takis</t>
  </si>
  <si>
    <t>tar</t>
  </si>
  <si>
    <t>Tess</t>
  </si>
  <si>
    <t>tutu</t>
  </si>
  <si>
    <t>television</t>
  </si>
  <si>
    <t>tow</t>
  </si>
  <si>
    <t>Taylor</t>
  </si>
  <si>
    <t>Lt. Uhura</t>
  </si>
  <si>
    <t>Umber</t>
  </si>
  <si>
    <t>unicycle</t>
  </si>
  <si>
    <t>udder</t>
  </si>
  <si>
    <t>use</t>
  </si>
  <si>
    <t>UFO</t>
  </si>
  <si>
    <t>ugg boots</t>
  </si>
  <si>
    <t>Usher</t>
  </si>
  <si>
    <t>urinary tract infection</t>
  </si>
  <si>
    <t>uninject</t>
  </si>
  <si>
    <t>Uruk-Hai</t>
  </si>
  <si>
    <t>Ulric Stormcloack</t>
  </si>
  <si>
    <t>Gans UM</t>
  </si>
  <si>
    <t>United Nations</t>
  </si>
  <si>
    <t>"you owe me"</t>
  </si>
  <si>
    <t>the movie "Up"</t>
  </si>
  <si>
    <t>"you're a cutie"</t>
  </si>
  <si>
    <t>urine</t>
  </si>
  <si>
    <t>united states</t>
  </si>
  <si>
    <t>uterus</t>
  </si>
  <si>
    <t>uv laser</t>
  </si>
  <si>
    <t>"you win!"</t>
  </si>
  <si>
    <t>juicy fruit</t>
  </si>
  <si>
    <t>Virginian</t>
  </si>
  <si>
    <t>volleyball</t>
  </si>
  <si>
    <t>Viet-Cong</t>
  </si>
  <si>
    <t>video</t>
  </si>
  <si>
    <t>Vikalp</t>
  </si>
  <si>
    <t>venus flytrap</t>
  </si>
  <si>
    <t>vignetting</t>
  </si>
  <si>
    <t>Vishnu</t>
  </si>
  <si>
    <t>villian</t>
  </si>
  <si>
    <t>vagina</t>
  </si>
  <si>
    <t>Vickie</t>
  </si>
  <si>
    <t>veil</t>
  </si>
  <si>
    <t>vomit</t>
  </si>
  <si>
    <t>vine</t>
  </si>
  <si>
    <t>Richard Vo</t>
  </si>
  <si>
    <t>vice president</t>
  </si>
  <si>
    <t>ventriloquist</t>
  </si>
  <si>
    <t>virtual reality</t>
  </si>
  <si>
    <t>visor</t>
  </si>
  <si>
    <t>veterinarian</t>
  </si>
  <si>
    <t>voodoo</t>
  </si>
  <si>
    <t>VW car</t>
  </si>
  <si>
    <t>vary</t>
  </si>
  <si>
    <t>water</t>
  </si>
  <si>
    <t>web</t>
  </si>
  <si>
    <t>wick</t>
  </si>
  <si>
    <t>wood</t>
  </si>
  <si>
    <t>wemon</t>
  </si>
  <si>
    <t>wife</t>
  </si>
  <si>
    <t>wig</t>
  </si>
  <si>
    <t>wash</t>
  </si>
  <si>
    <t>Nintendo Wii</t>
  </si>
  <si>
    <t>wedge</t>
  </si>
  <si>
    <t>weakling</t>
  </si>
  <si>
    <t>Will</t>
  </si>
  <si>
    <t>Wham!</t>
  </si>
  <si>
    <t>wine</t>
  </si>
  <si>
    <t>Riley Woo</t>
  </si>
  <si>
    <t>whip</t>
  </si>
  <si>
    <t>with Quinn</t>
  </si>
  <si>
    <t>wearing</t>
  </si>
  <si>
    <t>Wes Kremer</t>
  </si>
  <si>
    <t>wet</t>
  </si>
  <si>
    <t>Wu-Tang Clan</t>
  </si>
  <si>
    <t>wave</t>
  </si>
  <si>
    <t>worry</t>
  </si>
  <si>
    <t>"yaaaaa"</t>
  </si>
  <si>
    <t>yellow ball</t>
  </si>
  <si>
    <t>YMCA</t>
  </si>
  <si>
    <t>Yoda</t>
  </si>
  <si>
    <t>"yeeeeeee"</t>
  </si>
  <si>
    <t>yellow flower</t>
  </si>
  <si>
    <t>"why graham"</t>
  </si>
  <si>
    <t>yacht</t>
  </si>
  <si>
    <t>Dana Yi</t>
  </si>
  <si>
    <t>YJ cube</t>
  </si>
  <si>
    <t>yak</t>
  </si>
  <si>
    <t>yell</t>
  </si>
  <si>
    <t>yams</t>
  </si>
  <si>
    <t>yen</t>
  </si>
  <si>
    <t>yo-yo</t>
  </si>
  <si>
    <t>yap</t>
  </si>
  <si>
    <t>"why quinn"</t>
  </si>
  <si>
    <t>year</t>
  </si>
  <si>
    <t>Yes</t>
  </si>
  <si>
    <t>yeti</t>
  </si>
  <si>
    <t>Albert You</t>
  </si>
  <si>
    <t>Young Vett</t>
  </si>
  <si>
    <t>Robert Yau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</si>
</sst>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/>
    <font>
      <sz val="11.0"/>
      <color rgb="FFFF0000"/>
      <name val="Calibri"/>
    </font>
    <font>
      <color rgb="FF000000"/>
      <name val="Calibri"/>
    </font>
    <font>
      <sz val="11.0"/>
    </font>
    <font>
      <sz val="11.0"/>
      <color rgb="FF000000"/>
      <name val="Inconsolata"/>
    </font>
    <font>
      <sz val="11.0"/>
      <color rgb="FF333333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F0F0"/>
        <bgColor rgb="FFF1F0F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0" fillId="3" fontId="0" numFmtId="0" xfId="0" applyAlignment="1" applyFill="1" applyFont="1">
      <alignment readingOrder="0"/>
    </xf>
    <xf borderId="1" fillId="2" fontId="0" numFmtId="0" xfId="0" applyAlignment="1" applyBorder="1" applyFont="1">
      <alignment shrinkToFit="0" wrapText="0"/>
    </xf>
    <xf borderId="0" fillId="3" fontId="0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0"/>
    </xf>
    <xf borderId="0" fillId="4" fontId="3" numFmtId="0" xfId="0" applyAlignment="1" applyFill="1" applyFont="1">
      <alignment readingOrder="0"/>
    </xf>
    <xf borderId="0" fillId="0" fontId="0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  <xf borderId="1" fillId="4" fontId="0" numFmtId="0" xfId="0" applyAlignment="1" applyBorder="1" applyFont="1">
      <alignment readingOrder="0" shrinkToFit="0" wrapText="0"/>
    </xf>
    <xf borderId="1" fillId="4" fontId="0" numFmtId="0" xfId="0" applyAlignment="1" applyBorder="1" applyFont="1">
      <alignment horizontal="left" shrinkToFit="0" wrapText="0"/>
    </xf>
    <xf borderId="0" fillId="0" fontId="0" numFmtId="0" xfId="0" applyAlignment="1" applyFont="1">
      <alignment readingOrder="0"/>
    </xf>
    <xf borderId="1" fillId="5" fontId="0" numFmtId="0" xfId="0" applyAlignment="1" applyBorder="1" applyFill="1" applyFont="1">
      <alignment shrinkToFit="0" wrapText="0"/>
    </xf>
    <xf borderId="1" fillId="2" fontId="0" numFmtId="0" xfId="0" applyBorder="1" applyFont="1"/>
    <xf borderId="0" fillId="0" fontId="0" numFmtId="10" xfId="0" applyAlignment="1" applyFont="1" applyNumberFormat="1">
      <alignment shrinkToFit="0" wrapText="0"/>
    </xf>
    <xf borderId="0" fillId="4" fontId="3" numFmtId="0" xfId="0" applyFont="1"/>
    <xf borderId="0" fillId="2" fontId="1" numFmtId="0" xfId="0" applyFont="1"/>
    <xf borderId="0" fillId="0" fontId="0" numFmtId="10" xfId="0" applyAlignment="1" applyFont="1" applyNumberFormat="1">
      <alignment readingOrder="0" shrinkToFit="0" wrapText="0"/>
    </xf>
    <xf borderId="0" fillId="0" fontId="0" numFmtId="9" xfId="0" applyAlignment="1" applyFont="1" applyNumberFormat="1">
      <alignment readingOrder="0" shrinkToFit="0" wrapText="0"/>
    </xf>
    <xf borderId="0" fillId="0" fontId="0" numFmtId="0" xfId="0" applyAlignment="1" applyFont="1">
      <alignment shrinkToFit="0" vertical="bottom" wrapText="0"/>
    </xf>
    <xf borderId="0" fillId="4" fontId="0" numFmtId="0" xfId="0" applyAlignment="1" applyFont="1">
      <alignment readingOrder="0"/>
    </xf>
    <xf borderId="0" fillId="0" fontId="0" numFmtId="0" xfId="0" applyAlignment="1" applyFont="1">
      <alignment horizontal="right" shrinkToFit="0" vertical="bottom" wrapText="0"/>
    </xf>
    <xf borderId="0" fillId="4" fontId="0" numFmtId="0" xfId="0" applyAlignment="1" applyFont="1">
      <alignment horizontal="left" readingOrder="0"/>
    </xf>
    <xf borderId="0" fillId="0" fontId="0" numFmtId="10" xfId="0" applyAlignment="1" applyFont="1" applyNumberFormat="1">
      <alignment horizontal="right" shrinkToFit="0" vertical="bottom" wrapText="0"/>
    </xf>
    <xf borderId="0" fillId="4" fontId="5" numFmtId="10" xfId="0" applyFont="1" applyNumberFormat="1"/>
    <xf borderId="0" fillId="4" fontId="3" numFmtId="0" xfId="0" applyAlignment="1" applyFont="1">
      <alignment readingOrder="0"/>
    </xf>
    <xf borderId="1" fillId="4" fontId="0" numFmtId="0" xfId="0" applyBorder="1" applyFont="1"/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ont="1">
      <alignment shrinkToFit="0" wrapText="0"/>
    </xf>
    <xf borderId="0" fillId="4" fontId="0" numFmtId="0" xfId="0" applyAlignment="1" applyFont="1">
      <alignment readingOrder="0" shrinkToFit="0" wrapText="0"/>
    </xf>
    <xf borderId="0" fillId="2" fontId="0" numFmtId="0" xfId="0" applyAlignment="1" applyFont="1">
      <alignment readingOrder="0" shrinkToFit="0" wrapText="0"/>
    </xf>
    <xf borderId="0" fillId="4" fontId="0" numFmtId="0" xfId="0" applyAlignment="1" applyFont="1">
      <alignment shrinkToFit="0" wrapText="0"/>
    </xf>
    <xf borderId="0" fillId="4" fontId="0" numFmtId="10" xfId="0" applyFont="1" applyNumberFormat="1"/>
    <xf borderId="0" fillId="2" fontId="3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4" fontId="5" numFmtId="0" xfId="0" applyFont="1"/>
    <xf borderId="0" fillId="6" fontId="1" numFmtId="0" xfId="0" applyFont="1"/>
    <xf borderId="0" fillId="0" fontId="6" numFmtId="0" xfId="0" applyFont="1"/>
    <xf borderId="0" fillId="8" fontId="1" numFmtId="0" xfId="0" applyFont="1"/>
    <xf borderId="0" fillId="7" fontId="1" numFmtId="0" xfId="0" applyFont="1"/>
    <xf borderId="0" fillId="6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ht="16.5" customHeight="1">
      <c r="A2" s="1" t="s">
        <v>2</v>
      </c>
      <c r="B2" s="3"/>
      <c r="C2" s="1" t="s">
        <v>55</v>
      </c>
      <c r="D2" s="1" t="s">
        <v>61</v>
      </c>
      <c r="E2" s="1" t="s">
        <v>64</v>
      </c>
      <c r="F2" s="1" t="s">
        <v>66</v>
      </c>
      <c r="G2" s="1" t="s">
        <v>68</v>
      </c>
      <c r="H2" s="7" t="s">
        <v>69</v>
      </c>
      <c r="I2" s="7" t="s">
        <v>104</v>
      </c>
      <c r="J2" s="1" t="s">
        <v>108</v>
      </c>
      <c r="K2" s="7" t="s">
        <v>109</v>
      </c>
      <c r="L2" s="8" t="s">
        <v>112</v>
      </c>
      <c r="M2" s="5"/>
      <c r="N2" s="1" t="s">
        <v>119</v>
      </c>
      <c r="O2" s="1" t="s">
        <v>120</v>
      </c>
      <c r="P2" s="1" t="s">
        <v>121</v>
      </c>
      <c r="Q2" s="9" t="s">
        <v>122</v>
      </c>
      <c r="R2" s="9" t="s">
        <v>123</v>
      </c>
      <c r="S2" s="1" t="s">
        <v>124</v>
      </c>
      <c r="T2" s="1" t="s">
        <v>125</v>
      </c>
      <c r="U2" s="1" t="s">
        <v>126</v>
      </c>
      <c r="V2" s="5"/>
    </row>
    <row r="3" ht="16.5" customHeight="1">
      <c r="A3" s="1" t="s">
        <v>3</v>
      </c>
      <c r="B3" s="1" t="s">
        <v>127</v>
      </c>
      <c r="C3" s="5"/>
      <c r="D3" s="9" t="s">
        <v>128</v>
      </c>
      <c r="E3" s="1" t="s">
        <v>129</v>
      </c>
      <c r="F3" s="5"/>
      <c r="G3" s="7" t="s">
        <v>130</v>
      </c>
      <c r="H3" s="7" t="s">
        <v>131</v>
      </c>
      <c r="I3" s="1" t="s">
        <v>132</v>
      </c>
      <c r="J3" s="1" t="s">
        <v>133</v>
      </c>
      <c r="K3" s="1" t="s">
        <v>134</v>
      </c>
      <c r="L3" s="7" t="s">
        <v>135</v>
      </c>
      <c r="M3" s="1" t="s">
        <v>136</v>
      </c>
      <c r="N3" s="1" t="s">
        <v>137</v>
      </c>
      <c r="O3" s="1" t="s">
        <v>138</v>
      </c>
      <c r="P3" s="5"/>
      <c r="Q3" s="1" t="s">
        <v>139</v>
      </c>
      <c r="R3" s="7" t="s">
        <v>140</v>
      </c>
      <c r="S3" s="1" t="s">
        <v>141</v>
      </c>
      <c r="T3" s="1" t="s">
        <v>142</v>
      </c>
      <c r="U3" s="1" t="s">
        <v>143</v>
      </c>
      <c r="V3" s="7" t="s">
        <v>144</v>
      </c>
    </row>
    <row r="4" ht="16.5" customHeight="1">
      <c r="A4" s="1" t="s">
        <v>4</v>
      </c>
      <c r="B4" s="1" t="s">
        <v>145</v>
      </c>
      <c r="C4" s="1" t="s">
        <v>146</v>
      </c>
      <c r="D4" s="5"/>
      <c r="E4" s="5"/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154</v>
      </c>
      <c r="N4" s="1" t="s">
        <v>155</v>
      </c>
      <c r="O4" s="1" t="s">
        <v>156</v>
      </c>
      <c r="P4" s="7" t="s">
        <v>157</v>
      </c>
      <c r="Q4" s="1" t="s">
        <v>158</v>
      </c>
      <c r="R4" s="5"/>
      <c r="S4" s="1" t="s">
        <v>159</v>
      </c>
      <c r="T4" s="1" t="s">
        <v>160</v>
      </c>
      <c r="U4" s="1" t="s">
        <v>161</v>
      </c>
      <c r="V4" s="1" t="s">
        <v>162</v>
      </c>
    </row>
    <row r="5" ht="16.5" customHeight="1">
      <c r="A5" s="1" t="s">
        <v>5</v>
      </c>
      <c r="B5" s="1" t="s">
        <v>163</v>
      </c>
      <c r="C5" s="1" t="s">
        <v>164</v>
      </c>
      <c r="D5" s="5"/>
      <c r="E5" s="5"/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0" t="s">
        <v>170</v>
      </c>
      <c r="L5" s="7" t="s">
        <v>171</v>
      </c>
      <c r="M5" s="1" t="s">
        <v>172</v>
      </c>
      <c r="N5" s="7" t="s">
        <v>173</v>
      </c>
      <c r="O5" s="7" t="s">
        <v>174</v>
      </c>
      <c r="P5" s="8" t="s">
        <v>175</v>
      </c>
      <c r="Q5" s="10" t="s">
        <v>176</v>
      </c>
      <c r="R5" s="5"/>
      <c r="S5" s="7" t="s">
        <v>177</v>
      </c>
      <c r="T5" s="7" t="s">
        <v>178</v>
      </c>
      <c r="U5" s="1" t="s">
        <v>179</v>
      </c>
      <c r="V5" s="1" t="s">
        <v>180</v>
      </c>
    </row>
    <row r="6" ht="16.5" customHeight="1">
      <c r="A6" s="1" t="s">
        <v>6</v>
      </c>
      <c r="B6" s="1" t="s">
        <v>181</v>
      </c>
      <c r="C6" s="5"/>
      <c r="D6" s="1" t="s">
        <v>182</v>
      </c>
      <c r="E6" s="1" t="s">
        <v>183</v>
      </c>
      <c r="F6" s="5"/>
      <c r="G6" s="1" t="s">
        <v>184</v>
      </c>
      <c r="H6" s="1" t="s">
        <v>185</v>
      </c>
      <c r="I6" s="1" t="s">
        <v>186</v>
      </c>
      <c r="J6" s="1" t="s">
        <v>187</v>
      </c>
      <c r="K6" s="1" t="s">
        <v>188</v>
      </c>
      <c r="L6" s="1" t="s">
        <v>189</v>
      </c>
      <c r="M6" s="1" t="s">
        <v>190</v>
      </c>
      <c r="N6" s="1" t="s">
        <v>191</v>
      </c>
      <c r="O6" s="1" t="s">
        <v>192</v>
      </c>
      <c r="P6" s="5"/>
      <c r="Q6" s="1" t="s">
        <v>193</v>
      </c>
      <c r="R6" s="1" t="s">
        <v>194</v>
      </c>
      <c r="S6" s="1" t="s">
        <v>195</v>
      </c>
      <c r="T6" s="1" t="s">
        <v>196</v>
      </c>
      <c r="U6" s="1" t="s">
        <v>197</v>
      </c>
      <c r="V6" s="7" t="s">
        <v>198</v>
      </c>
    </row>
    <row r="7" ht="16.5" customHeight="1">
      <c r="A7" s="1" t="s">
        <v>7</v>
      </c>
      <c r="B7" s="1" t="s">
        <v>199</v>
      </c>
      <c r="C7" s="8" t="s">
        <v>200</v>
      </c>
      <c r="D7" s="1" t="s">
        <v>201</v>
      </c>
      <c r="E7" s="1" t="s">
        <v>202</v>
      </c>
      <c r="F7" s="1" t="s">
        <v>203</v>
      </c>
      <c r="G7" s="5"/>
      <c r="H7" s="1" t="s">
        <v>204</v>
      </c>
      <c r="I7" s="1" t="s">
        <v>205</v>
      </c>
      <c r="J7" s="5"/>
      <c r="K7" s="7" t="s">
        <v>206</v>
      </c>
      <c r="L7" s="1" t="s">
        <v>207</v>
      </c>
      <c r="M7" s="1" t="s">
        <v>208</v>
      </c>
      <c r="N7" s="1" t="s">
        <v>209</v>
      </c>
      <c r="O7" s="5"/>
      <c r="P7" s="1" t="s">
        <v>210</v>
      </c>
      <c r="Q7" s="1" t="s">
        <v>211</v>
      </c>
      <c r="R7" s="1" t="s">
        <v>212</v>
      </c>
      <c r="S7" s="7" t="s">
        <v>213</v>
      </c>
      <c r="T7" s="1" t="s">
        <v>214</v>
      </c>
      <c r="U7" s="1" t="s">
        <v>215</v>
      </c>
      <c r="V7" s="1" t="s">
        <v>216</v>
      </c>
    </row>
    <row r="8" ht="16.5" customHeight="1">
      <c r="A8" s="1" t="s">
        <v>8</v>
      </c>
      <c r="B8" s="8" t="s">
        <v>217</v>
      </c>
      <c r="C8" s="1" t="s">
        <v>218</v>
      </c>
      <c r="D8" s="8" t="s">
        <v>219</v>
      </c>
      <c r="E8" s="1" t="s">
        <v>220</v>
      </c>
      <c r="F8" s="1" t="s">
        <v>221</v>
      </c>
      <c r="G8" s="1" t="s">
        <v>222</v>
      </c>
      <c r="H8" s="5"/>
      <c r="I8" s="5"/>
      <c r="J8" s="9" t="s">
        <v>223</v>
      </c>
      <c r="K8" s="7" t="s">
        <v>224</v>
      </c>
      <c r="L8" s="1" t="s">
        <v>225</v>
      </c>
      <c r="M8" s="7" t="s">
        <v>226</v>
      </c>
      <c r="N8" s="1" t="s">
        <v>227</v>
      </c>
      <c r="O8" s="1" t="s">
        <v>228</v>
      </c>
      <c r="P8" s="1" t="s">
        <v>229</v>
      </c>
      <c r="Q8" s="1" t="s">
        <v>230</v>
      </c>
      <c r="R8" s="1" t="s">
        <v>231</v>
      </c>
      <c r="S8" s="5"/>
      <c r="T8" s="1" t="s">
        <v>232</v>
      </c>
      <c r="U8" s="1" t="s">
        <v>233</v>
      </c>
      <c r="V8" s="1" t="s">
        <v>234</v>
      </c>
    </row>
    <row r="9" ht="16.5" customHeight="1">
      <c r="A9" s="1" t="s">
        <v>9</v>
      </c>
      <c r="B9" s="8" t="s">
        <v>235</v>
      </c>
      <c r="C9" s="1" t="s">
        <v>236</v>
      </c>
      <c r="D9" s="1" t="s">
        <v>237</v>
      </c>
      <c r="E9" s="1" t="s">
        <v>238</v>
      </c>
      <c r="F9" s="1" t="s">
        <v>239</v>
      </c>
      <c r="G9" s="1" t="s">
        <v>240</v>
      </c>
      <c r="H9" s="5"/>
      <c r="I9" s="5"/>
      <c r="J9" s="1" t="s">
        <v>241</v>
      </c>
      <c r="K9" s="7" t="s">
        <v>242</v>
      </c>
      <c r="L9" s="1" t="s">
        <v>243</v>
      </c>
      <c r="M9" s="1" t="s">
        <v>244</v>
      </c>
      <c r="N9" s="1" t="s">
        <v>245</v>
      </c>
      <c r="O9" s="1" t="s">
        <v>246</v>
      </c>
      <c r="P9" s="1" t="s">
        <v>248</v>
      </c>
      <c r="Q9" s="1" t="s">
        <v>249</v>
      </c>
      <c r="R9" s="1" t="s">
        <v>250</v>
      </c>
      <c r="S9" s="5"/>
      <c r="T9" s="1" t="s">
        <v>251</v>
      </c>
      <c r="U9" s="1" t="s">
        <v>252</v>
      </c>
      <c r="V9" s="1" t="s">
        <v>253</v>
      </c>
    </row>
    <row r="10" ht="16.5" customHeight="1">
      <c r="A10" s="1" t="s">
        <v>10</v>
      </c>
      <c r="B10" s="1" t="s">
        <v>254</v>
      </c>
      <c r="C10" s="1" t="s">
        <v>256</v>
      </c>
      <c r="D10" s="1" t="s">
        <v>257</v>
      </c>
      <c r="E10" s="1" t="s">
        <v>258</v>
      </c>
      <c r="F10" s="1" t="s">
        <v>259</v>
      </c>
      <c r="G10" s="5"/>
      <c r="H10" s="1" t="s">
        <v>261</v>
      </c>
      <c r="I10" s="1" t="s">
        <v>262</v>
      </c>
      <c r="J10" s="5"/>
      <c r="K10" s="1" t="s">
        <v>263</v>
      </c>
      <c r="L10" s="1" t="s">
        <v>264</v>
      </c>
      <c r="M10" s="7" t="s">
        <v>266</v>
      </c>
      <c r="N10" s="7" t="s">
        <v>267</v>
      </c>
      <c r="O10" s="5"/>
      <c r="P10" s="1" t="s">
        <v>269</v>
      </c>
      <c r="Q10" s="1" t="s">
        <v>270</v>
      </c>
      <c r="R10" s="1" t="s">
        <v>271</v>
      </c>
      <c r="S10" s="8" t="s">
        <v>272</v>
      </c>
      <c r="T10" s="1" t="s">
        <v>273</v>
      </c>
      <c r="U10" s="1" t="s">
        <v>274</v>
      </c>
      <c r="V10" s="1" t="s">
        <v>276</v>
      </c>
    </row>
    <row r="11" ht="16.5" customHeight="1">
      <c r="A11" s="1" t="s">
        <v>11</v>
      </c>
      <c r="B11" s="8" t="s">
        <v>279</v>
      </c>
      <c r="C11" s="1" t="s">
        <v>282</v>
      </c>
      <c r="D11" s="1" t="s">
        <v>284</v>
      </c>
      <c r="E11" s="1" t="s">
        <v>286</v>
      </c>
      <c r="F11" s="1" t="s">
        <v>289</v>
      </c>
      <c r="G11" s="8" t="s">
        <v>291</v>
      </c>
      <c r="H11" s="8" t="s">
        <v>293</v>
      </c>
      <c r="I11" s="7" t="s">
        <v>295</v>
      </c>
      <c r="J11" s="1" t="s">
        <v>297</v>
      </c>
      <c r="K11" s="5"/>
      <c r="L11" s="1" t="s">
        <v>299</v>
      </c>
      <c r="M11" s="8" t="s">
        <v>301</v>
      </c>
      <c r="N11" s="5"/>
      <c r="O11" s="1" t="s">
        <v>304</v>
      </c>
      <c r="P11" s="1" t="s">
        <v>306</v>
      </c>
      <c r="Q11" s="1" t="s">
        <v>308</v>
      </c>
      <c r="R11" s="1" t="s">
        <v>310</v>
      </c>
      <c r="S11" s="8" t="s">
        <v>311</v>
      </c>
      <c r="T11" s="1" t="s">
        <v>312</v>
      </c>
      <c r="U11" s="5"/>
      <c r="V11" s="7" t="s">
        <v>313</v>
      </c>
    </row>
    <row r="12" ht="16.5" customHeight="1">
      <c r="A12" s="1" t="s">
        <v>12</v>
      </c>
      <c r="B12" s="8" t="s">
        <v>314</v>
      </c>
      <c r="C12" s="7" t="s">
        <v>316</v>
      </c>
      <c r="D12" s="1" t="s">
        <v>317</v>
      </c>
      <c r="E12" s="8" t="s">
        <v>319</v>
      </c>
      <c r="F12" s="1" t="s">
        <v>320</v>
      </c>
      <c r="G12" s="1" t="s">
        <v>322</v>
      </c>
      <c r="H12" s="1" t="s">
        <v>324</v>
      </c>
      <c r="I12" s="1" t="s">
        <v>325</v>
      </c>
      <c r="J12" s="1" t="s">
        <v>327</v>
      </c>
      <c r="K12" s="1" t="s">
        <v>329</v>
      </c>
      <c r="L12" s="5"/>
      <c r="M12" s="1" t="s">
        <v>332</v>
      </c>
      <c r="N12" s="1" t="s">
        <v>334</v>
      </c>
      <c r="O12" s="7" t="s">
        <v>336</v>
      </c>
      <c r="P12" s="1" t="s">
        <v>338</v>
      </c>
      <c r="Q12" s="5"/>
      <c r="R12" s="1" t="s">
        <v>341</v>
      </c>
      <c r="S12" s="1" t="s">
        <v>343</v>
      </c>
      <c r="T12" s="5"/>
      <c r="U12" s="1" t="s">
        <v>345</v>
      </c>
      <c r="V12" s="1" t="s">
        <v>347</v>
      </c>
    </row>
    <row r="13" ht="16.5" customHeight="1">
      <c r="A13" s="1" t="s">
        <v>13</v>
      </c>
      <c r="B13" s="5"/>
      <c r="C13" s="1" t="s">
        <v>349</v>
      </c>
      <c r="D13" s="1" t="s">
        <v>350</v>
      </c>
      <c r="E13" s="1" t="s">
        <v>352</v>
      </c>
      <c r="F13" s="1" t="s">
        <v>354</v>
      </c>
      <c r="G13" s="1" t="s">
        <v>356</v>
      </c>
      <c r="H13" s="8" t="s">
        <v>357</v>
      </c>
      <c r="I13" s="1" t="s">
        <v>358</v>
      </c>
      <c r="J13" s="7" t="s">
        <v>359</v>
      </c>
      <c r="K13" s="7" t="s">
        <v>360</v>
      </c>
      <c r="L13" s="1" t="s">
        <v>362</v>
      </c>
      <c r="M13" s="5"/>
      <c r="N13" s="1" t="s">
        <v>363</v>
      </c>
      <c r="O13" s="1" t="s">
        <v>364</v>
      </c>
      <c r="P13" s="1" t="s">
        <v>367</v>
      </c>
      <c r="Q13" s="7" t="s">
        <v>368</v>
      </c>
      <c r="R13" s="1" t="s">
        <v>370</v>
      </c>
      <c r="S13" s="1" t="s">
        <v>372</v>
      </c>
      <c r="T13" s="1" t="s">
        <v>374</v>
      </c>
      <c r="U13" s="8" t="s">
        <v>376</v>
      </c>
      <c r="V13" s="5"/>
    </row>
    <row r="14" ht="16.5" customHeight="1">
      <c r="A14" s="1" t="s">
        <v>14</v>
      </c>
      <c r="B14" s="1" t="s">
        <v>380</v>
      </c>
      <c r="C14" s="1" t="s">
        <v>382</v>
      </c>
      <c r="D14" s="1" t="s">
        <v>384</v>
      </c>
      <c r="E14" s="8" t="s">
        <v>386</v>
      </c>
      <c r="F14" s="1" t="s">
        <v>388</v>
      </c>
      <c r="G14" s="1" t="s">
        <v>390</v>
      </c>
      <c r="H14" s="1" t="s">
        <v>391</v>
      </c>
      <c r="I14" s="1" t="s">
        <v>393</v>
      </c>
      <c r="J14" s="8" t="s">
        <v>395</v>
      </c>
      <c r="K14" s="5"/>
      <c r="L14" s="1" t="s">
        <v>397</v>
      </c>
      <c r="M14" s="1" t="s">
        <v>400</v>
      </c>
      <c r="N14" s="5"/>
      <c r="O14" s="1" t="s">
        <v>402</v>
      </c>
      <c r="P14" s="1" t="s">
        <v>403</v>
      </c>
      <c r="Q14" s="1" t="s">
        <v>404</v>
      </c>
      <c r="R14" s="1" t="s">
        <v>405</v>
      </c>
      <c r="S14" s="1" t="s">
        <v>406</v>
      </c>
      <c r="T14" s="1" t="s">
        <v>407</v>
      </c>
      <c r="U14" s="5"/>
      <c r="V14" s="1" t="s">
        <v>408</v>
      </c>
    </row>
    <row r="15" ht="16.5" customHeight="1">
      <c r="A15" s="1" t="s">
        <v>15</v>
      </c>
      <c r="B15" s="1" t="s">
        <v>409</v>
      </c>
      <c r="C15" s="1" t="s">
        <v>410</v>
      </c>
      <c r="D15" s="1" t="s">
        <v>411</v>
      </c>
      <c r="E15" s="1" t="s">
        <v>412</v>
      </c>
      <c r="F15" s="1" t="s">
        <v>413</v>
      </c>
      <c r="G15" s="5"/>
      <c r="H15" s="1" t="s">
        <v>414</v>
      </c>
      <c r="I15" s="1" t="s">
        <v>415</v>
      </c>
      <c r="J15" s="5"/>
      <c r="K15" s="1" t="s">
        <v>416</v>
      </c>
      <c r="L15" s="8" t="s">
        <v>417</v>
      </c>
      <c r="M15" s="1" t="s">
        <v>418</v>
      </c>
      <c r="N15" s="1" t="s">
        <v>419</v>
      </c>
      <c r="O15" s="5"/>
      <c r="P15" s="1" t="s">
        <v>420</v>
      </c>
      <c r="Q15" s="1" t="s">
        <v>422</v>
      </c>
      <c r="R15" s="1" t="s">
        <v>424</v>
      </c>
      <c r="S15" s="1" t="s">
        <v>425</v>
      </c>
      <c r="T15" s="1" t="s">
        <v>427</v>
      </c>
      <c r="U15" s="1" t="s">
        <v>429</v>
      </c>
      <c r="V15" s="1" t="s">
        <v>430</v>
      </c>
    </row>
    <row r="16" ht="16.5" customHeight="1">
      <c r="A16" s="1" t="s">
        <v>16</v>
      </c>
      <c r="B16" s="1" t="s">
        <v>432</v>
      </c>
      <c r="C16" s="5"/>
      <c r="D16" s="7" t="s">
        <v>433</v>
      </c>
      <c r="E16" s="9" t="s">
        <v>434</v>
      </c>
      <c r="F16" s="5"/>
      <c r="G16" s="1" t="s">
        <v>435</v>
      </c>
      <c r="H16" s="1" t="s">
        <v>436</v>
      </c>
      <c r="I16" s="1" t="s">
        <v>437</v>
      </c>
      <c r="J16" s="1" t="s">
        <v>438</v>
      </c>
      <c r="K16" s="1" t="s">
        <v>439</v>
      </c>
      <c r="L16" s="1" t="s">
        <v>440</v>
      </c>
      <c r="M16" s="1" t="s">
        <v>441</v>
      </c>
      <c r="N16" s="1" t="s">
        <v>442</v>
      </c>
      <c r="O16" s="1" t="s">
        <v>443</v>
      </c>
      <c r="P16" s="5"/>
      <c r="Q16" s="1" t="s">
        <v>444</v>
      </c>
      <c r="R16" s="7" t="s">
        <v>445</v>
      </c>
      <c r="S16" s="1" t="s">
        <v>446</v>
      </c>
      <c r="T16" s="1" t="s">
        <v>447</v>
      </c>
      <c r="U16" s="1" t="s">
        <v>448</v>
      </c>
      <c r="V16" s="1" t="s">
        <v>449</v>
      </c>
    </row>
    <row r="17" ht="16.5" customHeight="1">
      <c r="A17" s="1" t="s">
        <v>17</v>
      </c>
      <c r="B17" s="1" t="s">
        <v>450</v>
      </c>
      <c r="C17" s="1" t="s">
        <v>451</v>
      </c>
      <c r="D17" s="1" t="s">
        <v>452</v>
      </c>
      <c r="E17" s="8" t="s">
        <v>453</v>
      </c>
      <c r="F17" s="1" t="s">
        <v>454</v>
      </c>
      <c r="G17" s="1" t="s">
        <v>455</v>
      </c>
      <c r="H17" s="1" t="s">
        <v>456</v>
      </c>
      <c r="I17" s="1" t="s">
        <v>457</v>
      </c>
      <c r="J17" s="1" t="s">
        <v>438</v>
      </c>
      <c r="K17" s="1" t="s">
        <v>458</v>
      </c>
      <c r="L17" s="5"/>
      <c r="M17" s="8" t="s">
        <v>459</v>
      </c>
      <c r="N17" s="1" t="s">
        <v>460</v>
      </c>
      <c r="O17" s="1" t="s">
        <v>461</v>
      </c>
      <c r="P17" s="1" t="s">
        <v>462</v>
      </c>
      <c r="Q17" s="5"/>
      <c r="R17" s="1" t="s">
        <v>463</v>
      </c>
      <c r="S17" s="7" t="s">
        <v>464</v>
      </c>
      <c r="T17" s="5"/>
      <c r="U17" s="1" t="s">
        <v>465</v>
      </c>
      <c r="V17" s="1" t="s">
        <v>466</v>
      </c>
    </row>
    <row r="18" ht="16.5" customHeight="1">
      <c r="A18" s="1" t="s">
        <v>18</v>
      </c>
      <c r="B18" s="1" t="s">
        <v>467</v>
      </c>
      <c r="C18" s="8" t="s">
        <v>468</v>
      </c>
      <c r="D18" s="5"/>
      <c r="E18" s="5"/>
      <c r="F18" s="1" t="s">
        <v>469</v>
      </c>
      <c r="G18" s="1" t="s">
        <v>470</v>
      </c>
      <c r="H18" s="1" t="s">
        <v>471</v>
      </c>
      <c r="I18" s="1" t="s">
        <v>250</v>
      </c>
      <c r="J18" s="1" t="s">
        <v>472</v>
      </c>
      <c r="K18" s="1" t="s">
        <v>473</v>
      </c>
      <c r="L18" s="1" t="s">
        <v>474</v>
      </c>
      <c r="M18" s="1" t="s">
        <v>475</v>
      </c>
      <c r="N18" s="1" t="s">
        <v>476</v>
      </c>
      <c r="O18" s="1" t="s">
        <v>477</v>
      </c>
      <c r="P18" s="8" t="s">
        <v>478</v>
      </c>
      <c r="Q18" s="1" t="s">
        <v>479</v>
      </c>
      <c r="R18" s="5"/>
      <c r="S18" s="1" t="s">
        <v>480</v>
      </c>
      <c r="T18" s="1" t="s">
        <v>481</v>
      </c>
      <c r="U18" s="1" t="s">
        <v>482</v>
      </c>
      <c r="V18" s="8" t="s">
        <v>483</v>
      </c>
    </row>
    <row r="19" ht="16.5" customHeight="1">
      <c r="A19" s="1" t="s">
        <v>19</v>
      </c>
      <c r="B19" s="1" t="s">
        <v>484</v>
      </c>
      <c r="C19" s="1" t="s">
        <v>485</v>
      </c>
      <c r="D19" s="1" t="s">
        <v>486</v>
      </c>
      <c r="E19" s="8" t="s">
        <v>487</v>
      </c>
      <c r="F19" s="1" t="s">
        <v>488</v>
      </c>
      <c r="G19" s="7" t="s">
        <v>489</v>
      </c>
      <c r="H19" s="5"/>
      <c r="I19" s="5"/>
      <c r="J19" s="7" t="s">
        <v>491</v>
      </c>
      <c r="K19" s="7" t="s">
        <v>493</v>
      </c>
      <c r="L19" s="1" t="s">
        <v>495</v>
      </c>
      <c r="M19" s="1" t="s">
        <v>497</v>
      </c>
      <c r="N19" s="1" t="s">
        <v>499</v>
      </c>
      <c r="O19" s="1" t="s">
        <v>501</v>
      </c>
      <c r="P19" s="1" t="s">
        <v>503</v>
      </c>
      <c r="Q19" s="8" t="s">
        <v>505</v>
      </c>
      <c r="R19" s="1" t="s">
        <v>506</v>
      </c>
      <c r="S19" s="5"/>
      <c r="T19" s="7" t="s">
        <v>507</v>
      </c>
      <c r="U19" s="1" t="s">
        <v>508</v>
      </c>
      <c r="V19" s="1" t="s">
        <v>509</v>
      </c>
    </row>
    <row r="20" ht="16.5" customHeight="1">
      <c r="A20" s="1" t="s">
        <v>20</v>
      </c>
      <c r="B20" s="12" t="s">
        <v>510</v>
      </c>
      <c r="C20" s="1" t="s">
        <v>526</v>
      </c>
      <c r="D20" s="1" t="s">
        <v>529</v>
      </c>
      <c r="E20" s="8" t="s">
        <v>532</v>
      </c>
      <c r="F20" s="1" t="s">
        <v>534</v>
      </c>
      <c r="G20" s="1" t="s">
        <v>537</v>
      </c>
      <c r="H20" s="1" t="s">
        <v>539</v>
      </c>
      <c r="I20" s="1" t="s">
        <v>541</v>
      </c>
      <c r="J20" s="1" t="s">
        <v>543</v>
      </c>
      <c r="K20" s="1" t="s">
        <v>545</v>
      </c>
      <c r="L20" s="5"/>
      <c r="M20" s="1" t="s">
        <v>547</v>
      </c>
      <c r="N20" s="1" t="s">
        <v>548</v>
      </c>
      <c r="O20" s="1" t="s">
        <v>550</v>
      </c>
      <c r="P20" s="1" t="s">
        <v>552</v>
      </c>
      <c r="Q20" s="5"/>
      <c r="R20" s="1" t="s">
        <v>554</v>
      </c>
      <c r="S20" s="7" t="s">
        <v>556</v>
      </c>
      <c r="T20" s="5"/>
      <c r="U20" s="1" t="s">
        <v>558</v>
      </c>
      <c r="V20" s="1" t="s">
        <v>560</v>
      </c>
    </row>
    <row r="21" ht="16.5" customHeight="1">
      <c r="A21" s="1" t="s">
        <v>21</v>
      </c>
      <c r="B21" s="1" t="s">
        <v>563</v>
      </c>
      <c r="C21" s="1" t="s">
        <v>566</v>
      </c>
      <c r="D21" s="1" t="s">
        <v>568</v>
      </c>
      <c r="E21" s="1" t="s">
        <v>570</v>
      </c>
      <c r="F21" s="1" t="s">
        <v>572</v>
      </c>
      <c r="G21" s="1" t="s">
        <v>215</v>
      </c>
      <c r="H21" s="1" t="s">
        <v>575</v>
      </c>
      <c r="I21" s="1" t="s">
        <v>577</v>
      </c>
      <c r="J21" s="1" t="s">
        <v>579</v>
      </c>
      <c r="K21" s="5"/>
      <c r="L21" s="1" t="s">
        <v>581</v>
      </c>
      <c r="M21" s="13" t="s">
        <v>582</v>
      </c>
      <c r="N21" s="5"/>
      <c r="O21" s="1" t="s">
        <v>594</v>
      </c>
      <c r="P21" s="1" t="s">
        <v>596</v>
      </c>
      <c r="Q21" s="1" t="s">
        <v>598</v>
      </c>
      <c r="R21" s="1" t="s">
        <v>601</v>
      </c>
      <c r="S21" s="1" t="s">
        <v>603</v>
      </c>
      <c r="T21" s="1" t="s">
        <v>605</v>
      </c>
      <c r="U21" s="5"/>
      <c r="V21" s="1" t="s">
        <v>608</v>
      </c>
    </row>
    <row r="22" ht="16.5" customHeight="1">
      <c r="A22" s="1" t="s">
        <v>22</v>
      </c>
      <c r="B22" s="5"/>
      <c r="C22" s="8" t="s">
        <v>612</v>
      </c>
      <c r="D22" s="1" t="s">
        <v>616</v>
      </c>
      <c r="E22" s="1" t="s">
        <v>618</v>
      </c>
      <c r="F22" s="8" t="s">
        <v>620</v>
      </c>
      <c r="G22" s="1" t="s">
        <v>622</v>
      </c>
      <c r="H22" s="1" t="s">
        <v>624</v>
      </c>
      <c r="I22" s="12" t="s">
        <v>626</v>
      </c>
      <c r="J22" s="1" t="s">
        <v>628</v>
      </c>
      <c r="K22" s="7" t="s">
        <v>630</v>
      </c>
      <c r="L22" s="1" t="s">
        <v>632</v>
      </c>
      <c r="M22" s="5"/>
      <c r="N22" s="1" t="s">
        <v>635</v>
      </c>
      <c r="O22" s="1" t="s">
        <v>637</v>
      </c>
      <c r="P22" s="1" t="s">
        <v>639</v>
      </c>
      <c r="Q22" s="1" t="s">
        <v>641</v>
      </c>
      <c r="R22" s="7" t="s">
        <v>643</v>
      </c>
      <c r="S22" s="1" t="s">
        <v>644</v>
      </c>
      <c r="T22" s="1" t="s">
        <v>660</v>
      </c>
      <c r="U22" s="1" t="s">
        <v>662</v>
      </c>
      <c r="V22" s="5"/>
    </row>
    <row r="23" ht="16.5" customHeight="1"/>
    <row r="24" ht="16.5" customHeight="1">
      <c r="B24" s="14" t="s">
        <v>666</v>
      </c>
      <c r="D24" s="1" t="s">
        <v>688</v>
      </c>
      <c r="E24" s="1" t="s">
        <v>689</v>
      </c>
      <c r="F24" s="1" t="s">
        <v>690</v>
      </c>
      <c r="G24" s="1" t="s">
        <v>692</v>
      </c>
      <c r="I24" s="2" t="s">
        <v>693</v>
      </c>
      <c r="L24" s="2" t="s">
        <v>695</v>
      </c>
    </row>
    <row r="25" ht="16.5" customHeight="1">
      <c r="B25" s="14">
        <f>COUNTA(B2:V2)+COUNTA(B3:V3)+COUNTA(B4:V4)+COUNTA(B5:V5)+COUNTA(B6:V6)+COUNTA(B7:V7)+COUNTA(B8:V8)+COUNTA(B9:V9)+COUNTA(B10:V10)+COUNTA(B11:V11)+COUNTA(B12:V12)+COUNTA(B13:V13)+COUNTA(B14:V14)+COUNTA(B15:V15)+COUNTA(B16:V16)+COUNTA(B17:V17)+COUNTA(B18:V18)+COUNTA(B19:V19)+COUNTA(B20:V20)+COUNTA(B21:V21)+COUNTA(B22:V22)</f>
        <v>378</v>
      </c>
      <c r="D25" s="1">
        <v>2.0</v>
      </c>
      <c r="E25" s="7">
        <v>0.0</v>
      </c>
      <c r="F25" s="1">
        <v>0.0</v>
      </c>
      <c r="G25" s="7">
        <v>2.0</v>
      </c>
      <c r="I25" s="2" t="s">
        <v>787</v>
      </c>
    </row>
    <row r="26" ht="16.5" customHeight="1">
      <c r="D26" s="16">
        <v>0.0053</v>
      </c>
      <c r="E26" s="19">
        <v>0.0</v>
      </c>
      <c r="F26" s="20">
        <v>0.0</v>
      </c>
      <c r="G26" s="19">
        <v>0.0053</v>
      </c>
    </row>
    <row r="27" ht="16.5" customHeight="1">
      <c r="D27" t="s">
        <v>844</v>
      </c>
      <c r="G27" s="2"/>
    </row>
    <row r="28" ht="16.5" customHeight="1"/>
    <row r="29" ht="16.5" customHeight="1">
      <c r="J29" s="2"/>
      <c r="K29" s="2"/>
      <c r="L29" s="2"/>
      <c r="M29" s="2"/>
      <c r="N29" s="2"/>
      <c r="O29" s="2"/>
      <c r="P29" s="2"/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33.14"/>
  </cols>
  <sheetData>
    <row r="1"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>
      <c r="A2" s="2"/>
      <c r="B2" s="2" t="s">
        <v>51</v>
      </c>
      <c r="C2" s="2" t="s">
        <v>52</v>
      </c>
      <c r="D2" s="2" t="s">
        <v>53</v>
      </c>
      <c r="E2" s="4" t="s">
        <v>54</v>
      </c>
      <c r="F2" s="2" t="s">
        <v>56</v>
      </c>
      <c r="G2" s="2" t="s">
        <v>57</v>
      </c>
      <c r="H2" s="2" t="s">
        <v>58</v>
      </c>
    </row>
    <row r="3">
      <c r="B3" s="4" t="s">
        <v>59</v>
      </c>
      <c r="C3" s="4" t="s">
        <v>60</v>
      </c>
      <c r="D3" s="2" t="s">
        <v>62</v>
      </c>
      <c r="E3" s="4" t="s">
        <v>63</v>
      </c>
      <c r="F3" s="2" t="s">
        <v>65</v>
      </c>
      <c r="G3" s="6" t="s">
        <v>67</v>
      </c>
      <c r="H3" s="6" t="s">
        <v>78</v>
      </c>
    </row>
    <row r="4">
      <c r="A4" s="2" t="s">
        <v>80</v>
      </c>
      <c r="B4" s="2" t="s">
        <v>82</v>
      </c>
      <c r="C4" s="2" t="s">
        <v>83</v>
      </c>
      <c r="D4" s="2" t="s">
        <v>84</v>
      </c>
      <c r="E4" s="2" t="s">
        <v>86</v>
      </c>
      <c r="F4" s="2" t="s">
        <v>87</v>
      </c>
      <c r="G4" s="2" t="s">
        <v>89</v>
      </c>
      <c r="H4" s="6" t="s">
        <v>90</v>
      </c>
    </row>
    <row r="6"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</row>
    <row r="7">
      <c r="B7" s="4" t="s">
        <v>98</v>
      </c>
      <c r="C7" s="4" t="s">
        <v>99</v>
      </c>
      <c r="D7" s="2" t="s">
        <v>100</v>
      </c>
      <c r="E7" s="2" t="s">
        <v>102</v>
      </c>
      <c r="F7" s="2" t="s">
        <v>103</v>
      </c>
      <c r="G7" s="6" t="s">
        <v>106</v>
      </c>
      <c r="H7" s="6" t="s">
        <v>107</v>
      </c>
    </row>
    <row r="8">
      <c r="A8" s="2" t="s">
        <v>80</v>
      </c>
      <c r="B8" s="2" t="s">
        <v>82</v>
      </c>
      <c r="C8" s="2" t="s">
        <v>110</v>
      </c>
      <c r="D8" s="2" t="s">
        <v>111</v>
      </c>
      <c r="E8" s="2" t="s">
        <v>113</v>
      </c>
      <c r="F8" s="2" t="s">
        <v>114</v>
      </c>
      <c r="G8" s="2" t="s">
        <v>115</v>
      </c>
      <c r="H8" s="2" t="s">
        <v>116</v>
      </c>
    </row>
    <row r="10">
      <c r="A10" s="2"/>
      <c r="C10" s="2" t="s">
        <v>117</v>
      </c>
      <c r="E10" s="2"/>
    </row>
    <row r="12">
      <c r="B12" s="2" t="s">
        <v>118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ht="16.5" customHeight="1">
      <c r="A2" s="1" t="s">
        <v>23</v>
      </c>
      <c r="B2" s="5"/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79</v>
      </c>
      <c r="L2" s="1" t="s">
        <v>81</v>
      </c>
      <c r="M2" s="1" t="s">
        <v>85</v>
      </c>
      <c r="N2" s="7" t="s">
        <v>88</v>
      </c>
      <c r="O2" s="1" t="s">
        <v>101</v>
      </c>
      <c r="P2" s="7" t="s">
        <v>105</v>
      </c>
      <c r="Q2" s="1" t="s">
        <v>247</v>
      </c>
      <c r="R2" s="7" t="s">
        <v>255</v>
      </c>
      <c r="S2" s="7" t="s">
        <v>260</v>
      </c>
      <c r="T2" s="1" t="s">
        <v>265</v>
      </c>
      <c r="U2" s="1" t="s">
        <v>268</v>
      </c>
      <c r="V2" s="5"/>
      <c r="W2" s="1" t="s">
        <v>275</v>
      </c>
    </row>
    <row r="3" ht="16.5" customHeight="1">
      <c r="A3" s="1" t="s">
        <v>24</v>
      </c>
      <c r="B3" s="1" t="s">
        <v>277</v>
      </c>
      <c r="C3" s="5"/>
      <c r="D3" s="1" t="s">
        <v>278</v>
      </c>
      <c r="E3" s="1" t="s">
        <v>280</v>
      </c>
      <c r="F3" s="1" t="s">
        <v>281</v>
      </c>
      <c r="G3" s="1" t="s">
        <v>283</v>
      </c>
      <c r="H3" s="1" t="s">
        <v>285</v>
      </c>
      <c r="I3" s="8" t="s">
        <v>287</v>
      </c>
      <c r="J3" s="7" t="s">
        <v>288</v>
      </c>
      <c r="K3" s="1" t="s">
        <v>290</v>
      </c>
      <c r="L3" s="1" t="s">
        <v>292</v>
      </c>
      <c r="M3" s="1" t="s">
        <v>294</v>
      </c>
      <c r="N3" s="7" t="s">
        <v>296</v>
      </c>
      <c r="O3" s="5"/>
      <c r="P3" s="7" t="s">
        <v>298</v>
      </c>
      <c r="Q3" s="1" t="s">
        <v>300</v>
      </c>
      <c r="R3" s="7" t="s">
        <v>302</v>
      </c>
      <c r="S3" s="1" t="s">
        <v>303</v>
      </c>
      <c r="T3" s="1" t="s">
        <v>305</v>
      </c>
      <c r="U3" s="1" t="s">
        <v>307</v>
      </c>
      <c r="V3" s="1" t="s">
        <v>309</v>
      </c>
      <c r="W3" s="1" t="s">
        <v>315</v>
      </c>
    </row>
    <row r="4" ht="16.5" customHeight="1">
      <c r="A4" s="1" t="s">
        <v>25</v>
      </c>
      <c r="B4" s="1" t="s">
        <v>318</v>
      </c>
      <c r="C4" s="1" t="s">
        <v>321</v>
      </c>
      <c r="D4" s="5"/>
      <c r="E4" s="1" t="s">
        <v>323</v>
      </c>
      <c r="F4" s="5"/>
      <c r="G4" s="1" t="s">
        <v>326</v>
      </c>
      <c r="H4" s="1" t="s">
        <v>328</v>
      </c>
      <c r="I4" s="7" t="s">
        <v>330</v>
      </c>
      <c r="J4" s="7" t="s">
        <v>331</v>
      </c>
      <c r="K4" s="1" t="s">
        <v>333</v>
      </c>
      <c r="L4" s="7" t="s">
        <v>335</v>
      </c>
      <c r="M4" s="1" t="s">
        <v>337</v>
      </c>
      <c r="N4" s="1" t="s">
        <v>339</v>
      </c>
      <c r="O4" s="1" t="s">
        <v>340</v>
      </c>
      <c r="P4" s="7" t="s">
        <v>342</v>
      </c>
      <c r="Q4" s="1" t="s">
        <v>344</v>
      </c>
      <c r="R4" s="1" t="s">
        <v>346</v>
      </c>
      <c r="S4" s="1" t="s">
        <v>348</v>
      </c>
      <c r="T4" s="1" t="s">
        <v>351</v>
      </c>
      <c r="U4" s="1" t="s">
        <v>353</v>
      </c>
      <c r="V4" s="1" t="s">
        <v>355</v>
      </c>
      <c r="W4" s="1" t="s">
        <v>361</v>
      </c>
    </row>
    <row r="5" ht="16.5" customHeight="1">
      <c r="A5" s="1" t="s">
        <v>26</v>
      </c>
      <c r="B5" s="1" t="s">
        <v>365</v>
      </c>
      <c r="C5" s="1" t="s">
        <v>366</v>
      </c>
      <c r="D5" s="1" t="s">
        <v>369</v>
      </c>
      <c r="E5" s="5"/>
      <c r="F5" s="1" t="s">
        <v>371</v>
      </c>
      <c r="G5" s="1" t="s">
        <v>373</v>
      </c>
      <c r="H5" s="1" t="s">
        <v>375</v>
      </c>
      <c r="I5" s="1" t="s">
        <v>377</v>
      </c>
      <c r="J5" s="7" t="s">
        <v>378</v>
      </c>
      <c r="K5" s="7" t="s">
        <v>379</v>
      </c>
      <c r="L5" s="7" t="s">
        <v>381</v>
      </c>
      <c r="M5" s="1" t="s">
        <v>383</v>
      </c>
      <c r="N5" s="7" t="s">
        <v>385</v>
      </c>
      <c r="O5" s="1" t="s">
        <v>387</v>
      </c>
      <c r="P5" s="1" t="s">
        <v>389</v>
      </c>
      <c r="Q5" s="5"/>
      <c r="R5" s="7" t="s">
        <v>392</v>
      </c>
      <c r="S5" s="1" t="s">
        <v>394</v>
      </c>
      <c r="T5" s="1" t="s">
        <v>396</v>
      </c>
      <c r="U5" s="1" t="s">
        <v>398</v>
      </c>
      <c r="V5" s="1" t="s">
        <v>399</v>
      </c>
      <c r="W5" s="1" t="s">
        <v>401</v>
      </c>
    </row>
    <row r="6" ht="16.5" customHeight="1">
      <c r="A6" s="1" t="s">
        <v>27</v>
      </c>
      <c r="B6" s="1" t="s">
        <v>421</v>
      </c>
      <c r="C6" s="1" t="s">
        <v>423</v>
      </c>
      <c r="D6" s="5"/>
      <c r="E6" s="1" t="s">
        <v>426</v>
      </c>
      <c r="F6" s="5"/>
      <c r="G6" s="7" t="s">
        <v>428</v>
      </c>
      <c r="H6" s="11" t="s">
        <v>431</v>
      </c>
      <c r="I6" s="7" t="s">
        <v>490</v>
      </c>
      <c r="J6" s="1" t="s">
        <v>492</v>
      </c>
      <c r="K6" s="7" t="s">
        <v>494</v>
      </c>
      <c r="L6" s="7" t="s">
        <v>496</v>
      </c>
      <c r="M6" s="1" t="s">
        <v>498</v>
      </c>
      <c r="N6" s="7" t="s">
        <v>500</v>
      </c>
      <c r="O6" s="1" t="s">
        <v>502</v>
      </c>
      <c r="P6" s="7" t="s">
        <v>504</v>
      </c>
      <c r="Q6" s="1" t="s">
        <v>511</v>
      </c>
      <c r="R6" s="7" t="s">
        <v>512</v>
      </c>
      <c r="S6" s="1" t="s">
        <v>513</v>
      </c>
      <c r="T6" s="1" t="s">
        <v>514</v>
      </c>
      <c r="U6" s="7" t="s">
        <v>515</v>
      </c>
      <c r="V6" s="1" t="s">
        <v>516</v>
      </c>
      <c r="W6" s="1" t="s">
        <v>517</v>
      </c>
    </row>
    <row r="7" ht="16.5" customHeight="1">
      <c r="A7" s="1" t="s">
        <v>28</v>
      </c>
      <c r="B7" s="1" t="s">
        <v>518</v>
      </c>
      <c r="C7" s="1" t="s">
        <v>519</v>
      </c>
      <c r="D7" s="1" t="s">
        <v>520</v>
      </c>
      <c r="E7" s="1" t="s">
        <v>521</v>
      </c>
      <c r="F7" s="1" t="s">
        <v>522</v>
      </c>
      <c r="G7" s="5"/>
      <c r="H7" s="1" t="s">
        <v>523</v>
      </c>
      <c r="I7" s="1" t="s">
        <v>524</v>
      </c>
      <c r="J7" s="1" t="s">
        <v>525</v>
      </c>
      <c r="K7" s="1" t="s">
        <v>527</v>
      </c>
      <c r="L7" s="1" t="s">
        <v>528</v>
      </c>
      <c r="M7" s="1" t="s">
        <v>530</v>
      </c>
      <c r="N7" s="5"/>
      <c r="O7" s="7" t="s">
        <v>531</v>
      </c>
      <c r="P7" s="1" t="s">
        <v>533</v>
      </c>
      <c r="Q7" s="1" t="s">
        <v>535</v>
      </c>
      <c r="R7" s="1" t="s">
        <v>536</v>
      </c>
      <c r="S7" s="1" t="s">
        <v>538</v>
      </c>
      <c r="T7" s="1" t="s">
        <v>540</v>
      </c>
      <c r="U7" s="1" t="s">
        <v>542</v>
      </c>
      <c r="V7" s="1" t="s">
        <v>544</v>
      </c>
      <c r="W7" s="7" t="s">
        <v>546</v>
      </c>
    </row>
    <row r="8" ht="16.5" customHeight="1">
      <c r="A8" s="1" t="s">
        <v>29</v>
      </c>
      <c r="B8" s="1" t="s">
        <v>549</v>
      </c>
      <c r="C8" s="1" t="s">
        <v>551</v>
      </c>
      <c r="D8" s="1" t="s">
        <v>553</v>
      </c>
      <c r="E8" s="1" t="s">
        <v>555</v>
      </c>
      <c r="F8" s="1" t="s">
        <v>557</v>
      </c>
      <c r="G8" s="1" t="s">
        <v>559</v>
      </c>
      <c r="H8" s="5"/>
      <c r="I8" s="1" t="s">
        <v>561</v>
      </c>
      <c r="J8" s="1" t="s">
        <v>562</v>
      </c>
      <c r="K8" s="1" t="s">
        <v>564</v>
      </c>
      <c r="L8" s="1" t="s">
        <v>565</v>
      </c>
      <c r="M8" s="1" t="s">
        <v>567</v>
      </c>
      <c r="N8" s="1" t="s">
        <v>569</v>
      </c>
      <c r="O8" s="1" t="s">
        <v>571</v>
      </c>
      <c r="P8" s="1" t="s">
        <v>573</v>
      </c>
      <c r="Q8" s="7" t="s">
        <v>574</v>
      </c>
      <c r="R8" s="5"/>
      <c r="S8" s="1" t="s">
        <v>576</v>
      </c>
      <c r="T8" s="1" t="s">
        <v>578</v>
      </c>
      <c r="U8" s="1" t="s">
        <v>580</v>
      </c>
      <c r="V8" s="1" t="s">
        <v>583</v>
      </c>
      <c r="W8" s="1" t="s">
        <v>584</v>
      </c>
    </row>
    <row r="9" ht="16.5" customHeight="1">
      <c r="A9" s="1" t="s">
        <v>30</v>
      </c>
      <c r="B9" s="1" t="s">
        <v>585</v>
      </c>
      <c r="C9" s="7" t="s">
        <v>586</v>
      </c>
      <c r="D9" s="7" t="s">
        <v>587</v>
      </c>
      <c r="E9" s="1" t="s">
        <v>588</v>
      </c>
      <c r="F9" s="1" t="s">
        <v>589</v>
      </c>
      <c r="G9" s="1" t="s">
        <v>590</v>
      </c>
      <c r="H9" s="1" t="s">
        <v>591</v>
      </c>
      <c r="I9" s="5"/>
      <c r="J9" s="7" t="s">
        <v>592</v>
      </c>
      <c r="K9" s="1" t="s">
        <v>593</v>
      </c>
      <c r="L9" s="7" t="s">
        <v>595</v>
      </c>
      <c r="M9" s="5"/>
      <c r="N9" s="1" t="s">
        <v>597</v>
      </c>
      <c r="O9" s="1" t="s">
        <v>599</v>
      </c>
      <c r="P9" s="7" t="s">
        <v>600</v>
      </c>
      <c r="Q9" s="1" t="s">
        <v>602</v>
      </c>
      <c r="R9" s="7" t="s">
        <v>604</v>
      </c>
      <c r="S9" s="1" t="s">
        <v>606</v>
      </c>
      <c r="T9" s="1" t="s">
        <v>607</v>
      </c>
      <c r="U9" s="1" t="s">
        <v>609</v>
      </c>
      <c r="V9" s="1" t="s">
        <v>610</v>
      </c>
      <c r="W9" s="1" t="s">
        <v>611</v>
      </c>
    </row>
    <row r="10" ht="16.5" customHeight="1">
      <c r="A10" s="1" t="s">
        <v>31</v>
      </c>
      <c r="B10" s="1" t="s">
        <v>613</v>
      </c>
      <c r="C10" s="8" t="s">
        <v>614</v>
      </c>
      <c r="D10" s="8" t="s">
        <v>615</v>
      </c>
      <c r="E10" s="8" t="s">
        <v>617</v>
      </c>
      <c r="F10" s="1" t="s">
        <v>619</v>
      </c>
      <c r="G10" s="1" t="s">
        <v>621</v>
      </c>
      <c r="H10" s="1" t="s">
        <v>623</v>
      </c>
      <c r="I10" s="7" t="s">
        <v>625</v>
      </c>
      <c r="J10" s="5"/>
      <c r="K10" s="7" t="s">
        <v>627</v>
      </c>
      <c r="L10" s="1" t="s">
        <v>629</v>
      </c>
      <c r="M10" s="1" t="s">
        <v>631</v>
      </c>
      <c r="N10" s="1" t="s">
        <v>633</v>
      </c>
      <c r="O10" s="1" t="s">
        <v>634</v>
      </c>
      <c r="P10" s="1" t="s">
        <v>636</v>
      </c>
      <c r="Q10" s="1" t="s">
        <v>638</v>
      </c>
      <c r="R10" s="1" t="s">
        <v>640</v>
      </c>
      <c r="S10" s="1" t="s">
        <v>642</v>
      </c>
      <c r="T10" s="5"/>
      <c r="U10" s="1" t="s">
        <v>645</v>
      </c>
      <c r="V10" s="1" t="s">
        <v>646</v>
      </c>
      <c r="W10" s="1" t="s">
        <v>647</v>
      </c>
    </row>
    <row r="11" ht="16.5" customHeight="1">
      <c r="A11" s="1" t="s">
        <v>32</v>
      </c>
      <c r="B11" s="1" t="s">
        <v>648</v>
      </c>
      <c r="C11" s="1" t="s">
        <v>649</v>
      </c>
      <c r="D11" s="1" t="s">
        <v>650</v>
      </c>
      <c r="E11" s="8" t="s">
        <v>651</v>
      </c>
      <c r="F11" s="1" t="s">
        <v>652</v>
      </c>
      <c r="G11" s="1" t="s">
        <v>653</v>
      </c>
      <c r="H11" s="1" t="s">
        <v>654</v>
      </c>
      <c r="I11" s="1" t="s">
        <v>655</v>
      </c>
      <c r="J11" s="7" t="s">
        <v>656</v>
      </c>
      <c r="K11" s="5"/>
      <c r="L11" s="7" t="s">
        <v>657</v>
      </c>
      <c r="M11" s="1" t="s">
        <v>658</v>
      </c>
      <c r="N11" s="7" t="s">
        <v>659</v>
      </c>
      <c r="O11" s="1" t="s">
        <v>661</v>
      </c>
      <c r="P11" s="7" t="s">
        <v>663</v>
      </c>
      <c r="Q11" s="1" t="s">
        <v>664</v>
      </c>
      <c r="R11" s="1" t="s">
        <v>665</v>
      </c>
      <c r="S11" s="5"/>
      <c r="T11" s="1" t="s">
        <v>667</v>
      </c>
      <c r="U11" s="1" t="s">
        <v>668</v>
      </c>
      <c r="V11" s="1" t="s">
        <v>669</v>
      </c>
      <c r="W11" s="1" t="s">
        <v>670</v>
      </c>
    </row>
    <row r="12" ht="16.5" customHeight="1">
      <c r="A12" s="1" t="s">
        <v>33</v>
      </c>
      <c r="B12" s="1" t="s">
        <v>671</v>
      </c>
      <c r="C12" s="7" t="s">
        <v>672</v>
      </c>
      <c r="D12" s="1" t="s">
        <v>673</v>
      </c>
      <c r="E12" s="8" t="s">
        <v>674</v>
      </c>
      <c r="F12" s="8" t="s">
        <v>675</v>
      </c>
      <c r="G12" s="1" t="s">
        <v>676</v>
      </c>
      <c r="H12" s="1" t="s">
        <v>677</v>
      </c>
      <c r="I12" s="8" t="s">
        <v>678</v>
      </c>
      <c r="J12" s="7" t="s">
        <v>679</v>
      </c>
      <c r="K12" s="8" t="s">
        <v>680</v>
      </c>
      <c r="L12" s="5"/>
      <c r="M12" s="1" t="s">
        <v>681</v>
      </c>
      <c r="N12" s="1" t="s">
        <v>682</v>
      </c>
      <c r="O12" s="1" t="s">
        <v>683</v>
      </c>
      <c r="P12" s="1" t="s">
        <v>684</v>
      </c>
      <c r="Q12" s="1" t="s">
        <v>685</v>
      </c>
      <c r="R12" s="7" t="s">
        <v>686</v>
      </c>
      <c r="S12" s="1" t="s">
        <v>687</v>
      </c>
      <c r="T12" s="1" t="s">
        <v>691</v>
      </c>
      <c r="U12" s="5"/>
      <c r="V12" s="1" t="s">
        <v>694</v>
      </c>
      <c r="W12" s="1" t="s">
        <v>696</v>
      </c>
    </row>
    <row r="13" ht="16.5" customHeight="1">
      <c r="A13" s="1" t="s">
        <v>34</v>
      </c>
      <c r="B13" s="1" t="s">
        <v>697</v>
      </c>
      <c r="C13" s="1" t="s">
        <v>698</v>
      </c>
      <c r="D13" s="1" t="s">
        <v>699</v>
      </c>
      <c r="E13" s="1" t="s">
        <v>700</v>
      </c>
      <c r="F13" s="1" t="s">
        <v>701</v>
      </c>
      <c r="G13" s="1" t="s">
        <v>702</v>
      </c>
      <c r="H13" s="1" t="s">
        <v>703</v>
      </c>
      <c r="I13" s="5"/>
      <c r="J13" s="1" t="s">
        <v>704</v>
      </c>
      <c r="K13" s="1" t="s">
        <v>705</v>
      </c>
      <c r="L13" s="1" t="s">
        <v>706</v>
      </c>
      <c r="M13" s="5"/>
      <c r="N13" s="1" t="s">
        <v>707</v>
      </c>
      <c r="O13" s="1" t="s">
        <v>708</v>
      </c>
      <c r="P13" s="1" t="s">
        <v>709</v>
      </c>
      <c r="Q13" s="1" t="s">
        <v>710</v>
      </c>
      <c r="R13" s="1" t="s">
        <v>711</v>
      </c>
      <c r="S13" s="1" t="s">
        <v>712</v>
      </c>
      <c r="T13" s="1" t="s">
        <v>713</v>
      </c>
      <c r="U13" s="1" t="s">
        <v>714</v>
      </c>
      <c r="V13" s="1" t="s">
        <v>715</v>
      </c>
      <c r="W13" s="7" t="s">
        <v>716</v>
      </c>
    </row>
    <row r="14" ht="16.5" customHeight="1">
      <c r="A14" s="1" t="s">
        <v>35</v>
      </c>
      <c r="B14" s="8" t="s">
        <v>717</v>
      </c>
      <c r="C14" s="7" t="s">
        <v>718</v>
      </c>
      <c r="D14" s="1" t="s">
        <v>719</v>
      </c>
      <c r="E14" s="8" t="s">
        <v>720</v>
      </c>
      <c r="F14" s="8" t="s">
        <v>721</v>
      </c>
      <c r="G14" s="5"/>
      <c r="H14" s="1" t="s">
        <v>722</v>
      </c>
      <c r="I14" s="1" t="s">
        <v>723</v>
      </c>
      <c r="J14" s="7" t="s">
        <v>724</v>
      </c>
      <c r="K14" s="8" t="s">
        <v>725</v>
      </c>
      <c r="L14" s="1" t="s">
        <v>726</v>
      </c>
      <c r="M14" s="1" t="s">
        <v>727</v>
      </c>
      <c r="N14" s="5"/>
      <c r="O14" s="1" t="s">
        <v>728</v>
      </c>
      <c r="P14" s="1" t="s">
        <v>729</v>
      </c>
      <c r="Q14" s="1" t="s">
        <v>730</v>
      </c>
      <c r="R14" s="1" t="s">
        <v>731</v>
      </c>
      <c r="S14" s="1" t="s">
        <v>732</v>
      </c>
      <c r="T14" s="1" t="s">
        <v>733</v>
      </c>
      <c r="U14" s="1" t="s">
        <v>734</v>
      </c>
      <c r="V14" s="1" t="s">
        <v>735</v>
      </c>
      <c r="W14" s="1" t="s">
        <v>736</v>
      </c>
    </row>
    <row r="15" ht="16.5" customHeight="1">
      <c r="A15" s="1" t="s">
        <v>36</v>
      </c>
      <c r="B15" s="1" t="s">
        <v>737</v>
      </c>
      <c r="C15" s="5"/>
      <c r="D15" s="7" t="s">
        <v>738</v>
      </c>
      <c r="E15" s="1" t="s">
        <v>740</v>
      </c>
      <c r="F15" s="1" t="s">
        <v>741</v>
      </c>
      <c r="G15" s="7" t="s">
        <v>743</v>
      </c>
      <c r="H15" s="1" t="s">
        <v>746</v>
      </c>
      <c r="I15" s="1" t="s">
        <v>748</v>
      </c>
      <c r="J15" s="1" t="s">
        <v>751</v>
      </c>
      <c r="K15" s="1" t="s">
        <v>752</v>
      </c>
      <c r="L15" s="1" t="s">
        <v>754</v>
      </c>
      <c r="M15" s="1" t="s">
        <v>757</v>
      </c>
      <c r="N15" s="1" t="s">
        <v>759</v>
      </c>
      <c r="O15" s="5"/>
      <c r="P15" s="1" t="s">
        <v>765</v>
      </c>
      <c r="Q15" s="1" t="s">
        <v>768</v>
      </c>
      <c r="R15" s="1" t="s">
        <v>771</v>
      </c>
      <c r="S15" s="1" t="s">
        <v>774</v>
      </c>
      <c r="T15" s="1" t="s">
        <v>776</v>
      </c>
      <c r="U15" s="1" t="s">
        <v>777</v>
      </c>
      <c r="V15" s="1" t="s">
        <v>779</v>
      </c>
      <c r="W15" s="1" t="s">
        <v>780</v>
      </c>
    </row>
    <row r="16" ht="16.5" customHeight="1">
      <c r="A16" s="1" t="s">
        <v>37</v>
      </c>
      <c r="B16" s="8" t="s">
        <v>781</v>
      </c>
      <c r="C16" s="8" t="s">
        <v>782</v>
      </c>
      <c r="D16" s="1" t="s">
        <v>783</v>
      </c>
      <c r="E16" s="7" t="s">
        <v>784</v>
      </c>
      <c r="F16" s="8" t="s">
        <v>785</v>
      </c>
      <c r="G16" s="17" t="s">
        <v>786</v>
      </c>
      <c r="H16" s="1" t="s">
        <v>805</v>
      </c>
      <c r="I16" s="8" t="s">
        <v>806</v>
      </c>
      <c r="J16" s="7" t="s">
        <v>807</v>
      </c>
      <c r="K16" s="8" t="s">
        <v>808</v>
      </c>
      <c r="L16" s="1" t="s">
        <v>809</v>
      </c>
      <c r="M16" s="1" t="s">
        <v>811</v>
      </c>
      <c r="N16" s="1" t="s">
        <v>812</v>
      </c>
      <c r="O16" s="1" t="s">
        <v>813</v>
      </c>
      <c r="P16" s="5"/>
      <c r="Q16" s="1" t="s">
        <v>814</v>
      </c>
      <c r="R16" s="8" t="s">
        <v>815</v>
      </c>
      <c r="S16" s="1" t="s">
        <v>816</v>
      </c>
      <c r="T16" s="1" t="s">
        <v>817</v>
      </c>
      <c r="U16" s="1" t="s">
        <v>818</v>
      </c>
      <c r="V16" s="1" t="s">
        <v>819</v>
      </c>
      <c r="W16" s="5"/>
    </row>
    <row r="17" ht="16.5" customHeight="1">
      <c r="A17" s="1" t="s">
        <v>38</v>
      </c>
      <c r="B17" s="1" t="s">
        <v>820</v>
      </c>
      <c r="C17" s="1" t="s">
        <v>821</v>
      </c>
      <c r="D17" s="7" t="s">
        <v>822</v>
      </c>
      <c r="E17" s="5"/>
      <c r="F17" s="1" t="s">
        <v>823</v>
      </c>
      <c r="G17" s="1" t="s">
        <v>824</v>
      </c>
      <c r="H17" s="7" t="s">
        <v>825</v>
      </c>
      <c r="I17" s="1" t="s">
        <v>826</v>
      </c>
      <c r="J17" s="1" t="s">
        <v>827</v>
      </c>
      <c r="K17" s="1" t="s">
        <v>828</v>
      </c>
      <c r="L17" s="1" t="s">
        <v>829</v>
      </c>
      <c r="M17" s="1" t="s">
        <v>830</v>
      </c>
      <c r="N17" s="1" t="s">
        <v>831</v>
      </c>
      <c r="O17" s="1" t="s">
        <v>832</v>
      </c>
      <c r="P17" s="1" t="s">
        <v>833</v>
      </c>
      <c r="Q17" s="5"/>
      <c r="R17" s="1" t="s">
        <v>833</v>
      </c>
      <c r="S17" s="8" t="s">
        <v>834</v>
      </c>
      <c r="T17" s="1" t="s">
        <v>835</v>
      </c>
      <c r="U17" s="1" t="s">
        <v>836</v>
      </c>
      <c r="V17" s="7" t="s">
        <v>837</v>
      </c>
      <c r="W17" s="1" t="s">
        <v>838</v>
      </c>
    </row>
    <row r="18" ht="16.5" customHeight="1">
      <c r="A18" s="1" t="s">
        <v>39</v>
      </c>
      <c r="B18" s="8" t="s">
        <v>839</v>
      </c>
      <c r="C18" s="8" t="s">
        <v>840</v>
      </c>
      <c r="D18" s="1" t="s">
        <v>841</v>
      </c>
      <c r="E18" s="7" t="s">
        <v>842</v>
      </c>
      <c r="F18" s="8" t="s">
        <v>843</v>
      </c>
      <c r="G18" s="1" t="s">
        <v>845</v>
      </c>
      <c r="H18" s="5"/>
      <c r="I18" s="8" t="s">
        <v>846</v>
      </c>
      <c r="J18" s="7" t="s">
        <v>847</v>
      </c>
      <c r="K18" s="1" t="s">
        <v>848</v>
      </c>
      <c r="L18" s="8" t="s">
        <v>849</v>
      </c>
      <c r="M18" s="1" t="s">
        <v>850</v>
      </c>
      <c r="N18" s="1" t="s">
        <v>851</v>
      </c>
      <c r="O18" s="1" t="s">
        <v>853</v>
      </c>
      <c r="P18" s="8" t="s">
        <v>854</v>
      </c>
      <c r="Q18" s="1" t="s">
        <v>814</v>
      </c>
      <c r="R18" s="5"/>
      <c r="S18" s="1" t="s">
        <v>855</v>
      </c>
      <c r="T18" s="1" t="s">
        <v>856</v>
      </c>
      <c r="U18" s="1" t="s">
        <v>858</v>
      </c>
      <c r="V18" s="1" t="s">
        <v>819</v>
      </c>
      <c r="W18" s="7" t="s">
        <v>859</v>
      </c>
    </row>
    <row r="19" ht="16.5" customHeight="1">
      <c r="A19" s="1" t="s">
        <v>40</v>
      </c>
      <c r="B19" s="1" t="s">
        <v>861</v>
      </c>
      <c r="C19" s="1" t="s">
        <v>863</v>
      </c>
      <c r="D19" s="1" t="s">
        <v>864</v>
      </c>
      <c r="E19" s="1" t="s">
        <v>865</v>
      </c>
      <c r="F19" s="1" t="s">
        <v>866</v>
      </c>
      <c r="G19" s="1" t="s">
        <v>868</v>
      </c>
      <c r="H19" s="1" t="s">
        <v>869</v>
      </c>
      <c r="I19" s="1" t="s">
        <v>870</v>
      </c>
      <c r="J19" s="1" t="s">
        <v>871</v>
      </c>
      <c r="K19" s="5"/>
      <c r="L19" s="1" t="s">
        <v>872</v>
      </c>
      <c r="M19" s="1" t="s">
        <v>874</v>
      </c>
      <c r="N19" s="1" t="s">
        <v>875</v>
      </c>
      <c r="O19" s="1" t="s">
        <v>876</v>
      </c>
      <c r="P19" s="1" t="s">
        <v>877</v>
      </c>
      <c r="Q19" s="7" t="s">
        <v>879</v>
      </c>
      <c r="R19" s="1" t="s">
        <v>880</v>
      </c>
      <c r="S19" s="5"/>
      <c r="T19" s="1" t="s">
        <v>882</v>
      </c>
      <c r="U19" s="7" t="s">
        <v>883</v>
      </c>
      <c r="V19" s="1" t="s">
        <v>884</v>
      </c>
      <c r="W19" s="1" t="s">
        <v>885</v>
      </c>
    </row>
    <row r="20" ht="16.5" customHeight="1">
      <c r="A20" s="1" t="s">
        <v>41</v>
      </c>
      <c r="B20" s="1" t="s">
        <v>887</v>
      </c>
      <c r="C20" s="1" t="s">
        <v>889</v>
      </c>
      <c r="D20" s="1" t="s">
        <v>890</v>
      </c>
      <c r="E20" s="1" t="s">
        <v>891</v>
      </c>
      <c r="F20" s="1" t="s">
        <v>893</v>
      </c>
      <c r="G20" s="1" t="s">
        <v>894</v>
      </c>
      <c r="H20" s="1" t="s">
        <v>896</v>
      </c>
      <c r="I20" s="1" t="s">
        <v>899</v>
      </c>
      <c r="J20" s="5"/>
      <c r="K20" s="1" t="s">
        <v>901</v>
      </c>
      <c r="L20" s="1" t="s">
        <v>902</v>
      </c>
      <c r="M20" s="1" t="s">
        <v>903</v>
      </c>
      <c r="N20" s="1" t="s">
        <v>905</v>
      </c>
      <c r="O20" s="1" t="s">
        <v>906</v>
      </c>
      <c r="P20" s="1" t="s">
        <v>907</v>
      </c>
      <c r="Q20" s="1" t="s">
        <v>908</v>
      </c>
      <c r="R20" s="1" t="s">
        <v>910</v>
      </c>
      <c r="S20" s="1" t="s">
        <v>911</v>
      </c>
      <c r="T20" s="5"/>
      <c r="U20" s="1" t="s">
        <v>913</v>
      </c>
      <c r="V20" s="7" t="s">
        <v>915</v>
      </c>
      <c r="W20" s="1" t="s">
        <v>916</v>
      </c>
    </row>
    <row r="21" ht="16.5" customHeight="1">
      <c r="A21" s="1" t="s">
        <v>42</v>
      </c>
      <c r="B21" s="1" t="s">
        <v>917</v>
      </c>
      <c r="C21" s="1" t="s">
        <v>918</v>
      </c>
      <c r="D21" s="1" t="s">
        <v>919</v>
      </c>
      <c r="E21" s="1" t="s">
        <v>920</v>
      </c>
      <c r="F21" s="7" t="s">
        <v>921</v>
      </c>
      <c r="G21" s="1" t="s">
        <v>922</v>
      </c>
      <c r="H21" s="1" t="s">
        <v>923</v>
      </c>
      <c r="I21" s="1" t="s">
        <v>924</v>
      </c>
      <c r="J21" s="1" t="s">
        <v>925</v>
      </c>
      <c r="K21" s="1" t="s">
        <v>926</v>
      </c>
      <c r="L21" s="5"/>
      <c r="M21" s="1" t="s">
        <v>927</v>
      </c>
      <c r="N21" s="1" t="s">
        <v>928</v>
      </c>
      <c r="O21" s="1" t="s">
        <v>929</v>
      </c>
      <c r="P21" s="1" t="s">
        <v>930</v>
      </c>
      <c r="Q21" s="1" t="s">
        <v>931</v>
      </c>
      <c r="R21" s="7" t="s">
        <v>932</v>
      </c>
      <c r="S21" s="8" t="s">
        <v>933</v>
      </c>
      <c r="T21" s="1" t="s">
        <v>934</v>
      </c>
      <c r="U21" s="5"/>
      <c r="V21" s="1" t="s">
        <v>935</v>
      </c>
      <c r="W21" s="1" t="s">
        <v>936</v>
      </c>
    </row>
    <row r="22" ht="16.5" customHeight="1">
      <c r="A22" s="1" t="s">
        <v>43</v>
      </c>
      <c r="B22" s="5"/>
      <c r="C22" s="1" t="s">
        <v>937</v>
      </c>
      <c r="D22" s="1" t="s">
        <v>938</v>
      </c>
      <c r="E22" s="1" t="s">
        <v>939</v>
      </c>
      <c r="F22" s="1" t="s">
        <v>940</v>
      </c>
      <c r="G22" s="1" t="s">
        <v>941</v>
      </c>
      <c r="H22" s="1" t="s">
        <v>942</v>
      </c>
      <c r="I22" s="1" t="s">
        <v>943</v>
      </c>
      <c r="J22" s="1" t="s">
        <v>944</v>
      </c>
      <c r="K22" s="1" t="s">
        <v>945</v>
      </c>
      <c r="L22" s="1" t="s">
        <v>946</v>
      </c>
      <c r="M22" s="1" t="s">
        <v>947</v>
      </c>
      <c r="N22" s="1" t="s">
        <v>948</v>
      </c>
      <c r="O22" s="1" t="s">
        <v>949</v>
      </c>
      <c r="P22" s="1" t="s">
        <v>950</v>
      </c>
      <c r="Q22" s="7" t="s">
        <v>951</v>
      </c>
      <c r="R22" s="1" t="s">
        <v>950</v>
      </c>
      <c r="S22" s="1" t="s">
        <v>952</v>
      </c>
      <c r="T22" s="1" t="s">
        <v>953</v>
      </c>
      <c r="U22" s="1" t="s">
        <v>954</v>
      </c>
      <c r="V22" s="5"/>
      <c r="W22" s="1" t="s">
        <v>955</v>
      </c>
    </row>
    <row r="23" ht="16.5" customHeight="1">
      <c r="A23" s="1" t="s">
        <v>44</v>
      </c>
      <c r="B23" s="1" t="s">
        <v>956</v>
      </c>
      <c r="C23" s="1" t="s">
        <v>957</v>
      </c>
      <c r="D23" s="1" t="s">
        <v>958</v>
      </c>
      <c r="E23" s="1" t="s">
        <v>959</v>
      </c>
      <c r="F23" s="7" t="s">
        <v>960</v>
      </c>
      <c r="G23" s="8" t="s">
        <v>961</v>
      </c>
      <c r="H23" s="1" t="s">
        <v>962</v>
      </c>
      <c r="I23" s="1" t="s">
        <v>963</v>
      </c>
      <c r="J23" s="1" t="s">
        <v>964</v>
      </c>
      <c r="K23" s="1" t="s">
        <v>965</v>
      </c>
      <c r="L23" s="1" t="s">
        <v>966</v>
      </c>
      <c r="M23" s="8" t="s">
        <v>967</v>
      </c>
      <c r="N23" s="1" t="s">
        <v>968</v>
      </c>
      <c r="O23" s="1" t="s">
        <v>969</v>
      </c>
      <c r="P23" s="5"/>
      <c r="Q23" s="1" t="s">
        <v>971</v>
      </c>
      <c r="R23" s="7" t="s">
        <v>972</v>
      </c>
      <c r="S23" s="1" t="s">
        <v>973</v>
      </c>
      <c r="T23" s="1" t="s">
        <v>916</v>
      </c>
      <c r="U23" s="1" t="s">
        <v>981</v>
      </c>
      <c r="V23" s="1" t="s">
        <v>983</v>
      </c>
      <c r="W23" s="5"/>
    </row>
    <row r="24" ht="16.5" customHeight="1"/>
    <row r="25" ht="16.5" customHeight="1">
      <c r="B25" s="1" t="s">
        <v>985</v>
      </c>
      <c r="D25" s="21" t="s">
        <v>986</v>
      </c>
      <c r="E25" s="21" t="s">
        <v>1049</v>
      </c>
      <c r="F25" s="21" t="s">
        <v>1050</v>
      </c>
      <c r="G25" s="21" t="s">
        <v>1051</v>
      </c>
      <c r="H25" s="21" t="s">
        <v>1052</v>
      </c>
      <c r="I25" s="21" t="s">
        <v>1053</v>
      </c>
      <c r="J25" s="21" t="s">
        <v>1054</v>
      </c>
      <c r="K25" s="21" t="s">
        <v>1055</v>
      </c>
      <c r="L25" s="21" t="s">
        <v>1056</v>
      </c>
      <c r="M25" s="21" t="s">
        <v>1057</v>
      </c>
      <c r="N25" s="21" t="s">
        <v>1058</v>
      </c>
    </row>
    <row r="26" ht="16.5" customHeight="1">
      <c r="B26" s="1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440</v>
      </c>
      <c r="D26" s="23">
        <f>COUNTIF(B2:W23,"*[S, R2]*")+COUNTIF(B2:W23,"*[R2, S]*")+COUNTIF(B2:W23,"*[R2, S']*")+COUNTIF(B2:W23,"*[S', R2]*")</f>
        <v>8</v>
      </c>
      <c r="E26" s="23">
        <f>COUNTIF(B2:W23,"*[S, L2]*")+COUNTIF(B2:W23,"*[L2, S]*")+COUNTIF(B2:W23,"*[L2, S']*")+COUNTIF(B2:W23,"*[S', L2]*")</f>
        <v>8</v>
      </c>
      <c r="F26" s="23">
        <f>COUNTIF(B2:W23,"*[E, L2]*")+COUNTIF(B2:W23,"*[L2, E]*")+COUNTIF(B2:W23,"*[L2, E']*")+COUNTIF(B2:W23,"*[E', L2]*")</f>
        <v>28</v>
      </c>
      <c r="G26" s="23">
        <f>COUNTIF(B2:W23,"*[E, R2]*")+COUNTIF(B2:W23,"*[R2, E]*")+COUNTIF(B2:W23,"*[R2, E']*")+COUNTIF(B2:W23,"*[E', R2]*")</f>
        <v>38</v>
      </c>
      <c r="H26" s="23">
        <f>COUNTIF(B2:W23,"*[M, U2]*")+COUNTIF(B2:W23,"*[U2, M]*")+COUNTIF(B2:W23,"*[U2, M']*")+COUNTIF(B2:W23,"*[M', U2]*")</f>
        <v>38</v>
      </c>
      <c r="I26" s="23">
        <f>COUNTIF(B2:W23,"*[M, D2]*")+COUNTIF(B2:W23,"*[D2, M]*")+COUNTIF(B2:W23,"*[D2, M']*")+COUNTIF(B2:W23,"*[M', D2]*")</f>
        <v>4</v>
      </c>
      <c r="J26" s="23">
        <f>COUNTIF(B2:W23,"*M u2 M u2*")+COUNTIF(B2:W23,"*u2 M' u2 M'*")+COUNTIF(B2:W23,"*M' u2 M' u2*")+COUNTIF(B2:W23,"*u2 M u2 M*")</f>
        <v>28</v>
      </c>
      <c r="K26" s="23">
        <f>COUNTIF(B2:W23,"*S*")</f>
        <v>140</v>
      </c>
      <c r="L26" s="23">
        <f>COUNTIF(B2:W23,"*E*")</f>
        <v>130</v>
      </c>
      <c r="M26" s="23">
        <f>COUNTIF(B2:W23,"*M*")</f>
        <v>254</v>
      </c>
      <c r="N26" s="23">
        <f>K26+L26+M26-440</f>
        <v>84</v>
      </c>
    </row>
    <row r="27" ht="16.5" customHeight="1">
      <c r="D27" s="25">
        <f t="shared" ref="D27:N27" si="1">D26/440</f>
        <v>0.01818181818</v>
      </c>
      <c r="E27" s="25">
        <f t="shared" si="1"/>
        <v>0.01818181818</v>
      </c>
      <c r="F27" s="25">
        <f t="shared" si="1"/>
        <v>0.06363636364</v>
      </c>
      <c r="G27" s="26">
        <f t="shared" si="1"/>
        <v>0.08636363636</v>
      </c>
      <c r="H27" s="25">
        <f t="shared" si="1"/>
        <v>0.08636363636</v>
      </c>
      <c r="I27" s="25">
        <f t="shared" si="1"/>
        <v>0.009090909091</v>
      </c>
      <c r="J27" s="25">
        <f t="shared" si="1"/>
        <v>0.06363636364</v>
      </c>
      <c r="K27" s="25">
        <f t="shared" si="1"/>
        <v>0.3181818182</v>
      </c>
      <c r="L27" s="25">
        <f t="shared" si="1"/>
        <v>0.2954545455</v>
      </c>
      <c r="M27" s="25">
        <f t="shared" si="1"/>
        <v>0.5772727273</v>
      </c>
      <c r="N27" s="25">
        <f t="shared" si="1"/>
        <v>0.1909090909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t="s">
        <v>0</v>
      </c>
      <c r="B1" s="2" t="s">
        <v>739</v>
      </c>
      <c r="C1" s="2" t="s">
        <v>742</v>
      </c>
      <c r="D1" s="2" t="s">
        <v>744</v>
      </c>
      <c r="E1" s="2" t="s">
        <v>745</v>
      </c>
      <c r="F1" s="2" t="s">
        <v>747</v>
      </c>
      <c r="G1" s="2" t="s">
        <v>749</v>
      </c>
      <c r="H1" s="2" t="s">
        <v>750</v>
      </c>
      <c r="I1" s="2" t="s">
        <v>753</v>
      </c>
      <c r="J1" s="2" t="s">
        <v>755</v>
      </c>
      <c r="K1" s="2" t="s">
        <v>756</v>
      </c>
      <c r="L1" s="2" t="s">
        <v>758</v>
      </c>
      <c r="M1" s="2" t="s">
        <v>760</v>
      </c>
      <c r="N1" s="2" t="s">
        <v>761</v>
      </c>
      <c r="O1" s="2" t="s">
        <v>762</v>
      </c>
      <c r="P1" s="2" t="s">
        <v>763</v>
      </c>
      <c r="Q1" s="2" t="s">
        <v>764</v>
      </c>
      <c r="R1" s="2" t="s">
        <v>766</v>
      </c>
      <c r="S1" s="2" t="s">
        <v>767</v>
      </c>
      <c r="T1" s="2" t="s">
        <v>769</v>
      </c>
      <c r="U1" s="2" t="s">
        <v>770</v>
      </c>
      <c r="V1" s="2" t="s">
        <v>772</v>
      </c>
      <c r="W1" s="2" t="s">
        <v>773</v>
      </c>
      <c r="X1" s="2" t="s">
        <v>775</v>
      </c>
    </row>
    <row r="2" ht="16.5" customHeight="1">
      <c r="A2" s="2" t="s">
        <v>778</v>
      </c>
      <c r="B2" s="15"/>
      <c r="C2" s="2" t="s">
        <v>788</v>
      </c>
      <c r="D2" s="2" t="s">
        <v>789</v>
      </c>
      <c r="E2" s="2" t="s">
        <v>790</v>
      </c>
      <c r="F2" s="2" t="s">
        <v>318</v>
      </c>
      <c r="G2" s="2" t="s">
        <v>791</v>
      </c>
      <c r="H2" s="2" t="s">
        <v>516</v>
      </c>
      <c r="I2" s="2" t="s">
        <v>792</v>
      </c>
      <c r="J2" s="2" t="s">
        <v>793</v>
      </c>
      <c r="K2" s="2" t="s">
        <v>794</v>
      </c>
      <c r="L2" s="2" t="s">
        <v>795</v>
      </c>
      <c r="M2" s="2" t="s">
        <v>796</v>
      </c>
      <c r="N2" s="2" t="s">
        <v>797</v>
      </c>
      <c r="O2" s="2" t="s">
        <v>798</v>
      </c>
      <c r="P2" s="2" t="s">
        <v>799</v>
      </c>
      <c r="Q2" s="2" t="s">
        <v>800</v>
      </c>
      <c r="R2" s="2" t="s">
        <v>801</v>
      </c>
      <c r="S2" s="2" t="s">
        <v>802</v>
      </c>
      <c r="T2" s="2" t="s">
        <v>803</v>
      </c>
      <c r="U2" s="2" t="s">
        <v>804</v>
      </c>
      <c r="V2" s="18"/>
      <c r="W2" s="2" t="s">
        <v>810</v>
      </c>
      <c r="X2">
        <f>AVERAGE(0.78,0.92,0.72,0.86,0.85,0.41,0.51,0.41,0.57,0.65,0.62,0.72,0.75,0.62,0.83,0.56,0.67,0.91,0.64,0.83)</f>
        <v>0.6915</v>
      </c>
    </row>
    <row r="3" ht="16.5" customHeight="1">
      <c r="A3" s="2" t="s">
        <v>852</v>
      </c>
      <c r="B3" s="2" t="s">
        <v>857</v>
      </c>
      <c r="C3" s="15"/>
      <c r="D3" s="2" t="s">
        <v>860</v>
      </c>
      <c r="E3" s="2" t="s">
        <v>862</v>
      </c>
      <c r="F3" s="2" t="s">
        <v>321</v>
      </c>
      <c r="G3" s="2" t="s">
        <v>867</v>
      </c>
      <c r="H3" s="2" t="s">
        <v>502</v>
      </c>
      <c r="I3" s="2" t="s">
        <v>873</v>
      </c>
      <c r="J3" s="2" t="s">
        <v>878</v>
      </c>
      <c r="K3" s="2" t="s">
        <v>881</v>
      </c>
      <c r="L3" s="2" t="s">
        <v>886</v>
      </c>
      <c r="M3" s="2" t="s">
        <v>888</v>
      </c>
      <c r="N3" s="2" t="s">
        <v>892</v>
      </c>
      <c r="O3" s="18"/>
      <c r="P3" s="2" t="s">
        <v>895</v>
      </c>
      <c r="Q3" s="2" t="s">
        <v>897</v>
      </c>
      <c r="R3" s="2" t="s">
        <v>898</v>
      </c>
      <c r="S3" s="2" t="s">
        <v>900</v>
      </c>
      <c r="T3" s="2" t="s">
        <v>904</v>
      </c>
      <c r="U3" s="2" t="s">
        <v>909</v>
      </c>
      <c r="V3" s="2" t="s">
        <v>912</v>
      </c>
      <c r="W3" s="2" t="s">
        <v>914</v>
      </c>
      <c r="X3">
        <f>AVERAGE(0.91,0.72,0.69,0.81,0.83,0.87,0.84,0.99,0.9,0.83,0.6,0.83,0.59,0.83,0.46,0.78,0.69,0.82,0.68,0.88)</f>
        <v>0.7775</v>
      </c>
    </row>
    <row r="4" ht="16.5" customHeight="1">
      <c r="A4" s="2" t="s">
        <v>744</v>
      </c>
      <c r="B4" s="2" t="s">
        <v>970</v>
      </c>
      <c r="C4" s="2" t="s">
        <v>974</v>
      </c>
      <c r="D4" s="15"/>
      <c r="E4" s="2" t="s">
        <v>975</v>
      </c>
      <c r="F4" s="2" t="s">
        <v>323</v>
      </c>
      <c r="G4" s="2" t="s">
        <v>976</v>
      </c>
      <c r="H4" s="2" t="s">
        <v>977</v>
      </c>
      <c r="I4" s="2" t="s">
        <v>978</v>
      </c>
      <c r="J4" s="2" t="s">
        <v>979</v>
      </c>
      <c r="K4" s="2" t="s">
        <v>980</v>
      </c>
      <c r="L4" s="2" t="s">
        <v>982</v>
      </c>
      <c r="M4" s="2" t="s">
        <v>984</v>
      </c>
      <c r="N4" s="2" t="s">
        <v>987</v>
      </c>
      <c r="O4" s="2" t="s">
        <v>988</v>
      </c>
      <c r="P4" s="2" t="s">
        <v>989</v>
      </c>
      <c r="Q4" s="18"/>
      <c r="R4" s="2" t="s">
        <v>990</v>
      </c>
      <c r="S4" s="2" t="s">
        <v>991</v>
      </c>
      <c r="T4" s="2" t="s">
        <v>992</v>
      </c>
      <c r="U4" s="2" t="s">
        <v>993</v>
      </c>
      <c r="V4" s="2" t="s">
        <v>994</v>
      </c>
      <c r="W4" s="2" t="s">
        <v>995</v>
      </c>
      <c r="X4">
        <f>AVERAGE(0.97,0.77,0.77,0.92,0.74,0.8,0.8,0.84,0.9,0.56,0.76,0.49,0.66,0.73,0.77,0.48,0.8,0.67,0.86,0.77)</f>
        <v>0.753</v>
      </c>
    </row>
    <row r="5" ht="16.5" customHeight="1">
      <c r="A5" s="2" t="s">
        <v>745</v>
      </c>
      <c r="B5" s="2" t="s">
        <v>996</v>
      </c>
      <c r="C5" s="2" t="s">
        <v>997</v>
      </c>
      <c r="D5" s="2" t="s">
        <v>998</v>
      </c>
      <c r="E5" s="15"/>
      <c r="F5" s="2" t="s">
        <v>326</v>
      </c>
      <c r="G5" s="2" t="s">
        <v>999</v>
      </c>
      <c r="H5" s="2" t="s">
        <v>1000</v>
      </c>
      <c r="I5" s="2" t="s">
        <v>1001</v>
      </c>
      <c r="J5" s="2" t="s">
        <v>1002</v>
      </c>
      <c r="K5" s="2" t="s">
        <v>1003</v>
      </c>
      <c r="L5" s="2" t="s">
        <v>1004</v>
      </c>
      <c r="M5" s="2" t="s">
        <v>1005</v>
      </c>
      <c r="N5" s="18"/>
      <c r="O5" s="2" t="s">
        <v>1006</v>
      </c>
      <c r="P5" s="2" t="s">
        <v>1007</v>
      </c>
      <c r="Q5" s="2" t="s">
        <v>1008</v>
      </c>
      <c r="R5" s="2" t="s">
        <v>1009</v>
      </c>
      <c r="S5" s="2" t="s">
        <v>1010</v>
      </c>
      <c r="T5" s="2" t="s">
        <v>1011</v>
      </c>
      <c r="U5" s="2" t="s">
        <v>1012</v>
      </c>
      <c r="V5" s="2" t="s">
        <v>1013</v>
      </c>
      <c r="W5" s="2" t="s">
        <v>1014</v>
      </c>
      <c r="X5">
        <f>AVERAGE(0.9,0.77,0.79,0.91,0.8,0.81,0.89,0.76,0.56,0.66,0.82,0.99,0.8,0.81,0.55,0.99,0.88,0.55,0.8,0.77)</f>
        <v>0.7905</v>
      </c>
    </row>
    <row r="6" ht="16.5" customHeight="1">
      <c r="A6" s="2" t="s">
        <v>747</v>
      </c>
      <c r="B6" s="2" t="s">
        <v>71</v>
      </c>
      <c r="C6" s="2" t="s">
        <v>278</v>
      </c>
      <c r="D6" s="2" t="s">
        <v>369</v>
      </c>
      <c r="E6" s="2" t="s">
        <v>326</v>
      </c>
      <c r="F6" s="15"/>
      <c r="G6" s="2" t="s">
        <v>553</v>
      </c>
      <c r="H6" s="18"/>
      <c r="I6" s="2" t="s">
        <v>1015</v>
      </c>
      <c r="J6" s="2" t="s">
        <v>615</v>
      </c>
      <c r="K6" s="2" t="s">
        <v>1016</v>
      </c>
      <c r="L6" s="2" t="s">
        <v>673</v>
      </c>
      <c r="M6" s="2" t="s">
        <v>699</v>
      </c>
      <c r="N6" s="2" t="s">
        <v>719</v>
      </c>
      <c r="O6" s="2" t="s">
        <v>1017</v>
      </c>
      <c r="P6" s="2" t="s">
        <v>1018</v>
      </c>
      <c r="Q6" s="2" t="s">
        <v>1019</v>
      </c>
      <c r="R6" s="2" t="s">
        <v>841</v>
      </c>
      <c r="S6" s="2" t="s">
        <v>1020</v>
      </c>
      <c r="T6" s="2" t="s">
        <v>1021</v>
      </c>
      <c r="U6" s="2" t="s">
        <v>919</v>
      </c>
      <c r="V6" s="2" t="s">
        <v>938</v>
      </c>
      <c r="W6" s="2" t="s">
        <v>958</v>
      </c>
      <c r="X6">
        <f>AVERAGE(0.88,0.6,0.73,0.7,0.87,0.84,0.8,0.97,0.97,0.78,0.94,0.82,0.95,0.95,0.99,0.97,0.85,0.62,0.87,0.92)</f>
        <v>0.851</v>
      </c>
    </row>
    <row r="7" ht="16.5" customHeight="1">
      <c r="A7" s="2" t="s">
        <v>749</v>
      </c>
      <c r="B7" s="2" t="s">
        <v>1022</v>
      </c>
      <c r="C7" s="2" t="s">
        <v>1023</v>
      </c>
      <c r="D7" s="2" t="s">
        <v>1024</v>
      </c>
      <c r="E7" s="2" t="s">
        <v>1025</v>
      </c>
      <c r="F7" s="2" t="s">
        <v>328</v>
      </c>
      <c r="G7" s="15"/>
      <c r="H7" s="2" t="s">
        <v>512</v>
      </c>
      <c r="I7" s="2" t="s">
        <v>1026</v>
      </c>
      <c r="J7" s="2" t="s">
        <v>1027</v>
      </c>
      <c r="K7" s="2" t="s">
        <v>1028</v>
      </c>
      <c r="L7" s="2" t="s">
        <v>1029</v>
      </c>
      <c r="M7" s="2" t="s">
        <v>1030</v>
      </c>
      <c r="N7" s="2" t="s">
        <v>1031</v>
      </c>
      <c r="O7" s="2" t="s">
        <v>1032</v>
      </c>
      <c r="P7" s="2" t="s">
        <v>1033</v>
      </c>
      <c r="Q7" s="2" t="s">
        <v>1034</v>
      </c>
      <c r="R7" s="18"/>
      <c r="S7" s="2" t="s">
        <v>1035</v>
      </c>
      <c r="T7" s="2" t="s">
        <v>1036</v>
      </c>
      <c r="U7" s="2" t="s">
        <v>1037</v>
      </c>
      <c r="V7" s="2" t="s">
        <v>1038</v>
      </c>
      <c r="W7" s="2" t="s">
        <v>1039</v>
      </c>
      <c r="X7">
        <f>AVERAGE(0.81,0.73,0.87,0.77,0.97,0.78,0.54,0.8,0.97,0.86,0.97,0.69,0.83,0.72,0.96,0.97,0.97,0.77,0.89,0.64)</f>
        <v>0.8255</v>
      </c>
    </row>
    <row r="8" ht="16.5" customHeight="1">
      <c r="A8" s="2" t="s">
        <v>750</v>
      </c>
      <c r="B8" s="2" t="s">
        <v>940</v>
      </c>
      <c r="C8" s="2" t="s">
        <v>741</v>
      </c>
      <c r="D8" s="2" t="s">
        <v>1040</v>
      </c>
      <c r="E8" s="2" t="s">
        <v>721</v>
      </c>
      <c r="F8" s="18"/>
      <c r="G8" s="2" t="s">
        <v>843</v>
      </c>
      <c r="H8" s="15"/>
      <c r="I8" s="2" t="s">
        <v>1041</v>
      </c>
      <c r="J8" s="2" t="s">
        <v>893</v>
      </c>
      <c r="K8" s="2" t="s">
        <v>1042</v>
      </c>
      <c r="L8" s="2" t="s">
        <v>921</v>
      </c>
      <c r="M8" s="2" t="s">
        <v>589</v>
      </c>
      <c r="N8" s="2" t="s">
        <v>522</v>
      </c>
      <c r="O8" s="2" t="s">
        <v>1043</v>
      </c>
      <c r="P8" s="2" t="s">
        <v>960</v>
      </c>
      <c r="Q8" s="2" t="s">
        <v>1044</v>
      </c>
      <c r="R8" s="2" t="s">
        <v>557</v>
      </c>
      <c r="S8" s="2" t="s">
        <v>652</v>
      </c>
      <c r="T8" s="2" t="s">
        <v>619</v>
      </c>
      <c r="U8" s="2" t="s">
        <v>675</v>
      </c>
      <c r="V8" s="2" t="s">
        <v>73</v>
      </c>
      <c r="W8" s="2" t="s">
        <v>785</v>
      </c>
      <c r="X8">
        <f>AVERAGE(0.42,0.81,0.74,0.78,0.77,0.75,0.53,0.93,0.69,0.71,0.85,0.7,0.79,0.64,0.98,0.71,0.95,0.81,0.85,0.9)</f>
        <v>0.7655</v>
      </c>
    </row>
    <row r="9" ht="16.5" customHeight="1">
      <c r="A9" s="2" t="s">
        <v>753</v>
      </c>
      <c r="B9" s="2" t="s">
        <v>1045</v>
      </c>
      <c r="C9" s="2" t="s">
        <v>1046</v>
      </c>
      <c r="D9" s="2" t="s">
        <v>1047</v>
      </c>
      <c r="E9" s="22" t="s">
        <v>1048</v>
      </c>
      <c r="F9" s="2" t="s">
        <v>1059</v>
      </c>
      <c r="G9" s="2" t="s">
        <v>1060</v>
      </c>
      <c r="H9" s="2" t="s">
        <v>1061</v>
      </c>
      <c r="I9" s="15"/>
      <c r="J9" s="2" t="s">
        <v>1062</v>
      </c>
      <c r="K9" s="2" t="s">
        <v>1063</v>
      </c>
      <c r="L9" s="2" t="s">
        <v>1064</v>
      </c>
      <c r="M9" s="18"/>
      <c r="N9" s="2" t="s">
        <v>1065</v>
      </c>
      <c r="O9" s="2" t="s">
        <v>1066</v>
      </c>
      <c r="P9" s="2" t="s">
        <v>1067</v>
      </c>
      <c r="Q9" s="2" t="s">
        <v>1068</v>
      </c>
      <c r="R9" s="2" t="s">
        <v>1069</v>
      </c>
      <c r="S9" s="2" t="s">
        <v>1070</v>
      </c>
      <c r="T9" s="2" t="s">
        <v>1071</v>
      </c>
      <c r="U9" s="2" t="s">
        <v>1072</v>
      </c>
      <c r="V9" s="2" t="s">
        <v>1073</v>
      </c>
      <c r="W9" s="2" t="s">
        <v>1074</v>
      </c>
      <c r="X9">
        <f>AVERAGE(0.57,0.8,0.69,0.78,0.95,0.48,0.86,1.07,0.76,0.64,0.64,0.64,0.58,0.95,0.73,0.56,0.91,0.8,0.8,0.48)</f>
        <v>0.7345</v>
      </c>
    </row>
    <row r="10" ht="16.5" customHeight="1">
      <c r="A10" s="2" t="s">
        <v>755</v>
      </c>
      <c r="B10" s="2" t="s">
        <v>1075</v>
      </c>
      <c r="C10" s="2" t="s">
        <v>1076</v>
      </c>
      <c r="D10" s="2" t="s">
        <v>1077</v>
      </c>
      <c r="E10" s="2" t="s">
        <v>1078</v>
      </c>
      <c r="F10" s="2" t="s">
        <v>331</v>
      </c>
      <c r="G10" s="2" t="s">
        <v>1079</v>
      </c>
      <c r="H10" s="2" t="s">
        <v>514</v>
      </c>
      <c r="I10" s="2" t="s">
        <v>1080</v>
      </c>
      <c r="J10" s="15"/>
      <c r="K10" s="2" t="s">
        <v>1081</v>
      </c>
      <c r="L10" s="2" t="s">
        <v>1082</v>
      </c>
      <c r="M10" s="2" t="s">
        <v>1083</v>
      </c>
      <c r="N10" s="2" t="s">
        <v>1084</v>
      </c>
      <c r="O10" s="2" t="s">
        <v>1085</v>
      </c>
      <c r="P10" s="2" t="s">
        <v>1086</v>
      </c>
      <c r="Q10" s="2" t="s">
        <v>1087</v>
      </c>
      <c r="R10" s="2" t="s">
        <v>1088</v>
      </c>
      <c r="S10" s="2" t="s">
        <v>1089</v>
      </c>
      <c r="T10" s="18"/>
      <c r="U10" s="2" t="s">
        <v>1090</v>
      </c>
      <c r="V10" s="24" t="s">
        <v>1091</v>
      </c>
      <c r="W10" s="2" t="s">
        <v>1092</v>
      </c>
      <c r="X10">
        <f>AVERAGE(0.43,0.91,0.79,0.7,0.94,0.75,0.49,1.07,1.04,0.82,0.92,0.84,0.85,0.93,0.95,0.99,0.9,0.73,0.92,0.94)</f>
        <v>0.8455</v>
      </c>
    </row>
    <row r="11" ht="16.5" customHeight="1">
      <c r="A11" s="2" t="s">
        <v>756</v>
      </c>
      <c r="B11" s="2" t="s">
        <v>1119</v>
      </c>
      <c r="C11" s="2" t="s">
        <v>1124</v>
      </c>
      <c r="D11" s="2" t="s">
        <v>1128</v>
      </c>
      <c r="E11" s="2" t="s">
        <v>1131</v>
      </c>
      <c r="F11" s="2" t="s">
        <v>1142</v>
      </c>
      <c r="G11" s="2" t="s">
        <v>1145</v>
      </c>
      <c r="H11" s="2" t="s">
        <v>1149</v>
      </c>
      <c r="I11" s="2" t="s">
        <v>1152</v>
      </c>
      <c r="J11" s="2" t="s">
        <v>1156</v>
      </c>
      <c r="K11" s="15"/>
      <c r="L11" s="2" t="s">
        <v>1161</v>
      </c>
      <c r="M11" s="2" t="s">
        <v>1165</v>
      </c>
      <c r="N11" s="2" t="s">
        <v>1169</v>
      </c>
      <c r="O11" s="2" t="s">
        <v>1171</v>
      </c>
      <c r="P11" s="2" t="s">
        <v>1172</v>
      </c>
      <c r="Q11" s="2" t="s">
        <v>1175</v>
      </c>
      <c r="R11" s="2" t="s">
        <v>1176</v>
      </c>
      <c r="S11" s="18"/>
      <c r="T11" s="2" t="s">
        <v>1180</v>
      </c>
      <c r="U11" s="2" t="s">
        <v>1184</v>
      </c>
      <c r="V11" s="2" t="s">
        <v>1187</v>
      </c>
      <c r="W11" s="2" t="s">
        <v>1191</v>
      </c>
      <c r="X11">
        <f>AVERAGE(0.6,0.81,0.85,0.51,0.85,0.94,0.97,0.64,1.06,0.56,0.67,0.69,0.77,0.56,0.76,0.6,0.99,0.49,0.9,0.86)</f>
        <v>0.754</v>
      </c>
    </row>
    <row r="12" ht="16.5" customHeight="1">
      <c r="A12" s="2" t="s">
        <v>758</v>
      </c>
      <c r="B12" s="2" t="s">
        <v>1275</v>
      </c>
      <c r="C12" s="2" t="s">
        <v>886</v>
      </c>
      <c r="D12" s="2" t="s">
        <v>1285</v>
      </c>
      <c r="E12" s="2" t="s">
        <v>1287</v>
      </c>
      <c r="F12" s="2" t="s">
        <v>335</v>
      </c>
      <c r="G12" s="2" t="s">
        <v>1291</v>
      </c>
      <c r="H12" s="2" t="s">
        <v>515</v>
      </c>
      <c r="I12" s="2" t="s">
        <v>1295</v>
      </c>
      <c r="J12" s="2" t="s">
        <v>1297</v>
      </c>
      <c r="K12" s="2" t="s">
        <v>1299</v>
      </c>
      <c r="L12" s="15"/>
      <c r="M12" s="2" t="s">
        <v>1302</v>
      </c>
      <c r="N12" s="2" t="s">
        <v>1304</v>
      </c>
      <c r="O12" s="2" t="s">
        <v>1306</v>
      </c>
      <c r="P12" s="2" t="s">
        <v>1312</v>
      </c>
      <c r="Q12" s="2" t="s">
        <v>1314</v>
      </c>
      <c r="R12" s="2" t="s">
        <v>1316</v>
      </c>
      <c r="S12" s="2" t="s">
        <v>1318</v>
      </c>
      <c r="T12" s="2" t="s">
        <v>1320</v>
      </c>
      <c r="U12" s="18"/>
      <c r="V12" s="2" t="s">
        <v>1323</v>
      </c>
      <c r="W12" s="2" t="s">
        <v>1325</v>
      </c>
    </row>
    <row r="13" ht="16.5" customHeight="1">
      <c r="A13" s="2" t="s">
        <v>760</v>
      </c>
      <c r="B13" s="2" t="s">
        <v>1330</v>
      </c>
      <c r="C13" s="2" t="s">
        <v>1331</v>
      </c>
      <c r="D13" s="2" t="s">
        <v>1333</v>
      </c>
      <c r="E13" s="2" t="s">
        <v>1335</v>
      </c>
      <c r="F13" s="2" t="s">
        <v>337</v>
      </c>
      <c r="G13" s="2" t="s">
        <v>1339</v>
      </c>
      <c r="H13" s="2" t="s">
        <v>490</v>
      </c>
      <c r="I13" s="18"/>
      <c r="J13" s="2" t="s">
        <v>1343</v>
      </c>
      <c r="K13" s="2" t="s">
        <v>1345</v>
      </c>
      <c r="L13" s="2" t="s">
        <v>1347</v>
      </c>
      <c r="M13" s="15"/>
      <c r="N13" s="2" t="s">
        <v>1349</v>
      </c>
      <c r="O13" s="2" t="s">
        <v>1351</v>
      </c>
      <c r="P13" s="2" t="s">
        <v>1354</v>
      </c>
      <c r="Q13" s="2" t="s">
        <v>1355</v>
      </c>
      <c r="R13" s="2" t="s">
        <v>1358</v>
      </c>
      <c r="S13" s="2" t="s">
        <v>1360</v>
      </c>
      <c r="T13" s="2" t="s">
        <v>1362</v>
      </c>
      <c r="U13" s="2" t="s">
        <v>1364</v>
      </c>
      <c r="V13" s="2" t="s">
        <v>1366</v>
      </c>
      <c r="W13" s="2" t="s">
        <v>1371</v>
      </c>
    </row>
    <row r="14" ht="16.5" customHeight="1">
      <c r="A14" s="2" t="s">
        <v>761</v>
      </c>
      <c r="B14" s="2" t="s">
        <v>1375</v>
      </c>
      <c r="C14" s="2" t="s">
        <v>1377</v>
      </c>
      <c r="D14" s="2" t="s">
        <v>1379</v>
      </c>
      <c r="E14" s="18"/>
      <c r="F14" s="2" t="s">
        <v>339</v>
      </c>
      <c r="G14" s="2" t="s">
        <v>1383</v>
      </c>
      <c r="H14" s="2" t="s">
        <v>428</v>
      </c>
      <c r="I14" s="2" t="s">
        <v>1069</v>
      </c>
      <c r="J14" s="2" t="s">
        <v>1387</v>
      </c>
      <c r="K14" s="2" t="s">
        <v>1169</v>
      </c>
      <c r="L14" s="2" t="s">
        <v>1391</v>
      </c>
      <c r="M14" s="2" t="s">
        <v>1393</v>
      </c>
      <c r="N14" s="15"/>
      <c r="O14" s="2" t="s">
        <v>1397</v>
      </c>
      <c r="P14" s="2" t="s">
        <v>1398</v>
      </c>
      <c r="Q14" s="2" t="s">
        <v>1401</v>
      </c>
      <c r="R14" s="2" t="s">
        <v>1402</v>
      </c>
      <c r="S14" s="2" t="s">
        <v>1404</v>
      </c>
      <c r="T14" s="2" t="s">
        <v>1407</v>
      </c>
      <c r="U14" s="8" t="s">
        <v>1409</v>
      </c>
      <c r="V14" s="2" t="s">
        <v>1411</v>
      </c>
      <c r="W14" s="2" t="s">
        <v>1413</v>
      </c>
    </row>
    <row r="15" ht="16.5" customHeight="1">
      <c r="A15" s="2" t="s">
        <v>762</v>
      </c>
      <c r="B15" s="2" t="s">
        <v>1418</v>
      </c>
      <c r="C15" s="18"/>
      <c r="D15" s="2" t="s">
        <v>1420</v>
      </c>
      <c r="E15" s="2" t="s">
        <v>1423</v>
      </c>
      <c r="F15" s="2" t="s">
        <v>340</v>
      </c>
      <c r="G15" s="2" t="s">
        <v>1425</v>
      </c>
      <c r="H15" s="8" t="s">
        <v>1426</v>
      </c>
      <c r="I15" s="2" t="s">
        <v>1428</v>
      </c>
      <c r="J15" s="2" t="s">
        <v>1433</v>
      </c>
      <c r="K15" s="2" t="s">
        <v>1435</v>
      </c>
      <c r="L15" s="2" t="s">
        <v>1437</v>
      </c>
      <c r="M15" s="2" t="s">
        <v>1439</v>
      </c>
      <c r="N15" s="2" t="s">
        <v>1440</v>
      </c>
      <c r="O15" s="15"/>
      <c r="P15" s="2" t="s">
        <v>1442</v>
      </c>
      <c r="Q15" s="2" t="s">
        <v>1444</v>
      </c>
      <c r="R15" s="2" t="s">
        <v>1446</v>
      </c>
      <c r="S15" s="2" t="s">
        <v>1448</v>
      </c>
      <c r="T15" s="2" t="s">
        <v>1450</v>
      </c>
      <c r="U15" s="2" t="s">
        <v>1453</v>
      </c>
      <c r="V15" s="2" t="s">
        <v>1455</v>
      </c>
      <c r="W15" s="2" t="s">
        <v>1457</v>
      </c>
    </row>
    <row r="16" ht="16.5" customHeight="1">
      <c r="A16" s="2" t="s">
        <v>763</v>
      </c>
      <c r="B16" s="2" t="s">
        <v>1461</v>
      </c>
      <c r="C16" s="2" t="s">
        <v>1464</v>
      </c>
      <c r="D16" s="2" t="s">
        <v>989</v>
      </c>
      <c r="E16" s="2" t="s">
        <v>1467</v>
      </c>
      <c r="F16" s="2" t="s">
        <v>1470</v>
      </c>
      <c r="G16" s="2" t="s">
        <v>1473</v>
      </c>
      <c r="H16" s="2" t="s">
        <v>517</v>
      </c>
      <c r="I16" s="2" t="s">
        <v>1475</v>
      </c>
      <c r="J16" s="2" t="s">
        <v>1477</v>
      </c>
      <c r="K16" s="2" t="s">
        <v>1479</v>
      </c>
      <c r="L16" s="2" t="s">
        <v>1481</v>
      </c>
      <c r="M16" s="2" t="s">
        <v>1484</v>
      </c>
      <c r="N16" s="2" t="s">
        <v>1486</v>
      </c>
      <c r="O16" s="2" t="s">
        <v>1488</v>
      </c>
      <c r="P16" s="15"/>
      <c r="Q16" s="2" t="s">
        <v>1491</v>
      </c>
      <c r="R16" s="2" t="s">
        <v>1493</v>
      </c>
      <c r="S16" s="2" t="s">
        <v>1495</v>
      </c>
      <c r="T16" s="2" t="s">
        <v>1496</v>
      </c>
      <c r="U16" s="2" t="s">
        <v>1497</v>
      </c>
      <c r="V16" s="2" t="s">
        <v>1499</v>
      </c>
      <c r="W16" s="18"/>
    </row>
    <row r="17" ht="16.5" customHeight="1">
      <c r="A17" s="2" t="s">
        <v>764</v>
      </c>
      <c r="B17" s="2" t="s">
        <v>1504</v>
      </c>
      <c r="C17" s="2" t="s">
        <v>1506</v>
      </c>
      <c r="D17" s="18"/>
      <c r="E17" s="2" t="s">
        <v>1509</v>
      </c>
      <c r="F17" s="2" t="s">
        <v>1511</v>
      </c>
      <c r="G17" s="2" t="s">
        <v>1512</v>
      </c>
      <c r="H17" s="2" t="s">
        <v>1513</v>
      </c>
      <c r="I17" s="2" t="s">
        <v>1515</v>
      </c>
      <c r="J17" s="2" t="s">
        <v>1516</v>
      </c>
      <c r="K17" s="2" t="s">
        <v>1517</v>
      </c>
      <c r="L17" s="2" t="s">
        <v>1518</v>
      </c>
      <c r="M17" s="2" t="s">
        <v>1519</v>
      </c>
      <c r="N17" s="2" t="s">
        <v>1520</v>
      </c>
      <c r="O17" s="2" t="s">
        <v>1521</v>
      </c>
      <c r="P17" s="2" t="s">
        <v>1522</v>
      </c>
      <c r="Q17" s="15"/>
      <c r="R17" s="2" t="s">
        <v>1523</v>
      </c>
      <c r="S17" s="2" t="s">
        <v>1524</v>
      </c>
      <c r="T17" s="2" t="s">
        <v>1525</v>
      </c>
      <c r="U17" s="2" t="s">
        <v>1526</v>
      </c>
      <c r="V17" s="2" t="s">
        <v>1527</v>
      </c>
      <c r="W17" s="2" t="s">
        <v>1528</v>
      </c>
    </row>
    <row r="18" ht="16.5" customHeight="1">
      <c r="A18" s="2" t="s">
        <v>766</v>
      </c>
      <c r="B18" s="2" t="s">
        <v>1529</v>
      </c>
      <c r="C18" s="2" t="s">
        <v>1531</v>
      </c>
      <c r="D18" s="2" t="s">
        <v>1534</v>
      </c>
      <c r="E18" s="2" t="s">
        <v>1536</v>
      </c>
      <c r="F18" s="2" t="s">
        <v>346</v>
      </c>
      <c r="G18" s="18"/>
      <c r="H18" s="2" t="s">
        <v>431</v>
      </c>
      <c r="I18" s="2" t="s">
        <v>1541</v>
      </c>
      <c r="J18" s="2" t="s">
        <v>1543</v>
      </c>
      <c r="K18" s="2" t="s">
        <v>1545</v>
      </c>
      <c r="L18" s="2" t="s">
        <v>1547</v>
      </c>
      <c r="M18" s="2" t="s">
        <v>1548</v>
      </c>
      <c r="N18" s="2" t="s">
        <v>1549</v>
      </c>
      <c r="O18" s="2" t="s">
        <v>1446</v>
      </c>
      <c r="P18" s="2" t="s">
        <v>1551</v>
      </c>
      <c r="Q18" s="2" t="s">
        <v>1553</v>
      </c>
      <c r="R18" s="15"/>
      <c r="S18" s="2" t="s">
        <v>1554</v>
      </c>
      <c r="T18" s="2" t="s">
        <v>1555</v>
      </c>
      <c r="U18" s="2" t="s">
        <v>1557</v>
      </c>
      <c r="V18" s="2" t="s">
        <v>1559</v>
      </c>
      <c r="W18" s="2" t="s">
        <v>1561</v>
      </c>
    </row>
    <row r="19" ht="16.5" customHeight="1">
      <c r="A19" s="2" t="s">
        <v>767</v>
      </c>
      <c r="B19" s="2" t="s">
        <v>1565</v>
      </c>
      <c r="C19" s="2" t="s">
        <v>1566</v>
      </c>
      <c r="D19" s="2" t="s">
        <v>1568</v>
      </c>
      <c r="E19" s="2" t="s">
        <v>1574</v>
      </c>
      <c r="F19" s="2" t="s">
        <v>1576</v>
      </c>
      <c r="G19" s="8" t="s">
        <v>1578</v>
      </c>
      <c r="H19" s="2" t="s">
        <v>494</v>
      </c>
      <c r="I19" s="2" t="s">
        <v>1582</v>
      </c>
      <c r="J19" s="2" t="s">
        <v>1584</v>
      </c>
      <c r="K19" s="18"/>
      <c r="L19" s="2" t="s">
        <v>1586</v>
      </c>
      <c r="M19" s="2" t="s">
        <v>1587</v>
      </c>
      <c r="N19" s="2" t="s">
        <v>1589</v>
      </c>
      <c r="O19" s="2" t="s">
        <v>1591</v>
      </c>
      <c r="P19" s="2" t="s">
        <v>1593</v>
      </c>
      <c r="Q19" s="2" t="s">
        <v>1595</v>
      </c>
      <c r="R19" s="2" t="s">
        <v>1597</v>
      </c>
      <c r="S19" s="15"/>
      <c r="T19" s="2" t="s">
        <v>1599</v>
      </c>
      <c r="U19" s="2" t="s">
        <v>1602</v>
      </c>
      <c r="V19" s="2" t="s">
        <v>1603</v>
      </c>
      <c r="W19" s="2" t="s">
        <v>1605</v>
      </c>
    </row>
    <row r="20" ht="16.5" customHeight="1">
      <c r="A20" s="2" t="s">
        <v>769</v>
      </c>
      <c r="B20" s="2" t="s">
        <v>1608</v>
      </c>
      <c r="C20" s="2" t="s">
        <v>1610</v>
      </c>
      <c r="D20" s="2" t="s">
        <v>1612</v>
      </c>
      <c r="E20" s="2" t="s">
        <v>1615</v>
      </c>
      <c r="F20" s="2" t="s">
        <v>1617</v>
      </c>
      <c r="G20" s="2" t="s">
        <v>1619</v>
      </c>
      <c r="H20" s="2" t="s">
        <v>492</v>
      </c>
      <c r="I20" s="2" t="s">
        <v>1622</v>
      </c>
      <c r="J20" s="18"/>
      <c r="K20" s="2" t="s">
        <v>1625</v>
      </c>
      <c r="L20" s="2" t="s">
        <v>1627</v>
      </c>
      <c r="M20" s="2" t="s">
        <v>1629</v>
      </c>
      <c r="N20" s="2" t="s">
        <v>1631</v>
      </c>
      <c r="O20" s="2" t="s">
        <v>1633</v>
      </c>
      <c r="P20" s="2" t="s">
        <v>1635</v>
      </c>
      <c r="Q20" s="2" t="s">
        <v>1637</v>
      </c>
      <c r="R20" s="2" t="s">
        <v>1639</v>
      </c>
      <c r="S20" s="2" t="s">
        <v>1641</v>
      </c>
      <c r="T20" s="15"/>
      <c r="U20" s="2" t="s">
        <v>1643</v>
      </c>
      <c r="V20" s="2" t="s">
        <v>1645</v>
      </c>
      <c r="W20" s="2" t="s">
        <v>1647</v>
      </c>
    </row>
    <row r="21" ht="16.5" customHeight="1">
      <c r="A21" s="2" t="s">
        <v>770</v>
      </c>
      <c r="B21" s="2" t="s">
        <v>1650</v>
      </c>
      <c r="C21" s="2" t="s">
        <v>1652</v>
      </c>
      <c r="D21" s="2" t="s">
        <v>1656</v>
      </c>
      <c r="E21" s="2" t="s">
        <v>1659</v>
      </c>
      <c r="F21" s="2" t="s">
        <v>353</v>
      </c>
      <c r="G21" s="2" t="s">
        <v>1662</v>
      </c>
      <c r="H21" s="2" t="s">
        <v>496</v>
      </c>
      <c r="I21" s="2" t="s">
        <v>1666</v>
      </c>
      <c r="J21" s="2" t="s">
        <v>1668</v>
      </c>
      <c r="K21" s="2" t="s">
        <v>1670</v>
      </c>
      <c r="L21" s="18"/>
      <c r="M21" s="2" t="s">
        <v>1673</v>
      </c>
      <c r="N21" s="2" t="s">
        <v>1675</v>
      </c>
      <c r="O21" s="2" t="s">
        <v>1677</v>
      </c>
      <c r="P21" s="2" t="s">
        <v>1678</v>
      </c>
      <c r="Q21" s="2" t="s">
        <v>1680</v>
      </c>
      <c r="R21" s="2" t="s">
        <v>1682</v>
      </c>
      <c r="S21" s="2" t="s">
        <v>1684</v>
      </c>
      <c r="T21" s="8" t="s">
        <v>1686</v>
      </c>
      <c r="U21" s="15"/>
      <c r="V21" s="2" t="s">
        <v>1689</v>
      </c>
      <c r="W21" s="2" t="s">
        <v>1691</v>
      </c>
    </row>
    <row r="22" ht="16.5" customHeight="1">
      <c r="A22" s="2" t="s">
        <v>772</v>
      </c>
      <c r="B22" s="18"/>
      <c r="C22" s="2" t="s">
        <v>1695</v>
      </c>
      <c r="D22" s="2" t="s">
        <v>1697</v>
      </c>
      <c r="E22" s="2" t="s">
        <v>1698</v>
      </c>
      <c r="F22" s="2" t="s">
        <v>355</v>
      </c>
      <c r="G22" s="2" t="s">
        <v>1700</v>
      </c>
      <c r="H22" s="2" t="s">
        <v>73</v>
      </c>
      <c r="I22" s="2" t="s">
        <v>1704</v>
      </c>
      <c r="J22" s="2" t="s">
        <v>1706</v>
      </c>
      <c r="K22" s="2" t="s">
        <v>1187</v>
      </c>
      <c r="L22" s="2" t="s">
        <v>1709</v>
      </c>
      <c r="M22" s="2" t="s">
        <v>1711</v>
      </c>
      <c r="N22" s="2" t="s">
        <v>1713</v>
      </c>
      <c r="O22" s="2" t="s">
        <v>1715</v>
      </c>
      <c r="P22" s="2" t="s">
        <v>1717</v>
      </c>
      <c r="Q22" s="2" t="s">
        <v>1718</v>
      </c>
      <c r="R22" s="2" t="s">
        <v>1720</v>
      </c>
      <c r="S22" s="2" t="s">
        <v>1721</v>
      </c>
      <c r="T22" s="2" t="s">
        <v>1723</v>
      </c>
      <c r="U22" s="2" t="s">
        <v>1725</v>
      </c>
      <c r="V22" s="15"/>
      <c r="W22" s="2" t="s">
        <v>1727</v>
      </c>
    </row>
    <row r="23" ht="16.5" customHeight="1">
      <c r="A23" s="2" t="s">
        <v>773</v>
      </c>
      <c r="B23" s="2" t="s">
        <v>1732</v>
      </c>
      <c r="C23" s="2" t="s">
        <v>1734</v>
      </c>
      <c r="D23" s="2" t="s">
        <v>1736</v>
      </c>
      <c r="E23" s="2" t="s">
        <v>1739</v>
      </c>
      <c r="F23" s="2" t="s">
        <v>361</v>
      </c>
      <c r="G23" s="2" t="s">
        <v>1742</v>
      </c>
      <c r="H23" s="2" t="s">
        <v>504</v>
      </c>
      <c r="I23" s="2" t="s">
        <v>1745</v>
      </c>
      <c r="J23" s="2" t="s">
        <v>1747</v>
      </c>
      <c r="K23" s="2" t="s">
        <v>1749</v>
      </c>
      <c r="L23" s="2" t="s">
        <v>1751</v>
      </c>
      <c r="M23" s="2" t="s">
        <v>1753</v>
      </c>
      <c r="N23" s="2" t="s">
        <v>1754</v>
      </c>
      <c r="O23" s="2" t="s">
        <v>1756</v>
      </c>
      <c r="P23" s="18"/>
      <c r="Q23" s="2" t="s">
        <v>1758</v>
      </c>
      <c r="R23" s="2" t="s">
        <v>1760</v>
      </c>
      <c r="S23" s="2" t="s">
        <v>1763</v>
      </c>
      <c r="T23" s="2" t="s">
        <v>1764</v>
      </c>
      <c r="U23" s="2" t="s">
        <v>1767</v>
      </c>
      <c r="V23" s="2" t="s">
        <v>1769</v>
      </c>
      <c r="W23" s="15"/>
    </row>
    <row r="24" ht="16.5" customHeight="1">
      <c r="A24" s="2"/>
      <c r="G24" s="2"/>
      <c r="J24" s="2"/>
      <c r="M24" s="2"/>
      <c r="N24" s="8"/>
      <c r="P24" s="2"/>
      <c r="W24" s="2" t="s">
        <v>1776</v>
      </c>
      <c r="X24" s="28">
        <f>AVERAGE(X2:X23)</f>
        <v>0.77885</v>
      </c>
    </row>
    <row r="25" ht="16.5" customHeight="1">
      <c r="B25" s="1" t="s">
        <v>985</v>
      </c>
      <c r="D25" s="29" t="s">
        <v>1843</v>
      </c>
      <c r="E25" s="29" t="s">
        <v>1850</v>
      </c>
      <c r="F25" s="29" t="s">
        <v>1851</v>
      </c>
      <c r="G25" s="29" t="s">
        <v>1852</v>
      </c>
      <c r="H25" s="29" t="s">
        <v>1853</v>
      </c>
      <c r="I25" s="29" t="s">
        <v>1854</v>
      </c>
      <c r="J25" s="29" t="s">
        <v>1855</v>
      </c>
      <c r="K25" s="2" t="s">
        <v>1856</v>
      </c>
      <c r="L25" s="21" t="s">
        <v>1055</v>
      </c>
      <c r="M25" s="21" t="s">
        <v>1056</v>
      </c>
      <c r="N25" s="21" t="s">
        <v>1057</v>
      </c>
      <c r="O25" s="21" t="s">
        <v>1058</v>
      </c>
    </row>
    <row r="26" ht="16.5" customHeight="1">
      <c r="B26" s="1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440</v>
      </c>
      <c r="D26" s="23">
        <f>COUNTIF(B2:W23,"*[S, R2]*")+COUNTIF(B2:W23,"*[R2, S]*")+COUNTIF(B2:W23,"*[R2, S']*")+COUNTIF(B2:W23,"*[S', R2]*")</f>
        <v>20</v>
      </c>
      <c r="E26" s="23">
        <f>COUNTIF(B2:W23,"*[S, L2]*")+COUNTIF(B2:W23,"*[L2, S]*")+COUNTIF(B2:W23,"*[L2, S']*")+COUNTIF(B2:W23,"*[S', L2]*")</f>
        <v>15</v>
      </c>
      <c r="F26" s="23">
        <f>COUNTIF(B2:W23,"*[E, L2]*")+COUNTIF(B2:W23,"*[L2, E]*")+COUNTIF(B2:W23,"*[L2, E']*")+COUNTIF(B2:W23,"*[E', L2]*")</f>
        <v>43</v>
      </c>
      <c r="G26" s="23">
        <f>COUNTIF(B2:W23,"*[E, R2]*")+COUNTIF(B2:W23,"*[R2, E]*")+COUNTIF(B2:W23,"*[R2, E']*")+COUNTIF(B2:W23,"*[E', R2]*")</f>
        <v>62</v>
      </c>
      <c r="H26" s="23">
        <f>COUNTIF(B2:W23,"*[M, U2]*")+COUNTIF(B2:W23,"*[U2, M]*")+COUNTIF(B2:W23,"*[U2, M']*")+COUNTIF(B2:W23,"*[M', U2]*")</f>
        <v>24</v>
      </c>
      <c r="I26" s="23">
        <f>COUNTIF(B2:W23,"*[M, D2]*")+COUNTIF(B2:W23,"*[D2, M]*")+COUNTIF(B2:W23,"*[D2, M']*")+COUNTIF(B2:W23,"*[M', D2]*")</f>
        <v>4</v>
      </c>
      <c r="J26" s="23">
        <f>COUNTIF(B2:W23,"*M u2 M u2*")+COUNTIF(B2:W23,"*u2 M' u2 M'*")+COUNTIF(B2:W23,"*M' u2 M' u2*")+COUNTIF(B2:W23,"*u2 M u2 M*")+COUNTIF(B2:W23,"*u' M u2 M u'*")+COUNTIF(B2:W23,"*u M u2 M u*")+COUNTIF(B2:W23,"*u' M' u2 M' u'*")+COUNTIF(B2:W23,"*u M' u2 M' u*")</f>
        <v>8</v>
      </c>
      <c r="K26" s="2">
        <v>15.0</v>
      </c>
      <c r="L26" s="23">
        <f>COUNTIF(B2:W23,"*S*")</f>
        <v>103</v>
      </c>
      <c r="M26" s="23">
        <f>COUNTIF(B2:W23,"*E*")</f>
        <v>203</v>
      </c>
      <c r="N26" s="23">
        <f>COUNTIF(B2:W23,"*M*")</f>
        <v>153</v>
      </c>
      <c r="O26" s="23">
        <f>L26+M26+N26-B26</f>
        <v>19</v>
      </c>
    </row>
    <row r="27" ht="16.5" customHeight="1">
      <c r="D27" s="25">
        <f>D26/B26</f>
        <v>0.04545454545</v>
      </c>
      <c r="E27" s="25">
        <f>E26/B26</f>
        <v>0.03409090909</v>
      </c>
      <c r="F27" s="25">
        <f>F26/B26</f>
        <v>0.09772727273</v>
      </c>
      <c r="G27" s="34">
        <f>G26/B26</f>
        <v>0.1409090909</v>
      </c>
      <c r="H27" s="25">
        <f>H26/B26</f>
        <v>0.05454545455</v>
      </c>
      <c r="I27" s="25">
        <f>I26/B26</f>
        <v>0.009090909091</v>
      </c>
      <c r="J27" s="25">
        <f>J26/B26</f>
        <v>0.01818181818</v>
      </c>
      <c r="K27" s="25">
        <f>K26/B26</f>
        <v>0.03409090909</v>
      </c>
      <c r="L27" s="25">
        <f>L26/B26</f>
        <v>0.2340909091</v>
      </c>
      <c r="M27" s="25">
        <f>M26/B26</f>
        <v>0.4613636364</v>
      </c>
      <c r="N27" s="25">
        <f>N26/B26</f>
        <v>0.3477272727</v>
      </c>
      <c r="O27" s="25">
        <f>O26/440</f>
        <v>0.04318181818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t="s">
        <v>0</v>
      </c>
      <c r="B1" t="s">
        <v>1093</v>
      </c>
      <c r="C1" t="s">
        <v>1094</v>
      </c>
      <c r="D1" t="s">
        <v>1095</v>
      </c>
      <c r="E1" t="s">
        <v>1096</v>
      </c>
      <c r="F1" t="s">
        <v>1097</v>
      </c>
      <c r="G1" t="s">
        <v>1098</v>
      </c>
      <c r="H1" t="s">
        <v>1099</v>
      </c>
      <c r="I1" t="s">
        <v>1100</v>
      </c>
      <c r="J1" t="s">
        <v>1101</v>
      </c>
      <c r="K1" t="s">
        <v>1102</v>
      </c>
      <c r="L1" t="s">
        <v>1103</v>
      </c>
      <c r="M1" s="2" t="s">
        <v>1104</v>
      </c>
      <c r="N1" t="s">
        <v>1105</v>
      </c>
      <c r="O1" t="s">
        <v>1106</v>
      </c>
      <c r="P1" t="s">
        <v>1107</v>
      </c>
      <c r="Q1" t="s">
        <v>1108</v>
      </c>
      <c r="R1" t="s">
        <v>1109</v>
      </c>
      <c r="S1" t="s">
        <v>1110</v>
      </c>
      <c r="T1" t="s">
        <v>1111</v>
      </c>
      <c r="U1" t="s">
        <v>1112</v>
      </c>
      <c r="V1" t="s">
        <v>1113</v>
      </c>
      <c r="W1" t="s">
        <v>1114</v>
      </c>
      <c r="X1" s="2" t="s">
        <v>1115</v>
      </c>
    </row>
    <row r="2" ht="16.5" customHeight="1">
      <c r="A2" s="2" t="s">
        <v>1093</v>
      </c>
      <c r="B2" s="15"/>
      <c r="C2" t="s">
        <v>1116</v>
      </c>
      <c r="D2" s="2" t="s">
        <v>1117</v>
      </c>
      <c r="E2" t="s">
        <v>1118</v>
      </c>
      <c r="F2" t="s">
        <v>1120</v>
      </c>
      <c r="G2" t="s">
        <v>1121</v>
      </c>
      <c r="H2" t="s">
        <v>1122</v>
      </c>
      <c r="I2" t="s">
        <v>1123</v>
      </c>
      <c r="J2" t="s">
        <v>1125</v>
      </c>
      <c r="K2" t="s">
        <v>1126</v>
      </c>
      <c r="L2" t="s">
        <v>1127</v>
      </c>
      <c r="M2" s="2" t="s">
        <v>1129</v>
      </c>
      <c r="N2" s="2" t="s">
        <v>1130</v>
      </c>
      <c r="O2" s="2" t="s">
        <v>1132</v>
      </c>
      <c r="P2" t="s">
        <v>1133</v>
      </c>
      <c r="Q2" s="2" t="s">
        <v>1134</v>
      </c>
      <c r="R2" s="2" t="s">
        <v>1135</v>
      </c>
      <c r="S2" t="s">
        <v>1136</v>
      </c>
      <c r="T2" s="2" t="s">
        <v>1137</v>
      </c>
      <c r="U2" s="2" t="s">
        <v>1138</v>
      </c>
      <c r="V2" t="s">
        <v>1139</v>
      </c>
      <c r="W2" t="s">
        <v>1140</v>
      </c>
      <c r="X2" t="s">
        <v>1141</v>
      </c>
    </row>
    <row r="3" ht="16.5" customHeight="1">
      <c r="A3" t="s">
        <v>1143</v>
      </c>
      <c r="B3" t="s">
        <v>1144</v>
      </c>
      <c r="C3" s="15"/>
      <c r="D3" t="s">
        <v>1146</v>
      </c>
      <c r="E3" t="s">
        <v>1147</v>
      </c>
      <c r="F3" t="s">
        <v>1148</v>
      </c>
      <c r="G3" t="s">
        <v>1150</v>
      </c>
      <c r="H3" t="s">
        <v>1151</v>
      </c>
      <c r="I3" s="2" t="s">
        <v>1153</v>
      </c>
      <c r="J3" t="s">
        <v>1154</v>
      </c>
      <c r="K3" t="s">
        <v>1155</v>
      </c>
      <c r="L3" t="s">
        <v>1157</v>
      </c>
      <c r="M3" t="s">
        <v>1158</v>
      </c>
      <c r="N3" t="s">
        <v>1159</v>
      </c>
      <c r="O3" t="s">
        <v>1160</v>
      </c>
      <c r="P3" t="s">
        <v>1162</v>
      </c>
      <c r="Q3" t="s">
        <v>1163</v>
      </c>
      <c r="R3" t="s">
        <v>1164</v>
      </c>
      <c r="S3" t="s">
        <v>1166</v>
      </c>
      <c r="T3" t="s">
        <v>1167</v>
      </c>
      <c r="U3" t="s">
        <v>1168</v>
      </c>
      <c r="V3" t="s">
        <v>1170</v>
      </c>
      <c r="W3" t="s">
        <v>1173</v>
      </c>
      <c r="X3" t="s">
        <v>1174</v>
      </c>
    </row>
    <row r="4" ht="16.5" customHeight="1">
      <c r="A4" t="s">
        <v>1095</v>
      </c>
      <c r="B4" s="2" t="s">
        <v>1177</v>
      </c>
      <c r="C4" t="s">
        <v>1178</v>
      </c>
      <c r="D4" s="15"/>
      <c r="E4" t="s">
        <v>1179</v>
      </c>
      <c r="F4" t="s">
        <v>1181</v>
      </c>
      <c r="G4" t="s">
        <v>1182</v>
      </c>
      <c r="H4" t="s">
        <v>1183</v>
      </c>
      <c r="I4" t="s">
        <v>1185</v>
      </c>
      <c r="J4" t="s">
        <v>1186</v>
      </c>
      <c r="K4" t="s">
        <v>1188</v>
      </c>
      <c r="L4" t="s">
        <v>1189</v>
      </c>
      <c r="M4" t="s">
        <v>1190</v>
      </c>
      <c r="N4" t="s">
        <v>1192</v>
      </c>
      <c r="O4" t="s">
        <v>1193</v>
      </c>
      <c r="P4" t="s">
        <v>1194</v>
      </c>
      <c r="Q4" t="s">
        <v>1195</v>
      </c>
      <c r="R4" t="s">
        <v>1196</v>
      </c>
      <c r="S4" t="s">
        <v>1197</v>
      </c>
      <c r="T4" t="s">
        <v>1198</v>
      </c>
      <c r="U4" t="s">
        <v>1199</v>
      </c>
      <c r="V4" t="s">
        <v>1200</v>
      </c>
      <c r="W4" t="s">
        <v>1201</v>
      </c>
      <c r="X4" t="s">
        <v>1202</v>
      </c>
    </row>
    <row r="5" ht="16.5" customHeight="1">
      <c r="A5" t="s">
        <v>1096</v>
      </c>
      <c r="B5" t="s">
        <v>1203</v>
      </c>
      <c r="C5" t="s">
        <v>1204</v>
      </c>
      <c r="D5" t="s">
        <v>1205</v>
      </c>
      <c r="E5" s="15"/>
      <c r="F5" t="s">
        <v>1206</v>
      </c>
      <c r="G5" t="s">
        <v>1207</v>
      </c>
      <c r="H5" t="s">
        <v>1208</v>
      </c>
      <c r="I5" t="s">
        <v>1209</v>
      </c>
      <c r="J5" t="s">
        <v>1210</v>
      </c>
      <c r="K5" t="s">
        <v>1211</v>
      </c>
      <c r="L5" t="s">
        <v>1212</v>
      </c>
      <c r="M5" t="s">
        <v>1213</v>
      </c>
      <c r="N5" t="s">
        <v>1214</v>
      </c>
      <c r="O5" t="s">
        <v>1215</v>
      </c>
      <c r="P5" t="s">
        <v>1216</v>
      </c>
      <c r="Q5" t="s">
        <v>1217</v>
      </c>
      <c r="R5" t="s">
        <v>1218</v>
      </c>
      <c r="S5" t="s">
        <v>1219</v>
      </c>
      <c r="T5" t="s">
        <v>1220</v>
      </c>
      <c r="U5" t="s">
        <v>1221</v>
      </c>
      <c r="V5" t="s">
        <v>1222</v>
      </c>
      <c r="W5" s="2" t="s">
        <v>1223</v>
      </c>
      <c r="X5" t="s">
        <v>1224</v>
      </c>
    </row>
    <row r="6" ht="16.5" customHeight="1">
      <c r="A6" t="s">
        <v>1097</v>
      </c>
      <c r="B6" t="s">
        <v>1225</v>
      </c>
      <c r="C6" t="s">
        <v>1226</v>
      </c>
      <c r="D6" t="s">
        <v>1227</v>
      </c>
      <c r="E6" t="s">
        <v>1228</v>
      </c>
      <c r="F6" s="15"/>
      <c r="G6" t="s">
        <v>1229</v>
      </c>
      <c r="H6" t="s">
        <v>1230</v>
      </c>
      <c r="I6" t="s">
        <v>1231</v>
      </c>
      <c r="J6" s="2" t="s">
        <v>1232</v>
      </c>
      <c r="K6" s="2" t="s">
        <v>1233</v>
      </c>
      <c r="L6" s="2" t="s">
        <v>1234</v>
      </c>
      <c r="M6" t="s">
        <v>1235</v>
      </c>
      <c r="N6" t="s">
        <v>1236</v>
      </c>
      <c r="O6" t="s">
        <v>1237</v>
      </c>
      <c r="P6" t="s">
        <v>1238</v>
      </c>
      <c r="Q6" t="s">
        <v>1239</v>
      </c>
      <c r="R6" t="s">
        <v>1240</v>
      </c>
      <c r="S6" t="s">
        <v>1241</v>
      </c>
      <c r="T6" t="s">
        <v>1242</v>
      </c>
      <c r="U6" t="s">
        <v>1243</v>
      </c>
      <c r="V6" t="s">
        <v>1244</v>
      </c>
      <c r="W6" t="s">
        <v>1245</v>
      </c>
      <c r="X6" t="s">
        <v>1246</v>
      </c>
    </row>
    <row r="7" ht="16.5" customHeight="1">
      <c r="A7" t="s">
        <v>1098</v>
      </c>
      <c r="B7" t="s">
        <v>1247</v>
      </c>
      <c r="C7" t="s">
        <v>1248</v>
      </c>
      <c r="D7" t="s">
        <v>1249</v>
      </c>
      <c r="E7" t="s">
        <v>1250</v>
      </c>
      <c r="F7" t="s">
        <v>1251</v>
      </c>
      <c r="G7" s="15"/>
      <c r="H7" t="s">
        <v>1252</v>
      </c>
      <c r="I7" t="s">
        <v>1253</v>
      </c>
      <c r="J7" t="s">
        <v>1254</v>
      </c>
      <c r="K7" t="s">
        <v>1255</v>
      </c>
      <c r="L7" t="s">
        <v>1256</v>
      </c>
      <c r="M7" t="s">
        <v>1257</v>
      </c>
      <c r="N7" t="s">
        <v>1258</v>
      </c>
      <c r="O7" t="s">
        <v>1259</v>
      </c>
      <c r="P7" t="s">
        <v>1260</v>
      </c>
      <c r="Q7" t="s">
        <v>1261</v>
      </c>
      <c r="R7" t="s">
        <v>1262</v>
      </c>
      <c r="S7" s="2" t="s">
        <v>1263</v>
      </c>
      <c r="T7" t="s">
        <v>1264</v>
      </c>
      <c r="U7" t="s">
        <v>1265</v>
      </c>
      <c r="V7" t="s">
        <v>1266</v>
      </c>
      <c r="W7" t="s">
        <v>1267</v>
      </c>
      <c r="X7" s="2" t="s">
        <v>1268</v>
      </c>
    </row>
    <row r="8" ht="16.5" customHeight="1">
      <c r="A8" t="s">
        <v>1099</v>
      </c>
      <c r="B8" t="s">
        <v>1269</v>
      </c>
      <c r="C8" t="s">
        <v>1270</v>
      </c>
      <c r="D8" t="s">
        <v>1271</v>
      </c>
      <c r="E8" t="s">
        <v>1272</v>
      </c>
      <c r="F8" t="s">
        <v>1273</v>
      </c>
      <c r="G8" t="s">
        <v>1274</v>
      </c>
      <c r="H8" s="15"/>
      <c r="I8" t="s">
        <v>1276</v>
      </c>
      <c r="J8" t="s">
        <v>1277</v>
      </c>
      <c r="K8" t="s">
        <v>1278</v>
      </c>
      <c r="L8" t="s">
        <v>1279</v>
      </c>
      <c r="M8" t="s">
        <v>1280</v>
      </c>
      <c r="N8" t="s">
        <v>1281</v>
      </c>
      <c r="O8" s="2" t="s">
        <v>1282</v>
      </c>
      <c r="P8" t="s">
        <v>1283</v>
      </c>
      <c r="Q8" t="s">
        <v>1284</v>
      </c>
      <c r="R8" s="2" t="s">
        <v>1286</v>
      </c>
      <c r="S8" t="s">
        <v>1288</v>
      </c>
      <c r="T8" s="2" t="s">
        <v>1289</v>
      </c>
      <c r="U8" t="s">
        <v>1290</v>
      </c>
      <c r="V8" t="s">
        <v>1292</v>
      </c>
      <c r="W8" t="s">
        <v>1293</v>
      </c>
      <c r="X8" t="s">
        <v>1294</v>
      </c>
    </row>
    <row r="9" ht="16.5" customHeight="1">
      <c r="A9" t="s">
        <v>1100</v>
      </c>
      <c r="B9" t="s">
        <v>1296</v>
      </c>
      <c r="C9" s="2" t="s">
        <v>1298</v>
      </c>
      <c r="D9" t="s">
        <v>1300</v>
      </c>
      <c r="E9" t="s">
        <v>1301</v>
      </c>
      <c r="F9" t="s">
        <v>1303</v>
      </c>
      <c r="G9" t="s">
        <v>1305</v>
      </c>
      <c r="H9" t="s">
        <v>1307</v>
      </c>
      <c r="I9" s="15"/>
      <c r="J9" t="s">
        <v>1308</v>
      </c>
      <c r="K9" t="s">
        <v>1309</v>
      </c>
      <c r="L9" t="s">
        <v>1310</v>
      </c>
      <c r="M9" t="s">
        <v>1311</v>
      </c>
      <c r="N9" t="s">
        <v>1313</v>
      </c>
      <c r="O9" t="s">
        <v>1315</v>
      </c>
      <c r="P9" t="s">
        <v>1317</v>
      </c>
      <c r="Q9" t="s">
        <v>1319</v>
      </c>
      <c r="R9" t="s">
        <v>1321</v>
      </c>
      <c r="S9" t="s">
        <v>1322</v>
      </c>
      <c r="T9" t="s">
        <v>1324</v>
      </c>
      <c r="U9" t="s">
        <v>1326</v>
      </c>
      <c r="V9" t="s">
        <v>1327</v>
      </c>
      <c r="W9" t="s">
        <v>1328</v>
      </c>
      <c r="X9" t="s">
        <v>1329</v>
      </c>
    </row>
    <row r="10" ht="16.5" customHeight="1">
      <c r="A10" t="s">
        <v>1101</v>
      </c>
      <c r="B10" t="s">
        <v>1332</v>
      </c>
      <c r="C10" t="s">
        <v>1334</v>
      </c>
      <c r="D10" t="s">
        <v>1336</v>
      </c>
      <c r="E10" t="s">
        <v>1337</v>
      </c>
      <c r="F10" s="2" t="s">
        <v>1338</v>
      </c>
      <c r="G10" t="s">
        <v>1340</v>
      </c>
      <c r="H10" t="s">
        <v>1341</v>
      </c>
      <c r="I10" t="s">
        <v>1342</v>
      </c>
      <c r="J10" s="15"/>
      <c r="K10" t="s">
        <v>1344</v>
      </c>
      <c r="L10" t="s">
        <v>1346</v>
      </c>
      <c r="M10" t="s">
        <v>1348</v>
      </c>
      <c r="N10" t="s">
        <v>1350</v>
      </c>
      <c r="O10" t="s">
        <v>1352</v>
      </c>
      <c r="P10" t="s">
        <v>1353</v>
      </c>
      <c r="Q10" t="s">
        <v>1356</v>
      </c>
      <c r="R10" t="s">
        <v>1357</v>
      </c>
      <c r="S10" t="s">
        <v>1359</v>
      </c>
      <c r="T10" t="s">
        <v>1361</v>
      </c>
      <c r="U10" t="s">
        <v>1363</v>
      </c>
      <c r="V10" t="s">
        <v>1365</v>
      </c>
      <c r="W10" t="s">
        <v>1367</v>
      </c>
      <c r="X10" s="2" t="s">
        <v>1368</v>
      </c>
    </row>
    <row r="11" ht="16.5" customHeight="1">
      <c r="A11" t="s">
        <v>1102</v>
      </c>
      <c r="B11" t="s">
        <v>1369</v>
      </c>
      <c r="C11" t="s">
        <v>1370</v>
      </c>
      <c r="D11" t="s">
        <v>1372</v>
      </c>
      <c r="E11" t="s">
        <v>1373</v>
      </c>
      <c r="F11" s="2" t="s">
        <v>1374</v>
      </c>
      <c r="G11" t="s">
        <v>1376</v>
      </c>
      <c r="H11" t="s">
        <v>1378</v>
      </c>
      <c r="I11" t="s">
        <v>1380</v>
      </c>
      <c r="J11" t="s">
        <v>1381</v>
      </c>
      <c r="K11" s="15"/>
      <c r="L11" t="s">
        <v>1382</v>
      </c>
      <c r="M11" t="s">
        <v>1384</v>
      </c>
      <c r="N11" t="s">
        <v>1385</v>
      </c>
      <c r="O11" t="s">
        <v>1386</v>
      </c>
      <c r="P11" t="s">
        <v>1388</v>
      </c>
      <c r="Q11" t="s">
        <v>1389</v>
      </c>
      <c r="R11" t="s">
        <v>1390</v>
      </c>
      <c r="S11" t="s">
        <v>1392</v>
      </c>
      <c r="T11" t="s">
        <v>1394</v>
      </c>
      <c r="U11" t="s">
        <v>1395</v>
      </c>
      <c r="V11" t="s">
        <v>1396</v>
      </c>
      <c r="W11" s="2" t="s">
        <v>1399</v>
      </c>
      <c r="X11" t="s">
        <v>1400</v>
      </c>
    </row>
    <row r="12" ht="16.5" customHeight="1">
      <c r="A12" t="s">
        <v>1103</v>
      </c>
      <c r="B12" t="s">
        <v>1403</v>
      </c>
      <c r="C12" t="s">
        <v>1405</v>
      </c>
      <c r="D12" t="s">
        <v>1406</v>
      </c>
      <c r="E12" t="s">
        <v>1408</v>
      </c>
      <c r="F12" s="2" t="s">
        <v>1410</v>
      </c>
      <c r="G12" t="s">
        <v>1412</v>
      </c>
      <c r="H12" t="s">
        <v>1414</v>
      </c>
      <c r="I12" t="s">
        <v>1415</v>
      </c>
      <c r="J12" t="s">
        <v>1416</v>
      </c>
      <c r="K12" t="s">
        <v>1417</v>
      </c>
      <c r="L12" s="15"/>
      <c r="M12" t="s">
        <v>1419</v>
      </c>
      <c r="N12" t="s">
        <v>1421</v>
      </c>
      <c r="O12" t="s">
        <v>1422</v>
      </c>
      <c r="P12" t="s">
        <v>1424</v>
      </c>
      <c r="Q12" t="s">
        <v>1427</v>
      </c>
      <c r="R12" t="s">
        <v>1429</v>
      </c>
      <c r="S12" t="s">
        <v>1430</v>
      </c>
      <c r="T12" s="2" t="s">
        <v>1431</v>
      </c>
      <c r="U12" t="s">
        <v>1432</v>
      </c>
      <c r="V12" t="s">
        <v>1434</v>
      </c>
      <c r="W12" t="s">
        <v>1436</v>
      </c>
      <c r="X12" t="s">
        <v>1438</v>
      </c>
    </row>
    <row r="13" ht="16.5" customHeight="1">
      <c r="A13" s="2" t="s">
        <v>1104</v>
      </c>
      <c r="B13" s="2" t="s">
        <v>1441</v>
      </c>
      <c r="C13" t="s">
        <v>1443</v>
      </c>
      <c r="D13" t="s">
        <v>1445</v>
      </c>
      <c r="E13" t="s">
        <v>1447</v>
      </c>
      <c r="F13" t="s">
        <v>1449</v>
      </c>
      <c r="G13" t="s">
        <v>1451</v>
      </c>
      <c r="H13" t="s">
        <v>1452</v>
      </c>
      <c r="I13" t="s">
        <v>1454</v>
      </c>
      <c r="J13" t="s">
        <v>1456</v>
      </c>
      <c r="K13" t="s">
        <v>1458</v>
      </c>
      <c r="L13" t="s">
        <v>1459</v>
      </c>
      <c r="M13" s="15"/>
      <c r="N13" t="s">
        <v>1460</v>
      </c>
      <c r="O13" t="s">
        <v>1462</v>
      </c>
      <c r="P13" t="s">
        <v>1463</v>
      </c>
      <c r="Q13" t="s">
        <v>1465</v>
      </c>
      <c r="R13" t="s">
        <v>1466</v>
      </c>
      <c r="S13" s="2" t="s">
        <v>1468</v>
      </c>
      <c r="T13" s="2" t="s">
        <v>1431</v>
      </c>
      <c r="U13" t="s">
        <v>1469</v>
      </c>
      <c r="V13" t="s">
        <v>1348</v>
      </c>
      <c r="W13" t="s">
        <v>1471</v>
      </c>
      <c r="X13" s="2" t="s">
        <v>1472</v>
      </c>
    </row>
    <row r="14" ht="16.5" customHeight="1">
      <c r="A14" t="s">
        <v>1105</v>
      </c>
      <c r="B14" s="2" t="s">
        <v>1474</v>
      </c>
      <c r="C14" t="s">
        <v>1476</v>
      </c>
      <c r="D14" t="s">
        <v>1478</v>
      </c>
      <c r="E14" t="s">
        <v>1480</v>
      </c>
      <c r="F14" t="s">
        <v>1482</v>
      </c>
      <c r="G14" t="s">
        <v>1483</v>
      </c>
      <c r="H14" t="s">
        <v>1485</v>
      </c>
      <c r="I14" t="s">
        <v>1487</v>
      </c>
      <c r="J14" t="s">
        <v>1489</v>
      </c>
      <c r="K14" t="s">
        <v>1490</v>
      </c>
      <c r="L14" t="s">
        <v>1492</v>
      </c>
      <c r="M14" t="s">
        <v>1494</v>
      </c>
      <c r="N14" s="15"/>
      <c r="O14" t="s">
        <v>1494</v>
      </c>
      <c r="P14" t="s">
        <v>1498</v>
      </c>
      <c r="Q14" s="2" t="s">
        <v>1500</v>
      </c>
      <c r="R14" t="s">
        <v>1501</v>
      </c>
      <c r="S14" t="s">
        <v>1502</v>
      </c>
      <c r="T14" t="s">
        <v>1503</v>
      </c>
      <c r="U14" s="8" t="s">
        <v>1505</v>
      </c>
      <c r="V14" t="s">
        <v>1507</v>
      </c>
      <c r="W14" t="s">
        <v>1508</v>
      </c>
      <c r="X14" s="2" t="s">
        <v>1510</v>
      </c>
    </row>
    <row r="15" ht="16.5" customHeight="1">
      <c r="A15" t="s">
        <v>1106</v>
      </c>
      <c r="B15" s="27" t="s">
        <v>1514</v>
      </c>
      <c r="C15" t="s">
        <v>1530</v>
      </c>
      <c r="D15" t="s">
        <v>1532</v>
      </c>
      <c r="E15" t="s">
        <v>1533</v>
      </c>
      <c r="F15" t="s">
        <v>1535</v>
      </c>
      <c r="G15" t="s">
        <v>1537</v>
      </c>
      <c r="H15" s="8" t="s">
        <v>1538</v>
      </c>
      <c r="I15" t="s">
        <v>1539</v>
      </c>
      <c r="J15" t="s">
        <v>1540</v>
      </c>
      <c r="K15" t="s">
        <v>1542</v>
      </c>
      <c r="L15" t="s">
        <v>1544</v>
      </c>
      <c r="M15" t="s">
        <v>1546</v>
      </c>
      <c r="N15" t="s">
        <v>1460</v>
      </c>
      <c r="O15" s="15"/>
      <c r="P15" t="s">
        <v>1463</v>
      </c>
      <c r="Q15" s="2" t="s">
        <v>1550</v>
      </c>
      <c r="R15" t="s">
        <v>1552</v>
      </c>
      <c r="S15" s="2" t="s">
        <v>1556</v>
      </c>
      <c r="T15" t="s">
        <v>1558</v>
      </c>
      <c r="U15" t="s">
        <v>1560</v>
      </c>
      <c r="V15" t="s">
        <v>1562</v>
      </c>
      <c r="W15" t="s">
        <v>1563</v>
      </c>
      <c r="X15" t="s">
        <v>1564</v>
      </c>
    </row>
    <row r="16" ht="16.5" customHeight="1">
      <c r="A16" t="s">
        <v>1107</v>
      </c>
      <c r="B16" t="s">
        <v>1567</v>
      </c>
      <c r="C16" t="s">
        <v>1569</v>
      </c>
      <c r="D16" t="s">
        <v>1570</v>
      </c>
      <c r="E16" t="s">
        <v>1571</v>
      </c>
      <c r="F16" t="s">
        <v>1572</v>
      </c>
      <c r="G16" t="s">
        <v>1573</v>
      </c>
      <c r="H16" t="s">
        <v>1575</v>
      </c>
      <c r="I16" t="s">
        <v>1577</v>
      </c>
      <c r="J16" t="s">
        <v>1579</v>
      </c>
      <c r="K16" t="s">
        <v>1580</v>
      </c>
      <c r="L16" t="s">
        <v>1581</v>
      </c>
      <c r="M16" t="s">
        <v>1583</v>
      </c>
      <c r="N16" t="s">
        <v>1585</v>
      </c>
      <c r="O16" t="s">
        <v>1583</v>
      </c>
      <c r="P16" s="15"/>
      <c r="Q16" t="s">
        <v>1588</v>
      </c>
      <c r="R16" t="s">
        <v>1590</v>
      </c>
      <c r="S16" t="s">
        <v>1592</v>
      </c>
      <c r="T16" t="s">
        <v>1594</v>
      </c>
      <c r="U16" t="s">
        <v>1596</v>
      </c>
      <c r="V16" t="s">
        <v>1598</v>
      </c>
      <c r="W16" t="s">
        <v>1600</v>
      </c>
      <c r="X16" s="8" t="s">
        <v>1601</v>
      </c>
    </row>
    <row r="17" ht="16.5" customHeight="1">
      <c r="A17" t="s">
        <v>1108</v>
      </c>
      <c r="B17" s="2" t="s">
        <v>1604</v>
      </c>
      <c r="C17" t="s">
        <v>1606</v>
      </c>
      <c r="D17" t="s">
        <v>1607</v>
      </c>
      <c r="E17" t="s">
        <v>1609</v>
      </c>
      <c r="F17" t="s">
        <v>1611</v>
      </c>
      <c r="G17" t="s">
        <v>1613</v>
      </c>
      <c r="H17" t="s">
        <v>1614</v>
      </c>
      <c r="I17" t="s">
        <v>1616</v>
      </c>
      <c r="J17" t="s">
        <v>1618</v>
      </c>
      <c r="K17" t="s">
        <v>1620</v>
      </c>
      <c r="L17" t="s">
        <v>1621</v>
      </c>
      <c r="M17" t="s">
        <v>1623</v>
      </c>
      <c r="N17" s="2" t="s">
        <v>1624</v>
      </c>
      <c r="O17" s="2" t="s">
        <v>1626</v>
      </c>
      <c r="P17" t="s">
        <v>1628</v>
      </c>
      <c r="Q17" s="15"/>
      <c r="R17" t="s">
        <v>1630</v>
      </c>
      <c r="S17" t="s">
        <v>1632</v>
      </c>
      <c r="T17" t="s">
        <v>1634</v>
      </c>
      <c r="U17" t="s">
        <v>1636</v>
      </c>
      <c r="V17" t="s">
        <v>1638</v>
      </c>
      <c r="W17" t="s">
        <v>1640</v>
      </c>
      <c r="X17" t="s">
        <v>1642</v>
      </c>
    </row>
    <row r="18" ht="16.5" customHeight="1">
      <c r="A18" t="s">
        <v>1109</v>
      </c>
      <c r="B18" s="2" t="s">
        <v>1644</v>
      </c>
      <c r="C18" t="s">
        <v>1646</v>
      </c>
      <c r="D18" t="s">
        <v>1648</v>
      </c>
      <c r="E18" t="s">
        <v>1649</v>
      </c>
      <c r="F18" t="s">
        <v>1651</v>
      </c>
      <c r="G18" t="s">
        <v>1653</v>
      </c>
      <c r="H18" s="2" t="s">
        <v>1654</v>
      </c>
      <c r="I18" t="s">
        <v>1655</v>
      </c>
      <c r="J18" t="s">
        <v>1657</v>
      </c>
      <c r="K18" t="s">
        <v>1658</v>
      </c>
      <c r="L18" t="s">
        <v>1660</v>
      </c>
      <c r="M18" t="s">
        <v>1661</v>
      </c>
      <c r="N18" t="s">
        <v>1663</v>
      </c>
      <c r="O18" t="s">
        <v>1664</v>
      </c>
      <c r="P18" t="s">
        <v>1665</v>
      </c>
      <c r="Q18" t="s">
        <v>1667</v>
      </c>
      <c r="R18" s="15"/>
      <c r="S18" t="s">
        <v>1669</v>
      </c>
      <c r="T18" t="s">
        <v>1671</v>
      </c>
      <c r="U18" t="s">
        <v>1672</v>
      </c>
      <c r="V18" t="s">
        <v>1674</v>
      </c>
      <c r="W18" t="s">
        <v>1676</v>
      </c>
      <c r="X18" t="s">
        <v>1573</v>
      </c>
    </row>
    <row r="19" ht="16.5" customHeight="1">
      <c r="A19" t="s">
        <v>1110</v>
      </c>
      <c r="B19" t="s">
        <v>1679</v>
      </c>
      <c r="C19" t="s">
        <v>1681</v>
      </c>
      <c r="D19" t="s">
        <v>1683</v>
      </c>
      <c r="E19" t="s">
        <v>1685</v>
      </c>
      <c r="F19" t="s">
        <v>1687</v>
      </c>
      <c r="G19" s="8" t="s">
        <v>1688</v>
      </c>
      <c r="H19" t="s">
        <v>1690</v>
      </c>
      <c r="I19" t="s">
        <v>1692</v>
      </c>
      <c r="J19" t="s">
        <v>1693</v>
      </c>
      <c r="K19" t="s">
        <v>1694</v>
      </c>
      <c r="L19" t="s">
        <v>1696</v>
      </c>
      <c r="M19" s="2" t="s">
        <v>1699</v>
      </c>
      <c r="N19" t="s">
        <v>1701</v>
      </c>
      <c r="O19" s="2" t="s">
        <v>1702</v>
      </c>
      <c r="P19" t="s">
        <v>1703</v>
      </c>
      <c r="Q19" t="s">
        <v>1705</v>
      </c>
      <c r="R19" t="s">
        <v>1707</v>
      </c>
      <c r="S19" s="15"/>
      <c r="T19" t="s">
        <v>1708</v>
      </c>
      <c r="U19" t="s">
        <v>1710</v>
      </c>
      <c r="V19" t="s">
        <v>1712</v>
      </c>
      <c r="W19" t="s">
        <v>1714</v>
      </c>
      <c r="X19" t="s">
        <v>1716</v>
      </c>
    </row>
    <row r="20" ht="16.5" customHeight="1">
      <c r="A20" t="s">
        <v>1111</v>
      </c>
      <c r="B20" s="2" t="s">
        <v>1719</v>
      </c>
      <c r="C20" t="s">
        <v>1220</v>
      </c>
      <c r="D20" t="s">
        <v>1722</v>
      </c>
      <c r="E20" t="s">
        <v>1167</v>
      </c>
      <c r="F20" t="s">
        <v>1724</v>
      </c>
      <c r="G20" t="s">
        <v>1726</v>
      </c>
      <c r="H20" s="2" t="s">
        <v>1728</v>
      </c>
      <c r="I20" t="s">
        <v>1729</v>
      </c>
      <c r="J20" t="s">
        <v>1730</v>
      </c>
      <c r="K20" t="s">
        <v>1731</v>
      </c>
      <c r="L20" t="s">
        <v>1733</v>
      </c>
      <c r="M20" s="2" t="s">
        <v>1735</v>
      </c>
      <c r="N20" t="s">
        <v>1737</v>
      </c>
      <c r="O20" t="s">
        <v>1738</v>
      </c>
      <c r="P20" t="s">
        <v>1740</v>
      </c>
      <c r="Q20" t="s">
        <v>1741</v>
      </c>
      <c r="R20" t="s">
        <v>1743</v>
      </c>
      <c r="S20" t="s">
        <v>1744</v>
      </c>
      <c r="T20" s="15"/>
      <c r="U20" s="2" t="s">
        <v>1746</v>
      </c>
      <c r="V20" t="s">
        <v>1748</v>
      </c>
      <c r="W20" t="s">
        <v>1750</v>
      </c>
      <c r="X20" t="s">
        <v>1752</v>
      </c>
    </row>
    <row r="21" ht="16.5" customHeight="1">
      <c r="A21" t="s">
        <v>1112</v>
      </c>
      <c r="B21" s="2" t="s">
        <v>1755</v>
      </c>
      <c r="C21" t="s">
        <v>1757</v>
      </c>
      <c r="D21" t="s">
        <v>1759</v>
      </c>
      <c r="E21" t="s">
        <v>1761</v>
      </c>
      <c r="F21" t="s">
        <v>1762</v>
      </c>
      <c r="G21" t="s">
        <v>1765</v>
      </c>
      <c r="H21" t="s">
        <v>1766</v>
      </c>
      <c r="I21" t="s">
        <v>1768</v>
      </c>
      <c r="J21" t="s">
        <v>1770</v>
      </c>
      <c r="K21" t="s">
        <v>1771</v>
      </c>
      <c r="L21" t="s">
        <v>1772</v>
      </c>
      <c r="M21" t="s">
        <v>1773</v>
      </c>
      <c r="N21" s="2" t="s">
        <v>1774</v>
      </c>
      <c r="O21" t="s">
        <v>1775</v>
      </c>
      <c r="P21" t="s">
        <v>1777</v>
      </c>
      <c r="Q21" t="s">
        <v>1778</v>
      </c>
      <c r="R21" t="s">
        <v>1779</v>
      </c>
      <c r="S21" t="s">
        <v>1780</v>
      </c>
      <c r="T21" s="8" t="s">
        <v>1781</v>
      </c>
      <c r="U21" s="15"/>
      <c r="V21" t="s">
        <v>1782</v>
      </c>
      <c r="W21" t="s">
        <v>1783</v>
      </c>
      <c r="X21" t="s">
        <v>1784</v>
      </c>
    </row>
    <row r="22" ht="16.5" customHeight="1">
      <c r="A22" t="s">
        <v>1113</v>
      </c>
      <c r="B22" t="s">
        <v>1785</v>
      </c>
      <c r="C22" t="s">
        <v>1786</v>
      </c>
      <c r="D22" t="s">
        <v>1787</v>
      </c>
      <c r="E22" t="s">
        <v>1788</v>
      </c>
      <c r="F22" t="s">
        <v>1789</v>
      </c>
      <c r="G22" t="s">
        <v>1790</v>
      </c>
      <c r="H22" t="s">
        <v>1791</v>
      </c>
      <c r="I22" t="s">
        <v>1792</v>
      </c>
      <c r="J22" t="s">
        <v>1793</v>
      </c>
      <c r="K22" t="s">
        <v>1794</v>
      </c>
      <c r="L22" t="s">
        <v>1795</v>
      </c>
      <c r="M22" t="s">
        <v>1456</v>
      </c>
      <c r="N22" t="s">
        <v>1796</v>
      </c>
      <c r="O22" t="s">
        <v>1797</v>
      </c>
      <c r="P22" t="s">
        <v>1798</v>
      </c>
      <c r="Q22" t="s">
        <v>1799</v>
      </c>
      <c r="R22" t="s">
        <v>1800</v>
      </c>
      <c r="S22" t="s">
        <v>1801</v>
      </c>
      <c r="T22" t="s">
        <v>1802</v>
      </c>
      <c r="U22" t="s">
        <v>1803</v>
      </c>
      <c r="V22" s="15"/>
      <c r="W22" t="s">
        <v>1804</v>
      </c>
      <c r="X22" t="s">
        <v>1805</v>
      </c>
    </row>
    <row r="23" ht="16.5" customHeight="1">
      <c r="A23" t="s">
        <v>1114</v>
      </c>
      <c r="B23" t="s">
        <v>1806</v>
      </c>
      <c r="C23" t="s">
        <v>1807</v>
      </c>
      <c r="D23" t="s">
        <v>1808</v>
      </c>
      <c r="E23" s="2" t="s">
        <v>1223</v>
      </c>
      <c r="F23" t="s">
        <v>1809</v>
      </c>
      <c r="G23" t="s">
        <v>1810</v>
      </c>
      <c r="H23" t="s">
        <v>1811</v>
      </c>
      <c r="I23" t="s">
        <v>1812</v>
      </c>
      <c r="J23" t="s">
        <v>1813</v>
      </c>
      <c r="K23" s="2" t="s">
        <v>1814</v>
      </c>
      <c r="L23" t="s">
        <v>1815</v>
      </c>
      <c r="M23" t="s">
        <v>1816</v>
      </c>
      <c r="N23" t="s">
        <v>1817</v>
      </c>
      <c r="O23" t="s">
        <v>1818</v>
      </c>
      <c r="P23" t="s">
        <v>1819</v>
      </c>
      <c r="Q23" t="s">
        <v>1820</v>
      </c>
      <c r="R23" t="s">
        <v>1821</v>
      </c>
      <c r="S23" t="s">
        <v>1822</v>
      </c>
      <c r="T23" t="s">
        <v>1823</v>
      </c>
      <c r="U23" t="s">
        <v>1824</v>
      </c>
      <c r="V23" t="s">
        <v>1825</v>
      </c>
      <c r="W23" s="15"/>
      <c r="X23" t="s">
        <v>1826</v>
      </c>
    </row>
    <row r="24" ht="16.5" customHeight="1">
      <c r="A24" s="2" t="s">
        <v>1115</v>
      </c>
      <c r="B24" t="s">
        <v>1827</v>
      </c>
      <c r="C24" t="s">
        <v>1828</v>
      </c>
      <c r="D24" t="s">
        <v>1829</v>
      </c>
      <c r="E24" t="s">
        <v>1830</v>
      </c>
      <c r="F24" t="s">
        <v>1831</v>
      </c>
      <c r="G24" s="2" t="s">
        <v>1832</v>
      </c>
      <c r="H24" t="s">
        <v>1833</v>
      </c>
      <c r="I24" t="s">
        <v>1834</v>
      </c>
      <c r="J24" s="2" t="s">
        <v>1835</v>
      </c>
      <c r="K24" t="s">
        <v>1836</v>
      </c>
      <c r="L24" t="s">
        <v>1837</v>
      </c>
      <c r="M24" s="2" t="s">
        <v>1838</v>
      </c>
      <c r="N24" s="8" t="s">
        <v>1839</v>
      </c>
      <c r="O24" t="s">
        <v>1840</v>
      </c>
      <c r="P24" s="2" t="s">
        <v>1841</v>
      </c>
      <c r="Q24" t="s">
        <v>1842</v>
      </c>
      <c r="R24" t="s">
        <v>1260</v>
      </c>
      <c r="S24" t="s">
        <v>1844</v>
      </c>
      <c r="T24" t="s">
        <v>1845</v>
      </c>
      <c r="U24" t="s">
        <v>1846</v>
      </c>
      <c r="V24" t="s">
        <v>1847</v>
      </c>
      <c r="W24" t="s">
        <v>1848</v>
      </c>
      <c r="X24" s="15"/>
    </row>
    <row r="25" ht="16.5" customHeight="1"/>
    <row r="26" ht="16.5" customHeight="1">
      <c r="B26" t="s">
        <v>1849</v>
      </c>
    </row>
    <row r="27" ht="16.5" customHeight="1">
      <c r="B27">
        <f>529-COUNTBLANK(B2:X24)</f>
        <v>506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s="1" t="s">
        <v>0</v>
      </c>
      <c r="B1" s="7" t="s">
        <v>778</v>
      </c>
      <c r="C1" s="7" t="s">
        <v>852</v>
      </c>
      <c r="D1" s="7" t="s">
        <v>744</v>
      </c>
      <c r="E1" s="7" t="s">
        <v>745</v>
      </c>
      <c r="F1" s="7" t="s">
        <v>747</v>
      </c>
      <c r="G1" s="7" t="s">
        <v>749</v>
      </c>
      <c r="H1" s="7" t="s">
        <v>750</v>
      </c>
      <c r="I1" s="7" t="s">
        <v>753</v>
      </c>
      <c r="J1" s="7" t="s">
        <v>755</v>
      </c>
      <c r="K1" s="7" t="s">
        <v>756</v>
      </c>
      <c r="L1" s="7" t="s">
        <v>758</v>
      </c>
      <c r="M1" s="7" t="s">
        <v>760</v>
      </c>
      <c r="N1" s="7" t="s">
        <v>761</v>
      </c>
      <c r="O1" s="7" t="s">
        <v>762</v>
      </c>
      <c r="P1" s="7" t="s">
        <v>763</v>
      </c>
      <c r="Q1" s="7" t="s">
        <v>764</v>
      </c>
      <c r="R1" s="7" t="s">
        <v>766</v>
      </c>
      <c r="S1" s="7" t="s">
        <v>767</v>
      </c>
      <c r="T1" s="7" t="s">
        <v>769</v>
      </c>
      <c r="U1" s="7" t="s">
        <v>770</v>
      </c>
      <c r="V1" s="7" t="s">
        <v>772</v>
      </c>
      <c r="W1" s="7" t="s">
        <v>773</v>
      </c>
    </row>
    <row r="2" ht="16.5" customHeight="1">
      <c r="A2" s="7" t="s">
        <v>778</v>
      </c>
      <c r="B2" s="30"/>
      <c r="C2" s="31" t="s">
        <v>1857</v>
      </c>
      <c r="D2" s="31" t="s">
        <v>789</v>
      </c>
      <c r="E2" s="31" t="s">
        <v>1858</v>
      </c>
      <c r="F2" s="31" t="s">
        <v>318</v>
      </c>
      <c r="G2" s="31" t="s">
        <v>1859</v>
      </c>
      <c r="H2" s="31" t="s">
        <v>516</v>
      </c>
      <c r="I2" s="31" t="s">
        <v>1860</v>
      </c>
      <c r="J2" s="31" t="s">
        <v>793</v>
      </c>
      <c r="K2" s="31" t="s">
        <v>1861</v>
      </c>
      <c r="L2" s="31" t="s">
        <v>1862</v>
      </c>
      <c r="M2" s="31" t="s">
        <v>1863</v>
      </c>
      <c r="N2" s="31" t="s">
        <v>1864</v>
      </c>
      <c r="O2" s="31" t="s">
        <v>1865</v>
      </c>
      <c r="P2" s="31" t="s">
        <v>1866</v>
      </c>
      <c r="Q2" s="31" t="s">
        <v>800</v>
      </c>
      <c r="R2" s="31" t="s">
        <v>1867</v>
      </c>
      <c r="S2" s="31" t="s">
        <v>1868</v>
      </c>
      <c r="T2" s="31" t="s">
        <v>803</v>
      </c>
      <c r="U2" s="31" t="s">
        <v>1869</v>
      </c>
      <c r="V2" s="30"/>
      <c r="W2" s="31" t="s">
        <v>1870</v>
      </c>
    </row>
    <row r="3" ht="16.5" customHeight="1">
      <c r="A3" s="7" t="s">
        <v>852</v>
      </c>
      <c r="B3" s="31" t="s">
        <v>1871</v>
      </c>
      <c r="C3" s="30"/>
      <c r="D3" s="31" t="s">
        <v>860</v>
      </c>
      <c r="E3" s="31" t="s">
        <v>1872</v>
      </c>
      <c r="F3" s="31" t="s">
        <v>1873</v>
      </c>
      <c r="G3" s="31" t="s">
        <v>814</v>
      </c>
      <c r="H3" s="31" t="s">
        <v>1874</v>
      </c>
      <c r="I3" s="8" t="s">
        <v>1875</v>
      </c>
      <c r="J3" s="31" t="s">
        <v>1076</v>
      </c>
      <c r="K3" s="31" t="s">
        <v>1876</v>
      </c>
      <c r="L3" s="31" t="s">
        <v>1877</v>
      </c>
      <c r="M3" s="31" t="s">
        <v>1878</v>
      </c>
      <c r="N3" s="31" t="s">
        <v>1879</v>
      </c>
      <c r="O3" s="30"/>
      <c r="P3" s="31" t="s">
        <v>1880</v>
      </c>
      <c r="Q3" s="31" t="s">
        <v>1881</v>
      </c>
      <c r="R3" s="31" t="s">
        <v>1882</v>
      </c>
      <c r="S3" s="31" t="s">
        <v>1883</v>
      </c>
      <c r="T3" s="31" t="s">
        <v>1884</v>
      </c>
      <c r="U3" s="31" t="s">
        <v>1885</v>
      </c>
      <c r="V3" s="31" t="s">
        <v>1886</v>
      </c>
      <c r="W3" s="31" t="s">
        <v>1887</v>
      </c>
    </row>
    <row r="4" ht="16.5" customHeight="1">
      <c r="A4" s="7" t="s">
        <v>744</v>
      </c>
      <c r="B4" s="31" t="s">
        <v>1888</v>
      </c>
      <c r="C4" s="31" t="s">
        <v>974</v>
      </c>
      <c r="D4" s="30"/>
      <c r="E4" s="31" t="s">
        <v>1889</v>
      </c>
      <c r="F4" s="31" t="s">
        <v>1890</v>
      </c>
      <c r="G4" s="31" t="s">
        <v>1891</v>
      </c>
      <c r="H4" s="31" t="s">
        <v>1892</v>
      </c>
      <c r="I4" s="31" t="s">
        <v>1893</v>
      </c>
      <c r="J4" s="31" t="s">
        <v>1894</v>
      </c>
      <c r="K4" s="31" t="s">
        <v>1895</v>
      </c>
      <c r="L4" s="31" t="s">
        <v>1896</v>
      </c>
      <c r="M4" s="31" t="s">
        <v>1897</v>
      </c>
      <c r="N4" s="31" t="s">
        <v>1898</v>
      </c>
      <c r="O4" s="31" t="s">
        <v>1899</v>
      </c>
      <c r="P4" s="31" t="s">
        <v>1900</v>
      </c>
      <c r="Q4" s="30"/>
      <c r="R4" s="31" t="s">
        <v>1901</v>
      </c>
      <c r="S4" s="31" t="s">
        <v>1902</v>
      </c>
      <c r="T4" s="31" t="s">
        <v>1903</v>
      </c>
      <c r="U4" s="31" t="s">
        <v>1904</v>
      </c>
      <c r="V4" s="31" t="s">
        <v>1905</v>
      </c>
      <c r="W4" s="31" t="s">
        <v>1906</v>
      </c>
    </row>
    <row r="5" ht="16.5" customHeight="1">
      <c r="A5" s="7" t="s">
        <v>745</v>
      </c>
      <c r="B5" s="31" t="s">
        <v>1907</v>
      </c>
      <c r="C5" s="31" t="s">
        <v>1908</v>
      </c>
      <c r="D5" s="31" t="s">
        <v>1909</v>
      </c>
      <c r="E5" s="30"/>
      <c r="F5" s="31" t="s">
        <v>326</v>
      </c>
      <c r="G5" s="31" t="s">
        <v>1910</v>
      </c>
      <c r="H5" s="31" t="s">
        <v>1911</v>
      </c>
      <c r="I5" s="31" t="s">
        <v>1912</v>
      </c>
      <c r="J5" s="31" t="s">
        <v>1913</v>
      </c>
      <c r="K5" s="31" t="s">
        <v>1914</v>
      </c>
      <c r="L5" s="31" t="s">
        <v>1004</v>
      </c>
      <c r="M5" s="31" t="s">
        <v>1915</v>
      </c>
      <c r="N5" s="32"/>
      <c r="O5" s="31" t="s">
        <v>1916</v>
      </c>
      <c r="P5" s="31" t="s">
        <v>1917</v>
      </c>
      <c r="Q5" s="31" t="s">
        <v>1918</v>
      </c>
      <c r="R5" s="31" t="s">
        <v>1009</v>
      </c>
      <c r="S5" s="31" t="s">
        <v>1919</v>
      </c>
      <c r="T5" s="31" t="s">
        <v>1011</v>
      </c>
      <c r="U5" s="31" t="s">
        <v>1920</v>
      </c>
      <c r="V5" s="31" t="s">
        <v>1013</v>
      </c>
      <c r="W5" s="31" t="s">
        <v>1921</v>
      </c>
    </row>
    <row r="6" ht="16.5" customHeight="1">
      <c r="A6" s="7" t="s">
        <v>747</v>
      </c>
      <c r="B6" s="31" t="s">
        <v>71</v>
      </c>
      <c r="C6" s="31" t="s">
        <v>1922</v>
      </c>
      <c r="D6" s="31" t="s">
        <v>1923</v>
      </c>
      <c r="E6" s="31" t="s">
        <v>520</v>
      </c>
      <c r="F6" s="30"/>
      <c r="G6" s="31"/>
      <c r="H6" s="32"/>
      <c r="I6" s="31"/>
      <c r="J6" s="33"/>
      <c r="K6" s="31"/>
      <c r="L6" s="31"/>
      <c r="M6" s="33"/>
      <c r="N6" s="31"/>
      <c r="O6" s="33"/>
      <c r="P6" s="31"/>
      <c r="Q6" s="33"/>
      <c r="R6" s="31"/>
      <c r="S6" s="33"/>
      <c r="T6" s="33"/>
      <c r="U6" s="31"/>
      <c r="V6" s="33"/>
      <c r="W6" s="33"/>
    </row>
    <row r="7" ht="16.5" customHeight="1">
      <c r="A7" s="7" t="s">
        <v>749</v>
      </c>
      <c r="B7" s="31" t="s">
        <v>1924</v>
      </c>
      <c r="C7" s="31" t="s">
        <v>833</v>
      </c>
      <c r="D7" s="31" t="s">
        <v>1925</v>
      </c>
      <c r="E7" s="31" t="s">
        <v>1926</v>
      </c>
      <c r="F7" s="33"/>
      <c r="G7" s="30"/>
      <c r="H7" s="33"/>
      <c r="I7" s="33"/>
      <c r="J7" s="33"/>
      <c r="K7" s="33"/>
      <c r="L7" s="33"/>
      <c r="M7" s="33"/>
      <c r="N7" s="33"/>
      <c r="O7" s="31"/>
      <c r="P7" s="33"/>
      <c r="Q7" s="33"/>
      <c r="R7" s="30"/>
      <c r="S7" s="33"/>
      <c r="T7" s="33"/>
      <c r="U7" s="33"/>
      <c r="V7" s="33"/>
      <c r="W7" s="31"/>
    </row>
    <row r="8" ht="16.5" customHeight="1">
      <c r="A8" s="7" t="s">
        <v>750</v>
      </c>
      <c r="B8" s="31" t="s">
        <v>940</v>
      </c>
      <c r="C8" s="31" t="s">
        <v>1927</v>
      </c>
      <c r="D8" s="31" t="s">
        <v>1928</v>
      </c>
      <c r="E8" s="31" t="s">
        <v>1929</v>
      </c>
      <c r="F8" s="30"/>
      <c r="G8" s="33"/>
      <c r="H8" s="30"/>
      <c r="I8" s="33"/>
      <c r="J8" s="33"/>
      <c r="K8" s="33"/>
      <c r="L8" s="33"/>
      <c r="M8" s="33"/>
      <c r="N8" s="33"/>
      <c r="O8" s="33"/>
      <c r="P8" s="33"/>
      <c r="Q8" s="31"/>
      <c r="R8" s="33"/>
      <c r="S8" s="33"/>
      <c r="T8" s="33"/>
      <c r="U8" s="33"/>
      <c r="V8" s="33"/>
      <c r="W8" s="33"/>
    </row>
    <row r="9" ht="16.5" customHeight="1">
      <c r="A9" s="7" t="s">
        <v>753</v>
      </c>
      <c r="B9" s="31" t="s">
        <v>1930</v>
      </c>
      <c r="C9" s="8" t="s">
        <v>1931</v>
      </c>
      <c r="D9" s="31" t="s">
        <v>1932</v>
      </c>
      <c r="E9" s="31" t="s">
        <v>1933</v>
      </c>
      <c r="F9" s="33"/>
      <c r="G9" s="33"/>
      <c r="H9" s="33"/>
      <c r="I9" s="30"/>
      <c r="J9" s="31"/>
      <c r="K9" s="33"/>
      <c r="L9" s="31"/>
      <c r="M9" s="30"/>
      <c r="N9" s="33"/>
      <c r="O9" s="33"/>
      <c r="P9" s="31"/>
      <c r="Q9" s="33"/>
      <c r="R9" s="31"/>
      <c r="S9" s="33"/>
      <c r="T9" s="33"/>
      <c r="U9" s="33"/>
      <c r="V9" s="33"/>
      <c r="W9" s="33"/>
    </row>
    <row r="10" ht="16.5" customHeight="1">
      <c r="A10" s="7" t="s">
        <v>755</v>
      </c>
      <c r="B10" s="31" t="s">
        <v>1075</v>
      </c>
      <c r="C10" s="31" t="s">
        <v>878</v>
      </c>
      <c r="D10" s="31" t="s">
        <v>1934</v>
      </c>
      <c r="E10" s="31" t="s">
        <v>1935</v>
      </c>
      <c r="F10" s="33"/>
      <c r="G10" s="33"/>
      <c r="H10" s="33"/>
      <c r="I10" s="31"/>
      <c r="J10" s="30"/>
      <c r="K10" s="31"/>
      <c r="L10" s="33"/>
      <c r="M10" s="33"/>
      <c r="N10" s="33"/>
      <c r="O10" s="33"/>
      <c r="P10" s="33"/>
      <c r="Q10" s="33"/>
      <c r="R10" s="33"/>
      <c r="S10" s="33"/>
      <c r="T10" s="30"/>
      <c r="U10" s="33"/>
      <c r="V10" s="33"/>
      <c r="W10" s="33"/>
    </row>
    <row r="11" ht="16.5" customHeight="1">
      <c r="A11" s="7" t="s">
        <v>756</v>
      </c>
      <c r="B11" s="31" t="s">
        <v>1936</v>
      </c>
      <c r="C11" s="31" t="s">
        <v>1937</v>
      </c>
      <c r="D11" s="31" t="s">
        <v>1938</v>
      </c>
      <c r="E11" s="31" t="s">
        <v>1939</v>
      </c>
      <c r="F11" s="33"/>
      <c r="G11" s="33"/>
      <c r="H11" s="33"/>
      <c r="I11" s="33"/>
      <c r="J11" s="31"/>
      <c r="K11" s="30"/>
      <c r="L11" s="31"/>
      <c r="M11" s="33"/>
      <c r="N11" s="31"/>
      <c r="O11" s="33"/>
      <c r="P11" s="31"/>
      <c r="Q11" s="33"/>
      <c r="R11" s="33"/>
      <c r="S11" s="30"/>
      <c r="T11" s="33"/>
      <c r="U11" s="33"/>
      <c r="V11" s="33"/>
      <c r="W11" s="33"/>
    </row>
    <row r="12" ht="16.5" customHeight="1">
      <c r="A12" s="7" t="s">
        <v>758</v>
      </c>
      <c r="B12" s="31" t="s">
        <v>1940</v>
      </c>
      <c r="C12" s="31" t="s">
        <v>1941</v>
      </c>
      <c r="D12" s="31" t="s">
        <v>1942</v>
      </c>
      <c r="E12" s="31" t="s">
        <v>1287</v>
      </c>
      <c r="F12" s="8"/>
      <c r="G12" s="33"/>
      <c r="H12" s="33"/>
      <c r="I12" s="8"/>
      <c r="J12" s="31"/>
      <c r="K12" s="8"/>
      <c r="L12" s="30"/>
      <c r="M12" s="33"/>
      <c r="N12" s="33"/>
      <c r="O12" s="33"/>
      <c r="P12" s="33"/>
      <c r="Q12" s="33"/>
      <c r="R12" s="31"/>
      <c r="S12" s="33"/>
      <c r="T12" s="33"/>
      <c r="U12" s="30"/>
      <c r="V12" s="33"/>
      <c r="W12" s="33"/>
    </row>
    <row r="13" ht="16.5" customHeight="1">
      <c r="A13" s="7" t="s">
        <v>760</v>
      </c>
      <c r="B13" s="31" t="s">
        <v>1948</v>
      </c>
      <c r="C13" s="31" t="s">
        <v>1950</v>
      </c>
      <c r="D13" s="31" t="s">
        <v>1952</v>
      </c>
      <c r="E13" s="31" t="s">
        <v>1955</v>
      </c>
      <c r="F13" s="33"/>
      <c r="G13" s="33"/>
      <c r="H13" s="33"/>
      <c r="I13" s="30"/>
      <c r="J13" s="33"/>
      <c r="K13" s="33"/>
      <c r="L13" s="33"/>
      <c r="M13" s="30"/>
      <c r="N13" s="33"/>
      <c r="O13" s="33"/>
      <c r="P13" s="33"/>
      <c r="Q13" s="33"/>
      <c r="R13" s="33"/>
      <c r="S13" s="33"/>
      <c r="T13" s="33"/>
      <c r="U13" s="33"/>
      <c r="V13" s="33"/>
      <c r="W13" s="31"/>
    </row>
    <row r="14" ht="16.5" customHeight="1">
      <c r="A14" s="7" t="s">
        <v>761</v>
      </c>
      <c r="B14" s="31" t="s">
        <v>1968</v>
      </c>
      <c r="C14" s="31" t="s">
        <v>1970</v>
      </c>
      <c r="D14" s="31" t="s">
        <v>1972</v>
      </c>
      <c r="E14" s="35"/>
      <c r="F14" s="8"/>
      <c r="G14" s="33"/>
      <c r="H14" s="33"/>
      <c r="I14" s="33"/>
      <c r="J14" s="31"/>
      <c r="K14" s="8"/>
      <c r="L14" s="33"/>
      <c r="M14" s="33"/>
      <c r="N14" s="30"/>
      <c r="O14" s="33"/>
      <c r="P14" s="33"/>
      <c r="Q14" s="33"/>
      <c r="R14" s="33"/>
      <c r="S14" s="33"/>
      <c r="T14" s="33"/>
      <c r="U14" s="33"/>
      <c r="V14" s="33"/>
      <c r="W14" s="33"/>
    </row>
    <row r="15" ht="16.5" customHeight="1">
      <c r="A15" s="7" t="s">
        <v>762</v>
      </c>
      <c r="B15" s="31" t="s">
        <v>1974</v>
      </c>
      <c r="C15" s="30"/>
      <c r="D15" s="31" t="s">
        <v>1975</v>
      </c>
      <c r="E15" s="31" t="s">
        <v>1976</v>
      </c>
      <c r="F15" s="33"/>
      <c r="G15" s="31"/>
      <c r="H15" s="33"/>
      <c r="I15" s="33"/>
      <c r="J15" s="33"/>
      <c r="K15" s="33"/>
      <c r="L15" s="33"/>
      <c r="M15" s="33"/>
      <c r="N15" s="33"/>
      <c r="O15" s="30"/>
      <c r="P15" s="33"/>
      <c r="Q15" s="33"/>
      <c r="R15" s="33"/>
      <c r="S15" s="33"/>
      <c r="T15" s="33"/>
      <c r="U15" s="33"/>
      <c r="V15" s="33"/>
      <c r="W15" s="33"/>
    </row>
    <row r="16" ht="16.5" customHeight="1">
      <c r="A16" s="7" t="s">
        <v>763</v>
      </c>
      <c r="B16" s="31" t="s">
        <v>1977</v>
      </c>
      <c r="C16" s="31" t="s">
        <v>1978</v>
      </c>
      <c r="D16" s="31" t="s">
        <v>1979</v>
      </c>
      <c r="E16" s="31" t="s">
        <v>1980</v>
      </c>
      <c r="F16" s="8"/>
      <c r="G16" s="17"/>
      <c r="H16" s="33"/>
      <c r="I16" s="8"/>
      <c r="J16" s="31"/>
      <c r="K16" s="8"/>
      <c r="L16" s="33"/>
      <c r="M16" s="33"/>
      <c r="N16" s="33"/>
      <c r="O16" s="33"/>
      <c r="P16" s="30"/>
      <c r="Q16" s="33"/>
      <c r="R16" s="8"/>
      <c r="S16" s="33"/>
      <c r="T16" s="33"/>
      <c r="U16" s="33"/>
      <c r="V16" s="33"/>
      <c r="W16" s="30"/>
    </row>
    <row r="17" ht="16.5" customHeight="1">
      <c r="A17" s="7" t="s">
        <v>764</v>
      </c>
      <c r="B17" s="31" t="s">
        <v>1983</v>
      </c>
      <c r="C17" s="31" t="s">
        <v>1984</v>
      </c>
      <c r="D17" s="32"/>
      <c r="E17" s="31" t="s">
        <v>1985</v>
      </c>
      <c r="F17" s="33"/>
      <c r="G17" s="33"/>
      <c r="H17" s="31"/>
      <c r="I17" s="33"/>
      <c r="J17" s="33"/>
      <c r="K17" s="33"/>
      <c r="L17" s="33"/>
      <c r="M17" s="33"/>
      <c r="N17" s="33"/>
      <c r="O17" s="33"/>
      <c r="P17" s="33"/>
      <c r="Q17" s="30"/>
      <c r="R17" s="33"/>
      <c r="S17" s="8"/>
      <c r="T17" s="31" t="s">
        <v>1986</v>
      </c>
      <c r="U17" s="33"/>
      <c r="V17" s="31"/>
      <c r="W17" s="33"/>
    </row>
    <row r="18" ht="16.5" customHeight="1">
      <c r="A18" s="7" t="s">
        <v>766</v>
      </c>
      <c r="B18" s="31" t="s">
        <v>1987</v>
      </c>
      <c r="C18" s="31" t="s">
        <v>1988</v>
      </c>
      <c r="D18" s="31" t="s">
        <v>1990</v>
      </c>
      <c r="E18" s="31" t="s">
        <v>1536</v>
      </c>
      <c r="F18" s="8"/>
      <c r="G18" s="30"/>
      <c r="H18" s="33"/>
      <c r="I18" s="8"/>
      <c r="J18" s="31"/>
      <c r="K18" s="33"/>
      <c r="L18" s="8"/>
      <c r="M18" s="33"/>
      <c r="N18" s="33"/>
      <c r="O18" s="33"/>
      <c r="P18" s="8"/>
      <c r="Q18" s="33"/>
      <c r="R18" s="30"/>
      <c r="S18" s="33"/>
      <c r="T18" s="33"/>
      <c r="U18" s="33"/>
      <c r="V18" s="33"/>
      <c r="W18" s="31"/>
    </row>
    <row r="19" ht="16.5" customHeight="1">
      <c r="A19" s="7" t="s">
        <v>767</v>
      </c>
      <c r="B19" s="31" t="s">
        <v>2000</v>
      </c>
      <c r="C19" s="31" t="s">
        <v>2003</v>
      </c>
      <c r="D19" s="31" t="s">
        <v>2005</v>
      </c>
      <c r="E19" s="31" t="s">
        <v>1574</v>
      </c>
      <c r="F19" s="33"/>
      <c r="G19" s="33"/>
      <c r="H19" s="33"/>
      <c r="I19" s="33"/>
      <c r="J19" s="33"/>
      <c r="K19" s="30"/>
      <c r="L19" s="33"/>
      <c r="M19" s="33"/>
      <c r="N19" s="33"/>
      <c r="O19" s="33"/>
      <c r="P19" s="33"/>
      <c r="Q19" s="31"/>
      <c r="R19" s="33"/>
      <c r="S19" s="30"/>
      <c r="T19" s="33"/>
      <c r="U19" s="31"/>
      <c r="V19" s="33"/>
      <c r="W19" s="33"/>
    </row>
    <row r="20" ht="16.5" customHeight="1">
      <c r="A20" s="7" t="s">
        <v>769</v>
      </c>
      <c r="B20" s="31" t="s">
        <v>1608</v>
      </c>
      <c r="C20" s="31" t="s">
        <v>2010</v>
      </c>
      <c r="D20" s="31" t="s">
        <v>2011</v>
      </c>
      <c r="E20" s="31" t="s">
        <v>1615</v>
      </c>
      <c r="F20" s="33"/>
      <c r="G20" s="33"/>
      <c r="H20" s="33"/>
      <c r="I20" s="33"/>
      <c r="J20" s="30"/>
      <c r="K20" s="33"/>
      <c r="L20" s="33"/>
      <c r="M20" s="33"/>
      <c r="N20" s="33"/>
      <c r="O20" s="33"/>
      <c r="P20" s="31"/>
      <c r="Q20" s="33"/>
      <c r="R20" s="33"/>
      <c r="S20" s="33"/>
      <c r="T20" s="30"/>
      <c r="U20" s="33"/>
      <c r="V20" s="31"/>
      <c r="W20" s="33"/>
    </row>
    <row r="21" ht="16.5" customHeight="1">
      <c r="A21" s="7" t="s">
        <v>770</v>
      </c>
      <c r="B21" s="31" t="s">
        <v>2018</v>
      </c>
      <c r="C21" s="31" t="s">
        <v>2023</v>
      </c>
      <c r="D21" s="31" t="s">
        <v>2025</v>
      </c>
      <c r="E21" s="31" t="s">
        <v>2028</v>
      </c>
      <c r="F21" s="31"/>
      <c r="G21" s="33"/>
      <c r="H21" s="33"/>
      <c r="I21" s="33"/>
      <c r="J21" s="33"/>
      <c r="K21" s="33"/>
      <c r="L21" s="30"/>
      <c r="M21" s="33"/>
      <c r="N21" s="33"/>
      <c r="O21" s="33"/>
      <c r="P21" s="33"/>
      <c r="Q21" s="33"/>
      <c r="R21" s="31"/>
      <c r="S21" s="8"/>
      <c r="T21" s="33"/>
      <c r="U21" s="30"/>
      <c r="V21" s="33"/>
      <c r="W21" s="33"/>
    </row>
    <row r="22" ht="16.5" customHeight="1">
      <c r="A22" s="7" t="s">
        <v>772</v>
      </c>
      <c r="B22" s="30"/>
      <c r="C22" s="31" t="s">
        <v>2037</v>
      </c>
      <c r="D22" s="31" t="s">
        <v>2039</v>
      </c>
      <c r="E22" s="31" t="s">
        <v>1698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1"/>
      <c r="R22" s="33"/>
      <c r="S22" s="33"/>
      <c r="T22" s="33"/>
      <c r="U22" s="33"/>
      <c r="V22" s="30"/>
      <c r="W22" s="33"/>
    </row>
    <row r="23" ht="16.5" customHeight="1">
      <c r="A23" s="7" t="s">
        <v>773</v>
      </c>
      <c r="B23" s="31" t="s">
        <v>2051</v>
      </c>
      <c r="C23" s="31" t="s">
        <v>2054</v>
      </c>
      <c r="D23" s="31" t="s">
        <v>2058</v>
      </c>
      <c r="E23" s="31" t="s">
        <v>2060</v>
      </c>
      <c r="F23" s="31"/>
      <c r="G23" s="8"/>
      <c r="H23" s="33"/>
      <c r="I23" s="33"/>
      <c r="J23" s="33"/>
      <c r="K23" s="33"/>
      <c r="L23" s="33"/>
      <c r="M23" s="8"/>
      <c r="N23" s="33"/>
      <c r="O23" s="33"/>
      <c r="P23" s="30"/>
      <c r="Q23" s="33"/>
      <c r="R23" s="31"/>
      <c r="S23" s="33"/>
      <c r="T23" s="33"/>
      <c r="U23" s="33"/>
      <c r="V23" s="33"/>
      <c r="W23" s="30"/>
    </row>
    <row r="24" ht="16.5" customHeight="1"/>
    <row r="25" ht="16.5" customHeight="1">
      <c r="B25" s="1" t="s">
        <v>985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ht="16.5" customHeight="1">
      <c r="B26" s="1">
        <f>COUNTA(B2:W2)+COUNTA(B3:W3)+COUNTA(B4:W4)+COUNTA(B5:W5)+COUNTA(B6:W6)+COUNTA(B7:W7)+COUNTA(B8:W8)+COUNTA(B9:W9)+COUNTA(B10:W10)+COUNTA(B11:W11)+COUNTA(B12:W12)+COUNTA(B13:W13)+COUNTA(B14:W14)+COUNTA(B15:W15)+COUNTA(B16:W16)+COUNTA(B17:W17)+COUNTA(B18:W18)+COUNTA(B19:W19)+COUNTA(B20:W20)+COUNTA(B21:W21)+COUNTA(B22:W22)+COUNTA(B23:W23)</f>
        <v>149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ht="16.5" customHeight="1">
      <c r="D27" s="25"/>
      <c r="E27" s="25"/>
      <c r="F27" s="25"/>
      <c r="G27" s="26"/>
      <c r="H27" s="25"/>
      <c r="I27" s="25"/>
      <c r="J27" s="25"/>
      <c r="K27" s="25"/>
      <c r="L27" s="25"/>
      <c r="M27" s="25"/>
      <c r="N27" s="25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57"/>
  </cols>
  <sheetData>
    <row r="1" ht="16.5" customHeight="1">
      <c r="A1" s="2" t="s">
        <v>0</v>
      </c>
      <c r="B1" s="2" t="s">
        <v>1943</v>
      </c>
      <c r="C1" s="2" t="s">
        <v>1944</v>
      </c>
      <c r="D1" s="2" t="s">
        <v>1945</v>
      </c>
      <c r="E1" s="2" t="s">
        <v>1946</v>
      </c>
      <c r="F1" s="2" t="s">
        <v>1947</v>
      </c>
      <c r="G1" s="2" t="s">
        <v>1949</v>
      </c>
      <c r="H1" s="2" t="s">
        <v>1951</v>
      </c>
      <c r="I1" s="2" t="s">
        <v>1953</v>
      </c>
      <c r="J1" s="2" t="s">
        <v>1954</v>
      </c>
      <c r="K1" s="2" t="s">
        <v>1956</v>
      </c>
      <c r="L1" s="2" t="s">
        <v>1957</v>
      </c>
      <c r="M1" s="2" t="s">
        <v>1958</v>
      </c>
      <c r="N1" s="2" t="s">
        <v>1959</v>
      </c>
      <c r="O1" s="2" t="s">
        <v>1960</v>
      </c>
      <c r="P1" s="2" t="s">
        <v>1961</v>
      </c>
      <c r="Q1" s="2" t="s">
        <v>1962</v>
      </c>
      <c r="R1" s="2" t="s">
        <v>1963</v>
      </c>
      <c r="S1" s="2" t="s">
        <v>1964</v>
      </c>
      <c r="T1" s="2" t="s">
        <v>1965</v>
      </c>
      <c r="U1" s="2" t="s">
        <v>1966</v>
      </c>
      <c r="V1" s="2" t="s">
        <v>1967</v>
      </c>
      <c r="W1" s="2" t="s">
        <v>1969</v>
      </c>
      <c r="X1" s="2" t="s">
        <v>1971</v>
      </c>
    </row>
    <row r="2" ht="16.5" customHeight="1">
      <c r="A2" s="2" t="s">
        <v>1943</v>
      </c>
      <c r="B2" s="18"/>
      <c r="C2" s="18"/>
      <c r="D2" s="18"/>
      <c r="E2" s="36" t="s">
        <v>1973</v>
      </c>
      <c r="F2" s="36" t="s">
        <v>1981</v>
      </c>
      <c r="G2" s="37" t="s">
        <v>1982</v>
      </c>
      <c r="H2" s="36" t="s">
        <v>1989</v>
      </c>
      <c r="I2" s="37" t="s">
        <v>1991</v>
      </c>
      <c r="J2" s="2" t="s">
        <v>1992</v>
      </c>
      <c r="K2" s="2" t="s">
        <v>1993</v>
      </c>
      <c r="L2" s="2" t="s">
        <v>1994</v>
      </c>
      <c r="M2" s="2" t="s">
        <v>1995</v>
      </c>
      <c r="N2" s="2" t="s">
        <v>1996</v>
      </c>
      <c r="O2" s="2" t="s">
        <v>1997</v>
      </c>
      <c r="P2" s="2" t="s">
        <v>1998</v>
      </c>
      <c r="Q2" s="2" t="s">
        <v>1999</v>
      </c>
      <c r="R2" s="2" t="s">
        <v>2001</v>
      </c>
      <c r="S2" s="2" t="s">
        <v>2002</v>
      </c>
      <c r="T2" s="2" t="s">
        <v>2004</v>
      </c>
      <c r="U2" s="2" t="s">
        <v>2006</v>
      </c>
      <c r="V2" s="2" t="s">
        <v>2007</v>
      </c>
      <c r="W2" s="2" t="s">
        <v>2008</v>
      </c>
      <c r="X2" s="2" t="s">
        <v>2009</v>
      </c>
    </row>
    <row r="3" ht="16.5" customHeight="1">
      <c r="A3" s="2" t="s">
        <v>1944</v>
      </c>
      <c r="B3" s="18"/>
      <c r="C3" s="18"/>
      <c r="D3" s="18"/>
      <c r="E3" s="2" t="s">
        <v>2012</v>
      </c>
      <c r="F3" s="2" t="s">
        <v>2013</v>
      </c>
      <c r="G3" s="2" t="s">
        <v>2014</v>
      </c>
      <c r="H3" s="2" t="s">
        <v>2015</v>
      </c>
      <c r="I3" s="2" t="s">
        <v>2016</v>
      </c>
      <c r="J3" s="2" t="s">
        <v>2017</v>
      </c>
      <c r="K3" s="2" t="s">
        <v>2019</v>
      </c>
      <c r="L3" s="2" t="s">
        <v>2020</v>
      </c>
      <c r="M3" s="2" t="s">
        <v>2021</v>
      </c>
      <c r="N3" s="2" t="s">
        <v>2022</v>
      </c>
      <c r="O3" s="2" t="s">
        <v>2024</v>
      </c>
      <c r="P3" s="2" t="s">
        <v>2026</v>
      </c>
      <c r="Q3" s="2" t="s">
        <v>2027</v>
      </c>
      <c r="R3" s="2" t="s">
        <v>2029</v>
      </c>
      <c r="S3" s="2" t="s">
        <v>2030</v>
      </c>
      <c r="T3" s="2" t="s">
        <v>2031</v>
      </c>
      <c r="U3" s="2" t="s">
        <v>2032</v>
      </c>
      <c r="V3" s="2" t="s">
        <v>2033</v>
      </c>
      <c r="W3" s="2" t="s">
        <v>2034</v>
      </c>
      <c r="X3" s="2" t="s">
        <v>2035</v>
      </c>
    </row>
    <row r="4" ht="16.5" customHeight="1">
      <c r="A4" s="2" t="s">
        <v>1945</v>
      </c>
      <c r="B4" s="18"/>
      <c r="C4" s="18"/>
      <c r="D4" s="18"/>
      <c r="E4" s="2" t="s">
        <v>2036</v>
      </c>
      <c r="F4" s="2" t="s">
        <v>2038</v>
      </c>
      <c r="G4" s="2" t="s">
        <v>2040</v>
      </c>
      <c r="H4" s="2" t="s">
        <v>2041</v>
      </c>
      <c r="I4" s="2" t="s">
        <v>2042</v>
      </c>
      <c r="J4" s="2" t="s">
        <v>2043</v>
      </c>
      <c r="K4" s="2" t="s">
        <v>2044</v>
      </c>
      <c r="L4" s="2" t="s">
        <v>2045</v>
      </c>
      <c r="M4" s="2" t="s">
        <v>2046</v>
      </c>
      <c r="N4" s="2" t="s">
        <v>2047</v>
      </c>
      <c r="O4" s="2" t="s">
        <v>2048</v>
      </c>
      <c r="P4" s="2" t="s">
        <v>2049</v>
      </c>
      <c r="Q4" s="2" t="s">
        <v>2050</v>
      </c>
      <c r="R4" s="2" t="s">
        <v>2052</v>
      </c>
      <c r="S4" s="2" t="s">
        <v>2053</v>
      </c>
      <c r="T4" s="2" t="s">
        <v>2055</v>
      </c>
      <c r="U4" s="2" t="s">
        <v>2056</v>
      </c>
      <c r="V4" s="2" t="s">
        <v>2057</v>
      </c>
      <c r="W4" s="2" t="s">
        <v>2059</v>
      </c>
      <c r="X4" s="2" t="s">
        <v>2061</v>
      </c>
    </row>
    <row r="5" ht="16.5" customHeight="1">
      <c r="A5" s="2" t="s">
        <v>1946</v>
      </c>
      <c r="B5" s="2" t="s">
        <v>2062</v>
      </c>
      <c r="C5" s="2" t="s">
        <v>2063</v>
      </c>
      <c r="D5" s="2" t="s">
        <v>2064</v>
      </c>
      <c r="E5" s="18"/>
      <c r="F5" s="18"/>
      <c r="G5" s="18"/>
      <c r="H5" s="18"/>
      <c r="I5" s="36" t="s">
        <v>2065</v>
      </c>
      <c r="J5" s="36" t="s">
        <v>2066</v>
      </c>
      <c r="K5" s="2" t="s">
        <v>2067</v>
      </c>
      <c r="L5" s="2" t="s">
        <v>2068</v>
      </c>
      <c r="M5" s="2" t="s">
        <v>2069</v>
      </c>
      <c r="N5" s="2" t="s">
        <v>2070</v>
      </c>
      <c r="O5" s="2" t="s">
        <v>2071</v>
      </c>
      <c r="P5" s="2" t="s">
        <v>2072</v>
      </c>
      <c r="Q5" s="2" t="s">
        <v>2073</v>
      </c>
      <c r="R5" s="2" t="s">
        <v>2074</v>
      </c>
      <c r="S5" s="2" t="s">
        <v>2075</v>
      </c>
      <c r="T5" s="2" t="s">
        <v>2076</v>
      </c>
      <c r="U5" s="2" t="s">
        <v>2077</v>
      </c>
      <c r="V5" s="2" t="s">
        <v>2078</v>
      </c>
      <c r="W5" s="2" t="s">
        <v>2079</v>
      </c>
      <c r="X5" s="2" t="s">
        <v>2080</v>
      </c>
    </row>
    <row r="6" ht="16.5" customHeight="1">
      <c r="A6" s="2" t="s">
        <v>1947</v>
      </c>
      <c r="B6" s="2" t="s">
        <v>2081</v>
      </c>
      <c r="C6" s="2" t="s">
        <v>2082</v>
      </c>
      <c r="D6" s="8" t="s">
        <v>2083</v>
      </c>
      <c r="E6" s="18"/>
      <c r="F6" s="18"/>
      <c r="G6" s="18"/>
      <c r="H6" s="18"/>
      <c r="I6" s="2" t="s">
        <v>2084</v>
      </c>
      <c r="J6" s="2" t="s">
        <v>2085</v>
      </c>
      <c r="K6" s="2" t="s">
        <v>2086</v>
      </c>
      <c r="L6" s="2" t="s">
        <v>2087</v>
      </c>
      <c r="M6" s="2" t="s">
        <v>2088</v>
      </c>
      <c r="N6" s="2" t="s">
        <v>2089</v>
      </c>
      <c r="O6" s="2" t="s">
        <v>2090</v>
      </c>
      <c r="P6" s="2" t="s">
        <v>2091</v>
      </c>
      <c r="Q6" s="2" t="s">
        <v>2092</v>
      </c>
      <c r="R6" s="36" t="s">
        <v>2093</v>
      </c>
      <c r="S6" s="2" t="s">
        <v>2094</v>
      </c>
      <c r="T6" s="2" t="s">
        <v>2095</v>
      </c>
      <c r="U6" s="2" t="s">
        <v>2096</v>
      </c>
      <c r="V6" s="2" t="s">
        <v>2097</v>
      </c>
      <c r="W6" s="2" t="s">
        <v>2098</v>
      </c>
      <c r="X6" s="2" t="s">
        <v>2099</v>
      </c>
    </row>
    <row r="7" ht="16.5" customHeight="1">
      <c r="A7" s="2" t="s">
        <v>1949</v>
      </c>
      <c r="B7" s="2" t="s">
        <v>2100</v>
      </c>
      <c r="C7" s="2" t="s">
        <v>2101</v>
      </c>
      <c r="D7" s="2" t="s">
        <v>2102</v>
      </c>
      <c r="E7" s="18"/>
      <c r="F7" s="18"/>
      <c r="G7" s="18"/>
      <c r="H7" s="18"/>
      <c r="I7" s="2" t="s">
        <v>2103</v>
      </c>
      <c r="J7" s="2" t="s">
        <v>2104</v>
      </c>
      <c r="K7" s="2" t="s">
        <v>2105</v>
      </c>
      <c r="L7" s="2" t="s">
        <v>2106</v>
      </c>
      <c r="M7" s="2" t="s">
        <v>2107</v>
      </c>
      <c r="N7" s="2" t="s">
        <v>2108</v>
      </c>
      <c r="O7" s="2" t="s">
        <v>2109</v>
      </c>
      <c r="P7" s="2" t="s">
        <v>2110</v>
      </c>
      <c r="Q7" s="2" t="s">
        <v>2111</v>
      </c>
      <c r="R7" s="2" t="s">
        <v>2112</v>
      </c>
      <c r="S7" s="2" t="s">
        <v>2113</v>
      </c>
      <c r="T7" s="2" t="s">
        <v>2114</v>
      </c>
      <c r="U7" s="2" t="s">
        <v>2115</v>
      </c>
      <c r="V7" s="2" t="s">
        <v>2116</v>
      </c>
      <c r="W7" s="2" t="s">
        <v>2117</v>
      </c>
      <c r="X7" s="2" t="s">
        <v>2118</v>
      </c>
    </row>
    <row r="8" ht="16.5" customHeight="1">
      <c r="A8" s="2" t="s">
        <v>1951</v>
      </c>
      <c r="B8" s="8" t="s">
        <v>2119</v>
      </c>
      <c r="C8" s="2" t="s">
        <v>2120</v>
      </c>
      <c r="D8" s="2" t="s">
        <v>2121</v>
      </c>
      <c r="E8" s="18"/>
      <c r="F8" s="18"/>
      <c r="G8" s="18"/>
      <c r="H8" s="18"/>
      <c r="I8" s="2" t="s">
        <v>2122</v>
      </c>
      <c r="J8" s="2" t="s">
        <v>2123</v>
      </c>
      <c r="K8" s="2" t="s">
        <v>2124</v>
      </c>
      <c r="L8" s="2" t="s">
        <v>2125</v>
      </c>
      <c r="M8" s="2" t="s">
        <v>2126</v>
      </c>
      <c r="N8" s="2" t="s">
        <v>2127</v>
      </c>
      <c r="O8" s="2" t="s">
        <v>2128</v>
      </c>
      <c r="P8" s="2" t="s">
        <v>2129</v>
      </c>
      <c r="Q8" s="2" t="s">
        <v>2130</v>
      </c>
      <c r="R8" s="2" t="s">
        <v>2131</v>
      </c>
      <c r="S8" s="2" t="s">
        <v>2132</v>
      </c>
      <c r="T8" s="2" t="s">
        <v>2133</v>
      </c>
      <c r="U8" s="2" t="s">
        <v>2134</v>
      </c>
      <c r="V8" s="2" t="s">
        <v>2135</v>
      </c>
      <c r="W8" s="2" t="s">
        <v>2136</v>
      </c>
      <c r="X8" s="2" t="s">
        <v>2137</v>
      </c>
    </row>
    <row r="9" ht="16.5" customHeight="1">
      <c r="A9" s="2" t="s">
        <v>1953</v>
      </c>
      <c r="B9" s="2" t="s">
        <v>2138</v>
      </c>
      <c r="C9" s="2" t="s">
        <v>2139</v>
      </c>
      <c r="D9" s="2" t="s">
        <v>2140</v>
      </c>
      <c r="E9" s="2" t="s">
        <v>2141</v>
      </c>
      <c r="F9" s="2" t="s">
        <v>2142</v>
      </c>
      <c r="G9" s="2" t="s">
        <v>2143</v>
      </c>
      <c r="H9" s="2" t="s">
        <v>2144</v>
      </c>
      <c r="I9" s="18"/>
      <c r="J9" s="18"/>
      <c r="K9" s="18"/>
      <c r="L9" s="18"/>
      <c r="M9" s="2" t="s">
        <v>2145</v>
      </c>
      <c r="N9" s="2" t="s">
        <v>2146</v>
      </c>
      <c r="O9" s="2" t="s">
        <v>2147</v>
      </c>
      <c r="P9" s="2" t="s">
        <v>2148</v>
      </c>
      <c r="Q9" s="2" t="s">
        <v>2149</v>
      </c>
      <c r="R9" s="2" t="s">
        <v>2150</v>
      </c>
      <c r="S9" s="2" t="s">
        <v>2151</v>
      </c>
      <c r="T9" s="2" t="s">
        <v>2152</v>
      </c>
      <c r="U9" s="2" t="s">
        <v>2153</v>
      </c>
      <c r="V9" s="2" t="s">
        <v>2154</v>
      </c>
      <c r="W9" s="2" t="s">
        <v>2155</v>
      </c>
      <c r="X9" s="2" t="s">
        <v>2156</v>
      </c>
    </row>
    <row r="10" ht="16.5" customHeight="1">
      <c r="A10" s="2" t="s">
        <v>1954</v>
      </c>
      <c r="B10" s="2" t="s">
        <v>2157</v>
      </c>
      <c r="C10" s="2" t="s">
        <v>2158</v>
      </c>
      <c r="D10" s="2" t="s">
        <v>2159</v>
      </c>
      <c r="E10" s="2" t="s">
        <v>2160</v>
      </c>
      <c r="F10" s="2" t="s">
        <v>2161</v>
      </c>
      <c r="G10" s="2" t="s">
        <v>2162</v>
      </c>
      <c r="H10" s="2" t="s">
        <v>2163</v>
      </c>
      <c r="I10" s="18"/>
      <c r="J10" s="18"/>
      <c r="K10" s="18"/>
      <c r="L10" s="18"/>
      <c r="M10" s="2" t="s">
        <v>2164</v>
      </c>
      <c r="N10" s="2" t="s">
        <v>2165</v>
      </c>
      <c r="O10" s="2" t="s">
        <v>2166</v>
      </c>
      <c r="P10" s="2" t="s">
        <v>2167</v>
      </c>
      <c r="Q10" s="2" t="s">
        <v>2168</v>
      </c>
      <c r="R10" s="2" t="s">
        <v>2169</v>
      </c>
      <c r="S10" s="2" t="s">
        <v>2170</v>
      </c>
      <c r="T10" s="2" t="s">
        <v>2171</v>
      </c>
      <c r="U10" s="2" t="s">
        <v>2172</v>
      </c>
      <c r="V10" s="2" t="s">
        <v>2173</v>
      </c>
      <c r="W10" s="2" t="s">
        <v>2174</v>
      </c>
      <c r="X10" s="2" t="s">
        <v>2175</v>
      </c>
    </row>
    <row r="11" ht="16.5" customHeight="1">
      <c r="A11" s="2" t="s">
        <v>1956</v>
      </c>
      <c r="B11" s="2" t="s">
        <v>2176</v>
      </c>
      <c r="C11" s="2" t="s">
        <v>2177</v>
      </c>
      <c r="D11" s="2" t="s">
        <v>2178</v>
      </c>
      <c r="E11" s="2" t="s">
        <v>2179</v>
      </c>
      <c r="F11" s="2" t="s">
        <v>2180</v>
      </c>
      <c r="G11" s="2" t="s">
        <v>2181</v>
      </c>
      <c r="H11" s="2" t="s">
        <v>2182</v>
      </c>
      <c r="I11" s="18"/>
      <c r="J11" s="18"/>
      <c r="K11" s="18"/>
      <c r="L11" s="18"/>
      <c r="M11" s="2" t="s">
        <v>2183</v>
      </c>
      <c r="N11" s="2" t="s">
        <v>2184</v>
      </c>
      <c r="O11" s="2" t="s">
        <v>2185</v>
      </c>
      <c r="P11" s="2" t="s">
        <v>2186</v>
      </c>
      <c r="Q11" s="2" t="s">
        <v>2187</v>
      </c>
      <c r="R11" s="2" t="s">
        <v>2188</v>
      </c>
      <c r="S11" s="2" t="s">
        <v>2189</v>
      </c>
      <c r="T11" s="2" t="s">
        <v>2190</v>
      </c>
      <c r="U11" s="2" t="s">
        <v>2191</v>
      </c>
      <c r="V11" s="2" t="s">
        <v>2192</v>
      </c>
      <c r="W11" s="2" t="s">
        <v>2193</v>
      </c>
      <c r="X11" s="2" t="s">
        <v>2194</v>
      </c>
    </row>
    <row r="12" ht="16.5" customHeight="1">
      <c r="A12" s="2" t="s">
        <v>1957</v>
      </c>
      <c r="B12" s="2" t="s">
        <v>2195</v>
      </c>
      <c r="C12" s="2" t="s">
        <v>2196</v>
      </c>
      <c r="D12" s="2" t="s">
        <v>2197</v>
      </c>
      <c r="E12" s="2" t="s">
        <v>2198</v>
      </c>
      <c r="F12" s="2" t="s">
        <v>2199</v>
      </c>
      <c r="G12" s="2" t="s">
        <v>2200</v>
      </c>
      <c r="H12" s="2" t="s">
        <v>2201</v>
      </c>
      <c r="I12" s="18"/>
      <c r="J12" s="18"/>
      <c r="K12" s="18"/>
      <c r="L12" s="18"/>
      <c r="M12" s="2" t="s">
        <v>2202</v>
      </c>
      <c r="N12" s="2" t="s">
        <v>2203</v>
      </c>
      <c r="O12" s="2" t="s">
        <v>2204</v>
      </c>
      <c r="P12" s="2" t="s">
        <v>2205</v>
      </c>
      <c r="Q12" s="2" t="s">
        <v>2206</v>
      </c>
      <c r="R12" s="2" t="s">
        <v>2207</v>
      </c>
      <c r="S12" s="2" t="s">
        <v>2208</v>
      </c>
      <c r="T12" s="2" t="s">
        <v>2209</v>
      </c>
      <c r="U12" s="2" t="s">
        <v>2210</v>
      </c>
      <c r="V12" s="2" t="s">
        <v>2211</v>
      </c>
      <c r="W12" s="2" t="s">
        <v>2212</v>
      </c>
      <c r="X12" s="2" t="s">
        <v>2213</v>
      </c>
    </row>
    <row r="13" ht="16.5" customHeight="1">
      <c r="A13" s="2" t="s">
        <v>1958</v>
      </c>
      <c r="B13" s="2" t="s">
        <v>2214</v>
      </c>
      <c r="C13" s="2" t="s">
        <v>2215</v>
      </c>
      <c r="D13" s="2" t="s">
        <v>2216</v>
      </c>
      <c r="E13" s="2" t="s">
        <v>2130</v>
      </c>
      <c r="F13" s="2" t="s">
        <v>2217</v>
      </c>
      <c r="G13" s="2" t="s">
        <v>2218</v>
      </c>
      <c r="H13" s="2" t="s">
        <v>2219</v>
      </c>
      <c r="I13" s="2" t="s">
        <v>2220</v>
      </c>
      <c r="J13" s="2" t="s">
        <v>2221</v>
      </c>
      <c r="K13" s="2" t="s">
        <v>2222</v>
      </c>
      <c r="L13" s="2" t="s">
        <v>2223</v>
      </c>
      <c r="M13" s="18"/>
      <c r="N13" s="18"/>
      <c r="O13" s="18"/>
      <c r="P13" s="18"/>
      <c r="Q13" s="2" t="s">
        <v>2224</v>
      </c>
      <c r="R13" s="2" t="s">
        <v>2225</v>
      </c>
      <c r="S13" s="2" t="s">
        <v>2226</v>
      </c>
      <c r="T13" s="2" t="s">
        <v>2227</v>
      </c>
      <c r="U13" s="2" t="s">
        <v>2228</v>
      </c>
      <c r="V13" s="2" t="s">
        <v>2229</v>
      </c>
      <c r="W13" s="2" t="s">
        <v>2230</v>
      </c>
      <c r="X13" s="2" t="s">
        <v>2231</v>
      </c>
    </row>
    <row r="14" ht="16.5" customHeight="1">
      <c r="A14" s="2" t="s">
        <v>1959</v>
      </c>
      <c r="B14" s="2" t="s">
        <v>2232</v>
      </c>
      <c r="C14" s="2" t="s">
        <v>2233</v>
      </c>
      <c r="D14" s="2" t="s">
        <v>2234</v>
      </c>
      <c r="E14" s="2" t="s">
        <v>2235</v>
      </c>
      <c r="F14" s="2" t="s">
        <v>2236</v>
      </c>
      <c r="G14" s="2" t="s">
        <v>2237</v>
      </c>
      <c r="H14" s="2" t="s">
        <v>2238</v>
      </c>
      <c r="I14" s="2" t="s">
        <v>2239</v>
      </c>
      <c r="J14" s="2" t="s">
        <v>2240</v>
      </c>
      <c r="K14" s="2" t="s">
        <v>2241</v>
      </c>
      <c r="L14" s="2" t="s">
        <v>2242</v>
      </c>
      <c r="M14" s="18"/>
      <c r="N14" s="18"/>
      <c r="O14" s="18"/>
      <c r="P14" s="18"/>
      <c r="Q14" s="2" t="s">
        <v>2243</v>
      </c>
      <c r="R14" s="2" t="s">
        <v>2244</v>
      </c>
      <c r="S14" s="2" t="s">
        <v>2245</v>
      </c>
      <c r="T14" s="2" t="s">
        <v>2246</v>
      </c>
      <c r="U14" s="2" t="s">
        <v>2247</v>
      </c>
      <c r="V14" s="2" t="s">
        <v>2248</v>
      </c>
      <c r="W14" s="2" t="s">
        <v>2249</v>
      </c>
      <c r="X14" s="2" t="s">
        <v>2250</v>
      </c>
    </row>
    <row r="15" ht="16.5" customHeight="1">
      <c r="A15" s="2" t="s">
        <v>1960</v>
      </c>
      <c r="B15" s="2" t="s">
        <v>2251</v>
      </c>
      <c r="C15" s="2" t="s">
        <v>2252</v>
      </c>
      <c r="D15" s="2" t="s">
        <v>2253</v>
      </c>
      <c r="E15" s="2" t="s">
        <v>2254</v>
      </c>
      <c r="F15" s="2" t="s">
        <v>2255</v>
      </c>
      <c r="G15" s="2" t="s">
        <v>2256</v>
      </c>
      <c r="H15" s="2" t="s">
        <v>2257</v>
      </c>
      <c r="I15" s="2" t="s">
        <v>2258</v>
      </c>
      <c r="J15" s="2" t="s">
        <v>2259</v>
      </c>
      <c r="K15" s="2" t="s">
        <v>2260</v>
      </c>
      <c r="L15" s="2" t="s">
        <v>2261</v>
      </c>
      <c r="M15" s="18"/>
      <c r="N15" s="18"/>
      <c r="O15" s="18"/>
      <c r="P15" s="18"/>
      <c r="Q15" s="2" t="s">
        <v>2262</v>
      </c>
      <c r="R15" s="2" t="s">
        <v>2263</v>
      </c>
      <c r="S15" s="2" t="s">
        <v>2264</v>
      </c>
      <c r="T15" s="2" t="s">
        <v>2265</v>
      </c>
      <c r="U15" s="2" t="s">
        <v>2266</v>
      </c>
      <c r="V15" s="2" t="s">
        <v>2267</v>
      </c>
      <c r="W15" s="2" t="s">
        <v>2268</v>
      </c>
      <c r="X15" s="2" t="s">
        <v>2269</v>
      </c>
    </row>
    <row r="16" ht="16.5" customHeight="1">
      <c r="A16" s="2" t="s">
        <v>1961</v>
      </c>
      <c r="B16" s="8" t="s">
        <v>2270</v>
      </c>
      <c r="C16" s="2" t="s">
        <v>2271</v>
      </c>
      <c r="D16" s="8" t="s">
        <v>2272</v>
      </c>
      <c r="E16" s="2" t="s">
        <v>2273</v>
      </c>
      <c r="F16" s="2" t="s">
        <v>2274</v>
      </c>
      <c r="G16" s="2" t="s">
        <v>2275</v>
      </c>
      <c r="H16" s="2" t="s">
        <v>2276</v>
      </c>
      <c r="I16" s="2" t="s">
        <v>2277</v>
      </c>
      <c r="J16" s="2" t="s">
        <v>2278</v>
      </c>
      <c r="K16" s="2" t="s">
        <v>2279</v>
      </c>
      <c r="L16" s="2" t="s">
        <v>2280</v>
      </c>
      <c r="M16" s="18"/>
      <c r="N16" s="18"/>
      <c r="O16" s="18"/>
      <c r="P16" s="18"/>
      <c r="Q16" s="2" t="s">
        <v>2281</v>
      </c>
      <c r="R16" s="2" t="s">
        <v>2282</v>
      </c>
      <c r="S16" s="2" t="s">
        <v>2283</v>
      </c>
      <c r="T16" s="2" t="s">
        <v>2284</v>
      </c>
      <c r="U16" s="2" t="s">
        <v>2285</v>
      </c>
      <c r="V16" s="2" t="s">
        <v>2286</v>
      </c>
      <c r="W16" s="2" t="s">
        <v>2287</v>
      </c>
      <c r="X16" s="2" t="s">
        <v>2288</v>
      </c>
    </row>
    <row r="17" ht="16.5" customHeight="1">
      <c r="A17" s="2" t="s">
        <v>1962</v>
      </c>
      <c r="B17" s="2" t="s">
        <v>2289</v>
      </c>
      <c r="C17" s="2" t="s">
        <v>2290</v>
      </c>
      <c r="D17" s="2" t="s">
        <v>2291</v>
      </c>
      <c r="E17" s="2" t="s">
        <v>2292</v>
      </c>
      <c r="F17" s="2" t="s">
        <v>2293</v>
      </c>
      <c r="G17" s="2" t="s">
        <v>2294</v>
      </c>
      <c r="H17" s="2" t="s">
        <v>2069</v>
      </c>
      <c r="I17" s="2" t="s">
        <v>2295</v>
      </c>
      <c r="J17" s="2" t="s">
        <v>2296</v>
      </c>
      <c r="K17" s="2" t="s">
        <v>2297</v>
      </c>
      <c r="L17" s="2" t="s">
        <v>2298</v>
      </c>
      <c r="M17" s="2" t="s">
        <v>2299</v>
      </c>
      <c r="N17" s="2" t="s">
        <v>2300</v>
      </c>
      <c r="O17" s="2" t="s">
        <v>2301</v>
      </c>
      <c r="P17" s="2" t="s">
        <v>2302</v>
      </c>
      <c r="Q17" s="18"/>
      <c r="R17" s="18"/>
      <c r="S17" s="18"/>
      <c r="T17" s="18"/>
      <c r="U17" s="2" t="s">
        <v>2303</v>
      </c>
      <c r="V17" s="2" t="s">
        <v>2304</v>
      </c>
      <c r="W17" s="2" t="s">
        <v>2305</v>
      </c>
      <c r="X17" s="2" t="s">
        <v>2306</v>
      </c>
    </row>
    <row r="18" ht="16.5" customHeight="1">
      <c r="A18" s="2" t="s">
        <v>1963</v>
      </c>
      <c r="B18" s="2" t="s">
        <v>2307</v>
      </c>
      <c r="C18" s="8" t="s">
        <v>2029</v>
      </c>
      <c r="D18" s="2" t="s">
        <v>2308</v>
      </c>
      <c r="E18" s="2" t="s">
        <v>2309</v>
      </c>
      <c r="F18" s="2" t="s">
        <v>2310</v>
      </c>
      <c r="G18" s="2" t="s">
        <v>2311</v>
      </c>
      <c r="H18" s="2" t="s">
        <v>2312</v>
      </c>
      <c r="I18" s="2" t="s">
        <v>2313</v>
      </c>
      <c r="J18" s="2" t="s">
        <v>2314</v>
      </c>
      <c r="K18" s="2" t="s">
        <v>2315</v>
      </c>
      <c r="L18" s="2" t="s">
        <v>2316</v>
      </c>
      <c r="M18" s="2" t="s">
        <v>2317</v>
      </c>
      <c r="N18" s="2" t="s">
        <v>2318</v>
      </c>
      <c r="O18" s="2" t="s">
        <v>2319</v>
      </c>
      <c r="P18" s="2" t="s">
        <v>2320</v>
      </c>
      <c r="Q18" s="18"/>
      <c r="R18" s="18"/>
      <c r="S18" s="18"/>
      <c r="T18" s="18"/>
      <c r="U18" s="2" t="s">
        <v>2321</v>
      </c>
      <c r="V18" s="2" t="s">
        <v>2322</v>
      </c>
      <c r="W18" s="2" t="s">
        <v>2323</v>
      </c>
      <c r="X18" s="2" t="s">
        <v>2324</v>
      </c>
    </row>
    <row r="19" ht="16.5" customHeight="1">
      <c r="A19" s="2" t="s">
        <v>1964</v>
      </c>
      <c r="B19" s="2" t="s">
        <v>2325</v>
      </c>
      <c r="C19" s="2" t="s">
        <v>2326</v>
      </c>
      <c r="D19" s="2" t="s">
        <v>2327</v>
      </c>
      <c r="E19" s="2" t="s">
        <v>2328</v>
      </c>
      <c r="F19" s="2" t="s">
        <v>2329</v>
      </c>
      <c r="G19" s="2" t="s">
        <v>2330</v>
      </c>
      <c r="H19" s="2" t="s">
        <v>2331</v>
      </c>
      <c r="I19" s="2" t="s">
        <v>2332</v>
      </c>
      <c r="J19" s="2" t="s">
        <v>2333</v>
      </c>
      <c r="K19" s="2" t="s">
        <v>2334</v>
      </c>
      <c r="L19" s="2" t="s">
        <v>2335</v>
      </c>
      <c r="M19" s="2" t="s">
        <v>2336</v>
      </c>
      <c r="N19" s="2" t="s">
        <v>2337</v>
      </c>
      <c r="O19" s="2" t="s">
        <v>2338</v>
      </c>
      <c r="P19" s="2" t="s">
        <v>2339</v>
      </c>
      <c r="Q19" s="18"/>
      <c r="R19" s="18"/>
      <c r="S19" s="18"/>
      <c r="T19" s="38"/>
      <c r="U19" s="2" t="s">
        <v>2340</v>
      </c>
      <c r="V19" s="2" t="s">
        <v>2341</v>
      </c>
      <c r="W19" s="2" t="s">
        <v>2342</v>
      </c>
      <c r="X19" s="2" t="s">
        <v>2343</v>
      </c>
    </row>
    <row r="20" ht="16.5" customHeight="1">
      <c r="A20" s="2" t="s">
        <v>1965</v>
      </c>
      <c r="B20" s="2" t="s">
        <v>2344</v>
      </c>
      <c r="C20" s="2" t="s">
        <v>2345</v>
      </c>
      <c r="D20" s="2" t="s">
        <v>2346</v>
      </c>
      <c r="E20" s="2" t="s">
        <v>2347</v>
      </c>
      <c r="F20" s="2" t="s">
        <v>2348</v>
      </c>
      <c r="G20" s="2" t="s">
        <v>2349</v>
      </c>
      <c r="H20" s="2" t="s">
        <v>2350</v>
      </c>
      <c r="I20" s="2" t="s">
        <v>2351</v>
      </c>
      <c r="J20" s="2" t="s">
        <v>2352</v>
      </c>
      <c r="K20" s="2" t="s">
        <v>2353</v>
      </c>
      <c r="L20" s="2" t="s">
        <v>2354</v>
      </c>
      <c r="M20" s="2" t="s">
        <v>2355</v>
      </c>
      <c r="N20" s="2" t="s">
        <v>2356</v>
      </c>
      <c r="O20" s="2" t="s">
        <v>2357</v>
      </c>
      <c r="P20" s="2" t="s">
        <v>2358</v>
      </c>
      <c r="Q20" s="18"/>
      <c r="R20" s="18"/>
      <c r="S20" s="18"/>
      <c r="T20" s="18"/>
      <c r="U20" s="2" t="s">
        <v>2359</v>
      </c>
      <c r="V20" s="2" t="s">
        <v>2360</v>
      </c>
      <c r="W20" s="2" t="s">
        <v>2361</v>
      </c>
      <c r="X20" s="2" t="s">
        <v>2362</v>
      </c>
    </row>
    <row r="21" ht="16.5" customHeight="1">
      <c r="A21" s="2" t="s">
        <v>1966</v>
      </c>
      <c r="B21" s="2" t="s">
        <v>2363</v>
      </c>
      <c r="C21" s="2" t="s">
        <v>2364</v>
      </c>
      <c r="D21" s="2" t="s">
        <v>2365</v>
      </c>
      <c r="E21" s="2" t="s">
        <v>2366</v>
      </c>
      <c r="F21" s="2" t="s">
        <v>2367</v>
      </c>
      <c r="G21" s="2" t="s">
        <v>2368</v>
      </c>
      <c r="H21" s="2" t="s">
        <v>2369</v>
      </c>
      <c r="I21" s="2" t="s">
        <v>2370</v>
      </c>
      <c r="J21" s="2" t="s">
        <v>2371</v>
      </c>
      <c r="K21" s="2" t="s">
        <v>2372</v>
      </c>
      <c r="L21" s="2" t="s">
        <v>2373</v>
      </c>
      <c r="M21" s="2" t="s">
        <v>2374</v>
      </c>
      <c r="N21" s="2" t="s">
        <v>2375</v>
      </c>
      <c r="O21" s="2" t="s">
        <v>2376</v>
      </c>
      <c r="P21" s="2" t="s">
        <v>2377</v>
      </c>
      <c r="Q21" s="2" t="s">
        <v>2378</v>
      </c>
      <c r="R21" s="2" t="s">
        <v>2379</v>
      </c>
      <c r="S21" s="2" t="s">
        <v>2380</v>
      </c>
      <c r="T21" s="2" t="s">
        <v>2381</v>
      </c>
      <c r="U21" s="18"/>
      <c r="V21" s="18"/>
      <c r="W21" s="18"/>
      <c r="X21" s="18"/>
    </row>
    <row r="22" ht="16.5" customHeight="1">
      <c r="A22" s="2" t="s">
        <v>1967</v>
      </c>
      <c r="B22" s="2" t="s">
        <v>2382</v>
      </c>
      <c r="C22" s="2" t="s">
        <v>2383</v>
      </c>
      <c r="D22" s="2" t="s">
        <v>2384</v>
      </c>
      <c r="E22" s="2" t="s">
        <v>2385</v>
      </c>
      <c r="F22" s="2" t="s">
        <v>2386</v>
      </c>
      <c r="G22" s="2" t="s">
        <v>2387</v>
      </c>
      <c r="H22" s="2" t="s">
        <v>2388</v>
      </c>
      <c r="I22" s="2" t="s">
        <v>2389</v>
      </c>
      <c r="J22" s="2" t="s">
        <v>2390</v>
      </c>
      <c r="K22" s="2" t="s">
        <v>2391</v>
      </c>
      <c r="L22" s="2" t="s">
        <v>2392</v>
      </c>
      <c r="M22" s="2" t="s">
        <v>2393</v>
      </c>
      <c r="N22" s="2" t="s">
        <v>2394</v>
      </c>
      <c r="O22" s="2" t="s">
        <v>2395</v>
      </c>
      <c r="P22" s="2" t="s">
        <v>2396</v>
      </c>
      <c r="Q22" s="2" t="s">
        <v>2397</v>
      </c>
      <c r="R22" s="2" t="s">
        <v>2398</v>
      </c>
      <c r="S22" s="2" t="s">
        <v>2399</v>
      </c>
      <c r="T22" s="2" t="s">
        <v>2400</v>
      </c>
      <c r="U22" s="18"/>
      <c r="V22" s="18"/>
      <c r="W22" s="18"/>
      <c r="X22" s="18"/>
    </row>
    <row r="23" ht="16.5" customHeight="1">
      <c r="A23" s="2" t="s">
        <v>1969</v>
      </c>
      <c r="B23" s="2" t="s">
        <v>2401</v>
      </c>
      <c r="C23" s="2" t="s">
        <v>2402</v>
      </c>
      <c r="D23" s="2" t="s">
        <v>2403</v>
      </c>
      <c r="E23" s="2" t="s">
        <v>2404</v>
      </c>
      <c r="F23" s="2" t="s">
        <v>2405</v>
      </c>
      <c r="G23" s="2" t="s">
        <v>2406</v>
      </c>
      <c r="H23" s="2" t="s">
        <v>2407</v>
      </c>
      <c r="I23" s="2" t="s">
        <v>2408</v>
      </c>
      <c r="J23" s="2" t="s">
        <v>2409</v>
      </c>
      <c r="K23" s="2" t="s">
        <v>2410</v>
      </c>
      <c r="L23" s="2" t="s">
        <v>2411</v>
      </c>
      <c r="M23" s="2" t="s">
        <v>2412</v>
      </c>
      <c r="N23" s="2" t="s">
        <v>2413</v>
      </c>
      <c r="O23" s="2" t="s">
        <v>2414</v>
      </c>
      <c r="P23" s="2" t="s">
        <v>2415</v>
      </c>
      <c r="Q23" s="2" t="s">
        <v>2416</v>
      </c>
      <c r="R23" s="2" t="s">
        <v>2417</v>
      </c>
      <c r="S23" s="2" t="s">
        <v>2418</v>
      </c>
      <c r="T23" s="2" t="s">
        <v>2419</v>
      </c>
      <c r="U23" s="18"/>
      <c r="V23" s="18"/>
      <c r="W23" s="18"/>
      <c r="X23" s="18"/>
    </row>
    <row r="24" ht="16.5" customHeight="1">
      <c r="A24" s="2" t="s">
        <v>1971</v>
      </c>
      <c r="B24" s="2" t="s">
        <v>2420</v>
      </c>
      <c r="C24" s="2" t="s">
        <v>2421</v>
      </c>
      <c r="D24" s="2" t="s">
        <v>2422</v>
      </c>
      <c r="E24" s="2" t="s">
        <v>2423</v>
      </c>
      <c r="F24" s="2" t="s">
        <v>2424</v>
      </c>
      <c r="G24" s="2" t="s">
        <v>2425</v>
      </c>
      <c r="H24" s="2" t="s">
        <v>2426</v>
      </c>
      <c r="I24" s="2" t="s">
        <v>2427</v>
      </c>
      <c r="J24" s="2" t="s">
        <v>2428</v>
      </c>
      <c r="K24" s="2" t="s">
        <v>2429</v>
      </c>
      <c r="L24" s="2" t="s">
        <v>2430</v>
      </c>
      <c r="M24" s="2" t="s">
        <v>2431</v>
      </c>
      <c r="N24" s="2" t="s">
        <v>2432</v>
      </c>
      <c r="O24" s="2" t="s">
        <v>2433</v>
      </c>
      <c r="P24" s="2" t="s">
        <v>2434</v>
      </c>
      <c r="Q24" s="2" t="s">
        <v>2435</v>
      </c>
      <c r="R24" s="2" t="s">
        <v>2436</v>
      </c>
      <c r="S24" s="2" t="s">
        <v>2437</v>
      </c>
      <c r="T24" s="2" t="s">
        <v>2438</v>
      </c>
      <c r="U24" s="18"/>
      <c r="V24" s="18"/>
      <c r="W24" s="18"/>
      <c r="X24" s="18"/>
    </row>
    <row r="25" ht="16.5" customHeight="1"/>
    <row r="26" ht="16.5" customHeight="1">
      <c r="B26" s="2" t="s">
        <v>2439</v>
      </c>
      <c r="D26" s="39" t="s">
        <v>2440</v>
      </c>
      <c r="E26" s="40" t="s">
        <v>2441</v>
      </c>
      <c r="F26" s="36" t="s">
        <v>2442</v>
      </c>
      <c r="G26" s="37" t="s">
        <v>2443</v>
      </c>
      <c r="H26" s="41" t="s">
        <v>2444</v>
      </c>
      <c r="I26" s="42" t="s">
        <v>2445</v>
      </c>
    </row>
    <row r="27" ht="16.5" customHeight="1">
      <c r="B27" s="43">
        <f>529-COUNTBLANK(B2:X24)</f>
        <v>440</v>
      </c>
    </row>
    <row r="28" ht="16.5" customHeight="1">
      <c r="D28" s="2" t="s">
        <v>2446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6" width="16.71"/>
  </cols>
  <sheetData>
    <row r="1" ht="16.5" customHeight="1">
      <c r="A1" t="s">
        <v>0</v>
      </c>
      <c r="B1" t="s">
        <v>2447</v>
      </c>
      <c r="C1" t="s">
        <v>2448</v>
      </c>
      <c r="D1" t="s">
        <v>2449</v>
      </c>
      <c r="E1" t="s">
        <v>2450</v>
      </c>
      <c r="F1" t="s">
        <v>2451</v>
      </c>
      <c r="G1" t="s">
        <v>2452</v>
      </c>
      <c r="H1" t="s">
        <v>2453</v>
      </c>
      <c r="I1" t="s">
        <v>2454</v>
      </c>
      <c r="J1" t="s">
        <v>2455</v>
      </c>
      <c r="K1" t="s">
        <v>2456</v>
      </c>
      <c r="L1" t="s">
        <v>2457</v>
      </c>
      <c r="M1" t="s">
        <v>2458</v>
      </c>
      <c r="N1" t="s">
        <v>2459</v>
      </c>
      <c r="O1" t="s">
        <v>2460</v>
      </c>
      <c r="P1" t="s">
        <v>2461</v>
      </c>
      <c r="Q1" t="s">
        <v>2462</v>
      </c>
      <c r="R1" t="s">
        <v>2463</v>
      </c>
      <c r="S1" t="s">
        <v>2464</v>
      </c>
      <c r="T1" t="s">
        <v>2465</v>
      </c>
      <c r="U1" t="s">
        <v>2466</v>
      </c>
      <c r="V1" t="s">
        <v>2467</v>
      </c>
      <c r="W1" t="s">
        <v>2468</v>
      </c>
      <c r="X1" t="s">
        <v>2469</v>
      </c>
      <c r="Y1" s="2" t="s">
        <v>775</v>
      </c>
    </row>
    <row r="2" ht="16.5" customHeight="1">
      <c r="A2" t="s">
        <v>2447</v>
      </c>
      <c r="B2" s="15"/>
      <c r="C2" s="15"/>
      <c r="D2" s="15"/>
      <c r="E2" s="44" t="s">
        <v>2470</v>
      </c>
      <c r="F2" s="8" t="s">
        <v>2471</v>
      </c>
      <c r="G2" s="2" t="s">
        <v>2472</v>
      </c>
      <c r="H2" t="s">
        <v>2473</v>
      </c>
      <c r="I2" t="s">
        <v>2474</v>
      </c>
      <c r="J2" t="s">
        <v>2475</v>
      </c>
      <c r="K2" t="s">
        <v>2476</v>
      </c>
      <c r="L2" t="s">
        <v>2477</v>
      </c>
      <c r="M2" s="2" t="s">
        <v>2478</v>
      </c>
      <c r="N2" t="s">
        <v>2479</v>
      </c>
      <c r="O2" s="45" t="s">
        <v>2480</v>
      </c>
      <c r="P2" t="s">
        <v>2481</v>
      </c>
      <c r="Q2" t="s">
        <v>2482</v>
      </c>
      <c r="R2" t="s">
        <v>2483</v>
      </c>
      <c r="S2" t="s">
        <v>2484</v>
      </c>
      <c r="T2" t="s">
        <v>2485</v>
      </c>
      <c r="U2" t="s">
        <v>2486</v>
      </c>
      <c r="V2" s="2" t="s">
        <v>2487</v>
      </c>
      <c r="W2" s="44" t="s">
        <v>2488</v>
      </c>
      <c r="X2" t="s">
        <v>2489</v>
      </c>
    </row>
    <row r="3" ht="16.5" customHeight="1">
      <c r="A3" t="s">
        <v>2448</v>
      </c>
      <c r="B3" s="15"/>
      <c r="C3" s="15"/>
      <c r="D3" s="15"/>
      <c r="E3" t="s">
        <v>2490</v>
      </c>
      <c r="F3" t="s">
        <v>2491</v>
      </c>
      <c r="G3" t="s">
        <v>2492</v>
      </c>
      <c r="H3" t="s">
        <v>2493</v>
      </c>
      <c r="I3" t="s">
        <v>2494</v>
      </c>
      <c r="J3" t="s">
        <v>2495</v>
      </c>
      <c r="K3" t="s">
        <v>2496</v>
      </c>
      <c r="L3" t="s">
        <v>2497</v>
      </c>
      <c r="M3" t="s">
        <v>2498</v>
      </c>
      <c r="N3" t="s">
        <v>2499</v>
      </c>
      <c r="O3" t="s">
        <v>2500</v>
      </c>
      <c r="P3" t="s">
        <v>2501</v>
      </c>
      <c r="Q3" t="s">
        <v>2502</v>
      </c>
      <c r="R3" t="s">
        <v>2503</v>
      </c>
      <c r="S3" t="s">
        <v>2504</v>
      </c>
      <c r="T3" t="s">
        <v>2505</v>
      </c>
      <c r="U3" s="44" t="s">
        <v>2506</v>
      </c>
      <c r="V3" t="s">
        <v>2507</v>
      </c>
      <c r="W3" s="2" t="s">
        <v>2508</v>
      </c>
      <c r="X3" t="s">
        <v>2509</v>
      </c>
    </row>
    <row r="4" ht="16.5" customHeight="1">
      <c r="A4" t="s">
        <v>2449</v>
      </c>
      <c r="B4" s="15"/>
      <c r="C4" s="15"/>
      <c r="D4" s="15"/>
      <c r="E4" t="s">
        <v>2510</v>
      </c>
      <c r="F4" t="s">
        <v>2511</v>
      </c>
      <c r="G4" t="s">
        <v>2512</v>
      </c>
      <c r="H4" t="s">
        <v>2513</v>
      </c>
      <c r="I4" t="s">
        <v>2514</v>
      </c>
      <c r="J4" t="s">
        <v>2515</v>
      </c>
      <c r="K4" t="s">
        <v>2516</v>
      </c>
      <c r="L4" t="s">
        <v>2517</v>
      </c>
      <c r="M4" t="s">
        <v>2518</v>
      </c>
      <c r="N4" t="s">
        <v>2519</v>
      </c>
      <c r="O4" t="s">
        <v>2520</v>
      </c>
      <c r="P4" t="s">
        <v>2521</v>
      </c>
      <c r="Q4" t="s">
        <v>2522</v>
      </c>
      <c r="R4" t="s">
        <v>2523</v>
      </c>
      <c r="S4" t="s">
        <v>2524</v>
      </c>
      <c r="T4" t="s">
        <v>2525</v>
      </c>
      <c r="U4" s="2" t="s">
        <v>2526</v>
      </c>
      <c r="V4" t="s">
        <v>2527</v>
      </c>
      <c r="W4" t="s">
        <v>2528</v>
      </c>
      <c r="X4" s="2" t="s">
        <v>2529</v>
      </c>
    </row>
    <row r="5" ht="16.5" customHeight="1">
      <c r="A5" t="s">
        <v>2450</v>
      </c>
      <c r="B5" s="46" t="s">
        <v>2530</v>
      </c>
      <c r="C5" s="44" t="s">
        <v>2531</v>
      </c>
      <c r="D5" s="36" t="s">
        <v>2532</v>
      </c>
      <c r="E5" s="15"/>
      <c r="F5" s="15"/>
      <c r="G5" s="15"/>
      <c r="H5" s="15"/>
      <c r="I5" s="36" t="s">
        <v>2533</v>
      </c>
      <c r="J5" s="46" t="s">
        <v>2534</v>
      </c>
      <c r="K5" s="44" t="s">
        <v>2535</v>
      </c>
      <c r="L5" s="46" t="s">
        <v>2536</v>
      </c>
      <c r="M5" s="36" t="s">
        <v>2537</v>
      </c>
      <c r="N5" s="36" t="s">
        <v>2538</v>
      </c>
      <c r="O5" s="40" t="s">
        <v>2539</v>
      </c>
      <c r="P5" s="46" t="s">
        <v>2540</v>
      </c>
      <c r="Q5" s="36" t="s">
        <v>2541</v>
      </c>
      <c r="R5" s="46" t="s">
        <v>2542</v>
      </c>
      <c r="S5" s="36" t="s">
        <v>2543</v>
      </c>
      <c r="T5" s="36" t="s">
        <v>2544</v>
      </c>
      <c r="U5" s="44" t="s">
        <v>2545</v>
      </c>
      <c r="V5" s="46" t="s">
        <v>2546</v>
      </c>
      <c r="W5" s="44" t="s">
        <v>2547</v>
      </c>
      <c r="X5" s="46" t="s">
        <v>2548</v>
      </c>
      <c r="Y5">
        <f>AVERAGE(1.48,1.86,1.75,1.65,1.49,1.6,1.29,1.71,1.97,1.47,1.43,1.83,1.38,1.86,1.88,1.73,1.42,1.86,1.18)</f>
        <v>1.623157895</v>
      </c>
    </row>
    <row r="6" ht="16.5" customHeight="1">
      <c r="A6" t="s">
        <v>2451</v>
      </c>
      <c r="B6" s="36" t="s">
        <v>2549</v>
      </c>
      <c r="C6" s="47" t="s">
        <v>2550</v>
      </c>
      <c r="D6" s="36" t="s">
        <v>2551</v>
      </c>
      <c r="E6" s="15"/>
      <c r="F6" s="15"/>
      <c r="G6" s="15"/>
      <c r="H6" s="15"/>
      <c r="I6" s="46" t="s">
        <v>2552</v>
      </c>
      <c r="J6" s="44" t="s">
        <v>2553</v>
      </c>
      <c r="K6" s="46" t="s">
        <v>2554</v>
      </c>
      <c r="L6" s="44" t="s">
        <v>2555</v>
      </c>
      <c r="M6" s="44" t="s">
        <v>2556</v>
      </c>
      <c r="N6" s="36" t="s">
        <v>2557</v>
      </c>
      <c r="O6" s="36" t="s">
        <v>2558</v>
      </c>
      <c r="P6" s="40" t="s">
        <v>2559</v>
      </c>
      <c r="Q6" s="47" t="s">
        <v>2560</v>
      </c>
      <c r="R6" s="36" t="s">
        <v>2561</v>
      </c>
      <c r="S6" s="44" t="s">
        <v>2562</v>
      </c>
      <c r="T6" s="36" t="s">
        <v>2563</v>
      </c>
      <c r="U6" s="40" t="s">
        <v>2564</v>
      </c>
      <c r="V6" s="48" t="s">
        <v>2565</v>
      </c>
      <c r="W6" s="46" t="s">
        <v>2566</v>
      </c>
      <c r="X6" s="36" t="s">
        <v>2567</v>
      </c>
      <c r="Y6">
        <f>average(1.84,2.19,1.95,1.46,1.78,1.48,1.53,1.61,1.8,1.94,1.37,2.24,1.63,1.58,1.83,1.4,1.85,1.37,1.72)</f>
        <v>1.714210526</v>
      </c>
    </row>
    <row r="7" ht="16.5" customHeight="1">
      <c r="A7" t="s">
        <v>2452</v>
      </c>
      <c r="B7" s="36" t="s">
        <v>2574</v>
      </c>
      <c r="C7" s="44" t="s">
        <v>2576</v>
      </c>
      <c r="D7" s="46" t="s">
        <v>2578</v>
      </c>
      <c r="E7" s="15"/>
      <c r="F7" s="15"/>
      <c r="G7" s="15"/>
      <c r="H7" s="15"/>
      <c r="I7" s="46" t="s">
        <v>2533</v>
      </c>
      <c r="J7" s="44" t="s">
        <v>2581</v>
      </c>
      <c r="K7" s="46" t="s">
        <v>2583</v>
      </c>
      <c r="L7" s="46" t="s">
        <v>2586</v>
      </c>
      <c r="M7" s="36" t="s">
        <v>2588</v>
      </c>
      <c r="N7" s="44" t="s">
        <v>2590</v>
      </c>
      <c r="O7" s="36" t="s">
        <v>2591</v>
      </c>
      <c r="P7" s="44" t="s">
        <v>2594</v>
      </c>
      <c r="Q7" s="36" t="s">
        <v>2595</v>
      </c>
      <c r="R7" s="44" t="s">
        <v>2597</v>
      </c>
      <c r="S7" s="44" t="s">
        <v>2599</v>
      </c>
      <c r="T7" s="44" t="s">
        <v>2600</v>
      </c>
      <c r="U7" s="36" t="s">
        <v>2601</v>
      </c>
      <c r="V7" s="46" t="s">
        <v>2604</v>
      </c>
      <c r="W7" s="36" t="s">
        <v>2606</v>
      </c>
      <c r="X7" s="44" t="s">
        <v>2607</v>
      </c>
      <c r="Y7">
        <f>average(1.69,1.74,1.48,1.48,1.54,1.48,1.34,1.61,1.61,1.8,1.87,1.63,1.72,1.74,1.58,1.81,1.5,1.57,1.15)</f>
        <v>1.596842105</v>
      </c>
    </row>
    <row r="8" ht="16.5" customHeight="1">
      <c r="A8" t="s">
        <v>2453</v>
      </c>
      <c r="B8" s="44" t="s">
        <v>2643</v>
      </c>
      <c r="C8" s="47" t="s">
        <v>2645</v>
      </c>
      <c r="D8" s="46" t="s">
        <v>2647</v>
      </c>
      <c r="E8" s="15"/>
      <c r="F8" s="15"/>
      <c r="G8" s="15"/>
      <c r="H8" s="15"/>
      <c r="I8" s="46" t="s">
        <v>2650</v>
      </c>
      <c r="J8" s="44" t="s">
        <v>2652</v>
      </c>
      <c r="K8" s="46" t="s">
        <v>2653</v>
      </c>
      <c r="L8" t="s">
        <v>2654</v>
      </c>
      <c r="M8" s="2" t="s">
        <v>2655</v>
      </c>
      <c r="N8" t="s">
        <v>2656</v>
      </c>
      <c r="O8" s="2" t="s">
        <v>2657</v>
      </c>
      <c r="P8" s="40" t="s">
        <v>2658</v>
      </c>
      <c r="Q8" t="s">
        <v>2659</v>
      </c>
      <c r="R8" s="2" t="s">
        <v>2660</v>
      </c>
      <c r="S8" t="s">
        <v>2661</v>
      </c>
      <c r="T8" s="2" t="s">
        <v>2662</v>
      </c>
      <c r="U8" t="s">
        <v>2663</v>
      </c>
      <c r="V8" t="s">
        <v>2664</v>
      </c>
      <c r="W8" t="s">
        <v>2665</v>
      </c>
      <c r="X8" s="2" t="s">
        <v>2666</v>
      </c>
    </row>
    <row r="9" ht="16.5" customHeight="1">
      <c r="A9" t="s">
        <v>2454</v>
      </c>
      <c r="B9" t="s">
        <v>2667</v>
      </c>
      <c r="C9" t="s">
        <v>2668</v>
      </c>
      <c r="D9" t="s">
        <v>2669</v>
      </c>
      <c r="E9" s="8" t="s">
        <v>2670</v>
      </c>
      <c r="F9" t="s">
        <v>2671</v>
      </c>
      <c r="G9" t="s">
        <v>2672</v>
      </c>
      <c r="H9" t="s">
        <v>2673</v>
      </c>
      <c r="I9" s="15"/>
      <c r="J9" s="15"/>
      <c r="K9" s="15"/>
      <c r="L9" s="15"/>
      <c r="M9" t="s">
        <v>2674</v>
      </c>
      <c r="N9" t="s">
        <v>2675</v>
      </c>
      <c r="O9" s="46" t="s">
        <v>2676</v>
      </c>
      <c r="P9" t="s">
        <v>2677</v>
      </c>
      <c r="Q9" t="s">
        <v>2678</v>
      </c>
      <c r="R9" t="s">
        <v>2679</v>
      </c>
      <c r="S9" t="s">
        <v>2680</v>
      </c>
      <c r="T9" t="s">
        <v>2681</v>
      </c>
      <c r="U9" s="2" t="s">
        <v>2682</v>
      </c>
      <c r="V9" t="s">
        <v>2683</v>
      </c>
      <c r="W9" t="s">
        <v>2684</v>
      </c>
      <c r="X9" t="s">
        <v>2685</v>
      </c>
    </row>
    <row r="10" ht="16.5" customHeight="1">
      <c r="A10" t="s">
        <v>2455</v>
      </c>
      <c r="B10" t="s">
        <v>2686</v>
      </c>
      <c r="C10" t="s">
        <v>2687</v>
      </c>
      <c r="D10" t="s">
        <v>2688</v>
      </c>
      <c r="E10" t="s">
        <v>2689</v>
      </c>
      <c r="F10" t="s">
        <v>2690</v>
      </c>
      <c r="G10" t="s">
        <v>2691</v>
      </c>
      <c r="H10" t="s">
        <v>2692</v>
      </c>
      <c r="I10" s="15"/>
      <c r="J10" s="15"/>
      <c r="K10" s="15"/>
      <c r="L10" s="15"/>
      <c r="M10" t="s">
        <v>2693</v>
      </c>
      <c r="N10" t="s">
        <v>2694</v>
      </c>
      <c r="O10" t="s">
        <v>2695</v>
      </c>
      <c r="P10" s="2" t="s">
        <v>2696</v>
      </c>
      <c r="Q10" t="s">
        <v>2697</v>
      </c>
      <c r="R10" s="2" t="s">
        <v>2698</v>
      </c>
      <c r="S10" t="s">
        <v>2699</v>
      </c>
      <c r="T10" t="s">
        <v>2700</v>
      </c>
      <c r="U10" t="s">
        <v>2701</v>
      </c>
      <c r="V10" s="2" t="s">
        <v>2702</v>
      </c>
      <c r="W10" t="s">
        <v>2703</v>
      </c>
      <c r="X10" t="s">
        <v>2704</v>
      </c>
    </row>
    <row r="11" ht="16.5" customHeight="1">
      <c r="A11" t="s">
        <v>2456</v>
      </c>
      <c r="B11" t="s">
        <v>2705</v>
      </c>
      <c r="C11" t="s">
        <v>2706</v>
      </c>
      <c r="D11" t="s">
        <v>2707</v>
      </c>
      <c r="E11" t="s">
        <v>2708</v>
      </c>
      <c r="F11" t="s">
        <v>2709</v>
      </c>
      <c r="G11" t="s">
        <v>2710</v>
      </c>
      <c r="H11" t="s">
        <v>2711</v>
      </c>
      <c r="I11" s="15"/>
      <c r="J11" s="15"/>
      <c r="K11" s="15"/>
      <c r="L11" s="15"/>
      <c r="M11" t="s">
        <v>2712</v>
      </c>
      <c r="N11" t="s">
        <v>2713</v>
      </c>
      <c r="O11" s="2" t="s">
        <v>2714</v>
      </c>
      <c r="P11" s="2" t="s">
        <v>2715</v>
      </c>
      <c r="Q11" t="s">
        <v>2716</v>
      </c>
      <c r="R11" t="s">
        <v>2717</v>
      </c>
      <c r="S11" t="s">
        <v>2718</v>
      </c>
      <c r="T11" t="s">
        <v>2719</v>
      </c>
      <c r="U11" t="s">
        <v>2720</v>
      </c>
      <c r="V11" t="s">
        <v>2721</v>
      </c>
      <c r="W11" t="s">
        <v>2722</v>
      </c>
      <c r="X11" t="s">
        <v>2723</v>
      </c>
    </row>
    <row r="12" ht="16.5" customHeight="1">
      <c r="A12" t="s">
        <v>2457</v>
      </c>
      <c r="B12" t="s">
        <v>2686</v>
      </c>
      <c r="C12" t="s">
        <v>2724</v>
      </c>
      <c r="D12" t="s">
        <v>2725</v>
      </c>
      <c r="E12" t="s">
        <v>2726</v>
      </c>
      <c r="F12" t="s">
        <v>2727</v>
      </c>
      <c r="G12" t="s">
        <v>2728</v>
      </c>
      <c r="H12" t="s">
        <v>2729</v>
      </c>
      <c r="I12" s="15"/>
      <c r="J12" s="15"/>
      <c r="K12" s="15"/>
      <c r="L12" s="15"/>
      <c r="M12" s="2" t="s">
        <v>2730</v>
      </c>
      <c r="N12" s="2" t="s">
        <v>2731</v>
      </c>
      <c r="O12" s="2" t="s">
        <v>2732</v>
      </c>
      <c r="P12" s="2" t="s">
        <v>2733</v>
      </c>
      <c r="Q12" t="s">
        <v>2734</v>
      </c>
      <c r="R12" t="s">
        <v>2735</v>
      </c>
      <c r="S12" t="s">
        <v>2736</v>
      </c>
      <c r="T12" t="s">
        <v>2737</v>
      </c>
      <c r="U12" t="s">
        <v>2738</v>
      </c>
      <c r="V12" t="s">
        <v>2739</v>
      </c>
      <c r="W12" t="s">
        <v>2740</v>
      </c>
      <c r="X12" t="s">
        <v>2741</v>
      </c>
    </row>
    <row r="13" ht="16.5" customHeight="1">
      <c r="A13" t="s">
        <v>2458</v>
      </c>
      <c r="B13" t="s">
        <v>2742</v>
      </c>
      <c r="C13" t="s">
        <v>2743</v>
      </c>
      <c r="D13" t="s">
        <v>2744</v>
      </c>
      <c r="E13" s="2" t="s">
        <v>2745</v>
      </c>
      <c r="F13" t="s">
        <v>2746</v>
      </c>
      <c r="G13" s="2" t="s">
        <v>2747</v>
      </c>
      <c r="H13" s="2" t="s">
        <v>2748</v>
      </c>
      <c r="I13" t="s">
        <v>2749</v>
      </c>
      <c r="J13" t="s">
        <v>2750</v>
      </c>
      <c r="K13" t="s">
        <v>2751</v>
      </c>
      <c r="L13" s="2" t="s">
        <v>2752</v>
      </c>
      <c r="M13" s="15"/>
      <c r="N13" s="15"/>
      <c r="O13" s="15"/>
      <c r="P13" s="15"/>
      <c r="Q13" t="s">
        <v>2753</v>
      </c>
      <c r="R13" t="s">
        <v>2754</v>
      </c>
      <c r="S13" t="s">
        <v>2755</v>
      </c>
      <c r="T13" t="s">
        <v>2756</v>
      </c>
      <c r="U13" t="s">
        <v>2757</v>
      </c>
      <c r="V13" t="s">
        <v>2758</v>
      </c>
      <c r="W13" s="2" t="s">
        <v>2759</v>
      </c>
      <c r="X13" s="2" t="s">
        <v>2760</v>
      </c>
    </row>
    <row r="14" ht="16.5" customHeight="1">
      <c r="A14" t="s">
        <v>2459</v>
      </c>
      <c r="B14" t="s">
        <v>2761</v>
      </c>
      <c r="C14" t="s">
        <v>2762</v>
      </c>
      <c r="D14" t="s">
        <v>2763</v>
      </c>
      <c r="E14" t="s">
        <v>2764</v>
      </c>
      <c r="F14" t="s">
        <v>2765</v>
      </c>
      <c r="G14" t="s">
        <v>2766</v>
      </c>
      <c r="H14" t="s">
        <v>2767</v>
      </c>
      <c r="I14" t="s">
        <v>2768</v>
      </c>
      <c r="J14" t="s">
        <v>2769</v>
      </c>
      <c r="K14" t="s">
        <v>2770</v>
      </c>
      <c r="L14" s="2" t="s">
        <v>2771</v>
      </c>
      <c r="M14" s="15"/>
      <c r="N14" s="15"/>
      <c r="O14" s="15"/>
      <c r="P14" s="15"/>
      <c r="Q14" t="s">
        <v>2772</v>
      </c>
      <c r="R14" t="s">
        <v>2773</v>
      </c>
      <c r="S14" t="s">
        <v>2774</v>
      </c>
      <c r="T14" t="s">
        <v>2775</v>
      </c>
      <c r="U14" t="s">
        <v>2776</v>
      </c>
      <c r="V14" t="s">
        <v>2777</v>
      </c>
      <c r="W14" s="2" t="s">
        <v>2778</v>
      </c>
      <c r="X14" s="2" t="s">
        <v>2779</v>
      </c>
    </row>
    <row r="15" ht="16.5" customHeight="1">
      <c r="A15" t="s">
        <v>2460</v>
      </c>
      <c r="B15" s="45" t="s">
        <v>2780</v>
      </c>
      <c r="C15" t="s">
        <v>2781</v>
      </c>
      <c r="D15" t="s">
        <v>2782</v>
      </c>
      <c r="E15" s="8" t="s">
        <v>2783</v>
      </c>
      <c r="F15" s="8" t="s">
        <v>2784</v>
      </c>
      <c r="G15" s="2" t="s">
        <v>2785</v>
      </c>
      <c r="H15" s="40" t="s">
        <v>2786</v>
      </c>
      <c r="I15" t="s">
        <v>2787</v>
      </c>
      <c r="J15" t="s">
        <v>2788</v>
      </c>
      <c r="K15" s="2" t="s">
        <v>2789</v>
      </c>
      <c r="L15" s="2" t="s">
        <v>2790</v>
      </c>
      <c r="M15" s="15"/>
      <c r="N15" s="15"/>
      <c r="O15" s="15"/>
      <c r="P15" s="15"/>
      <c r="Q15" s="2" t="s">
        <v>2791</v>
      </c>
      <c r="R15" t="s">
        <v>2792</v>
      </c>
      <c r="S15" s="49" t="s">
        <v>2793</v>
      </c>
      <c r="T15" t="s">
        <v>2794</v>
      </c>
      <c r="U15" s="2" t="s">
        <v>2795</v>
      </c>
      <c r="V15" t="s">
        <v>2796</v>
      </c>
      <c r="W15" t="s">
        <v>2797</v>
      </c>
      <c r="X15" s="2" t="s">
        <v>2798</v>
      </c>
    </row>
    <row r="16" ht="16.5" customHeight="1">
      <c r="A16" t="s">
        <v>2461</v>
      </c>
      <c r="B16" t="s">
        <v>2799</v>
      </c>
      <c r="C16" t="s">
        <v>2800</v>
      </c>
      <c r="D16" t="s">
        <v>2801</v>
      </c>
      <c r="E16" t="s">
        <v>2802</v>
      </c>
      <c r="F16" s="2" t="s">
        <v>2803</v>
      </c>
      <c r="G16" s="17" t="s">
        <v>2804</v>
      </c>
      <c r="H16" s="2" t="s">
        <v>2805</v>
      </c>
      <c r="I16" t="s">
        <v>2806</v>
      </c>
      <c r="J16" s="2" t="s">
        <v>2807</v>
      </c>
      <c r="K16" s="2" t="s">
        <v>2808</v>
      </c>
      <c r="L16" s="2" t="s">
        <v>2809</v>
      </c>
      <c r="M16" s="15"/>
      <c r="N16" s="15"/>
      <c r="O16" s="15"/>
      <c r="P16" s="15"/>
      <c r="Q16" t="s">
        <v>2810</v>
      </c>
      <c r="R16" t="s">
        <v>2811</v>
      </c>
      <c r="S16" t="s">
        <v>2812</v>
      </c>
      <c r="T16" t="s">
        <v>2813</v>
      </c>
      <c r="U16" t="s">
        <v>2814</v>
      </c>
      <c r="V16" s="2" t="s">
        <v>2815</v>
      </c>
      <c r="W16" t="s">
        <v>2816</v>
      </c>
      <c r="X16" s="2" t="s">
        <v>2817</v>
      </c>
    </row>
    <row r="17" ht="16.5" customHeight="1">
      <c r="A17" t="s">
        <v>2462</v>
      </c>
      <c r="B17" t="s">
        <v>2818</v>
      </c>
      <c r="C17" t="s">
        <v>2819</v>
      </c>
      <c r="D17" t="s">
        <v>2820</v>
      </c>
      <c r="E17" t="s">
        <v>2821</v>
      </c>
      <c r="F17" t="s">
        <v>2822</v>
      </c>
      <c r="G17" s="2" t="s">
        <v>2823</v>
      </c>
      <c r="H17" t="s">
        <v>2824</v>
      </c>
      <c r="I17" t="s">
        <v>2825</v>
      </c>
      <c r="J17" t="s">
        <v>2826</v>
      </c>
      <c r="K17" t="s">
        <v>2827</v>
      </c>
      <c r="L17" t="s">
        <v>2828</v>
      </c>
      <c r="M17" t="s">
        <v>2829</v>
      </c>
      <c r="N17" t="s">
        <v>2830</v>
      </c>
      <c r="O17" s="2" t="s">
        <v>2831</v>
      </c>
      <c r="P17" t="s">
        <v>2832</v>
      </c>
      <c r="Q17" s="15"/>
      <c r="R17" s="15"/>
      <c r="S17" s="15"/>
      <c r="T17" s="15"/>
      <c r="U17" t="s">
        <v>2833</v>
      </c>
      <c r="V17" t="s">
        <v>2834</v>
      </c>
      <c r="W17" s="2" t="s">
        <v>2835</v>
      </c>
      <c r="X17" t="s">
        <v>2836</v>
      </c>
    </row>
    <row r="18" ht="16.5" customHeight="1">
      <c r="A18" t="s">
        <v>2463</v>
      </c>
      <c r="B18" t="s">
        <v>2837</v>
      </c>
      <c r="C18" t="s">
        <v>2838</v>
      </c>
      <c r="D18" t="s">
        <v>2839</v>
      </c>
      <c r="E18" t="s">
        <v>2840</v>
      </c>
      <c r="F18" s="2" t="s">
        <v>2841</v>
      </c>
      <c r="G18" t="s">
        <v>2842</v>
      </c>
      <c r="H18" s="2" t="s">
        <v>2843</v>
      </c>
      <c r="I18" t="s">
        <v>2844</v>
      </c>
      <c r="J18" s="2" t="s">
        <v>2845</v>
      </c>
      <c r="K18" t="s">
        <v>2846</v>
      </c>
      <c r="L18" t="s">
        <v>2847</v>
      </c>
      <c r="M18" t="s">
        <v>2848</v>
      </c>
      <c r="N18" t="s">
        <v>2849</v>
      </c>
      <c r="O18" t="s">
        <v>2850</v>
      </c>
      <c r="P18" t="s">
        <v>2851</v>
      </c>
      <c r="Q18" s="15"/>
      <c r="R18" s="15"/>
      <c r="S18" s="15"/>
      <c r="T18" s="15"/>
      <c r="U18" t="s">
        <v>2852</v>
      </c>
      <c r="V18" t="s">
        <v>2853</v>
      </c>
      <c r="W18" t="s">
        <v>2854</v>
      </c>
      <c r="X18" t="s">
        <v>2855</v>
      </c>
    </row>
    <row r="19" ht="16.5" customHeight="1">
      <c r="A19" t="s">
        <v>2464</v>
      </c>
      <c r="B19" t="s">
        <v>2856</v>
      </c>
      <c r="C19" t="s">
        <v>2857</v>
      </c>
      <c r="D19" t="s">
        <v>2858</v>
      </c>
      <c r="E19" t="s">
        <v>2859</v>
      </c>
      <c r="F19" t="s">
        <v>2860</v>
      </c>
      <c r="G19" t="s">
        <v>2861</v>
      </c>
      <c r="H19" t="s">
        <v>2862</v>
      </c>
      <c r="I19" t="s">
        <v>2863</v>
      </c>
      <c r="J19" t="s">
        <v>2864</v>
      </c>
      <c r="K19" t="s">
        <v>2865</v>
      </c>
      <c r="L19" t="s">
        <v>2866</v>
      </c>
      <c r="M19" t="s">
        <v>2867</v>
      </c>
      <c r="N19" t="s">
        <v>2868</v>
      </c>
      <c r="O19" s="8" t="s">
        <v>2869</v>
      </c>
      <c r="P19" t="s">
        <v>2870</v>
      </c>
      <c r="Q19" s="15"/>
      <c r="R19" s="15"/>
      <c r="S19" s="15"/>
      <c r="T19" s="15"/>
      <c r="U19" s="2" t="s">
        <v>2871</v>
      </c>
      <c r="V19" t="s">
        <v>2872</v>
      </c>
      <c r="W19" t="s">
        <v>2873</v>
      </c>
      <c r="X19" t="s">
        <v>2874</v>
      </c>
    </row>
    <row r="20" ht="16.5" customHeight="1">
      <c r="A20" t="s">
        <v>2465</v>
      </c>
      <c r="B20" t="s">
        <v>2875</v>
      </c>
      <c r="C20" t="s">
        <v>2876</v>
      </c>
      <c r="D20" t="s">
        <v>2877</v>
      </c>
      <c r="E20" s="8" t="s">
        <v>2878</v>
      </c>
      <c r="F20" t="s">
        <v>2879</v>
      </c>
      <c r="G20" t="s">
        <v>2880</v>
      </c>
      <c r="H20" s="2" t="s">
        <v>2881</v>
      </c>
      <c r="I20" t="s">
        <v>2882</v>
      </c>
      <c r="J20" t="s">
        <v>2883</v>
      </c>
      <c r="K20" t="s">
        <v>2884</v>
      </c>
      <c r="L20" t="s">
        <v>2885</v>
      </c>
      <c r="M20" t="s">
        <v>2886</v>
      </c>
      <c r="N20" t="s">
        <v>2887</v>
      </c>
      <c r="O20" t="s">
        <v>2888</v>
      </c>
      <c r="P20" t="s">
        <v>2889</v>
      </c>
      <c r="Q20" s="15"/>
      <c r="R20" s="15"/>
      <c r="S20" s="15"/>
      <c r="T20" s="15"/>
      <c r="U20" t="s">
        <v>2890</v>
      </c>
      <c r="V20" t="s">
        <v>2891</v>
      </c>
      <c r="W20" t="s">
        <v>2892</v>
      </c>
      <c r="X20" t="s">
        <v>2893</v>
      </c>
    </row>
    <row r="21" ht="16.5" customHeight="1">
      <c r="A21" t="s">
        <v>2466</v>
      </c>
      <c r="B21" t="s">
        <v>2894</v>
      </c>
      <c r="C21" t="s">
        <v>2895</v>
      </c>
      <c r="D21" t="s">
        <v>2896</v>
      </c>
      <c r="E21" t="s">
        <v>2897</v>
      </c>
      <c r="F21" s="8" t="s">
        <v>2898</v>
      </c>
      <c r="G21" s="8" t="s">
        <v>2899</v>
      </c>
      <c r="H21" t="s">
        <v>2900</v>
      </c>
      <c r="I21" s="2" t="s">
        <v>2901</v>
      </c>
      <c r="J21" t="s">
        <v>2902</v>
      </c>
      <c r="K21" t="s">
        <v>2903</v>
      </c>
      <c r="L21" t="s">
        <v>2904</v>
      </c>
      <c r="M21" t="s">
        <v>2905</v>
      </c>
      <c r="N21" t="s">
        <v>2906</v>
      </c>
      <c r="O21" s="2" t="s">
        <v>2907</v>
      </c>
      <c r="P21" t="s">
        <v>2908</v>
      </c>
      <c r="Q21" t="s">
        <v>2909</v>
      </c>
      <c r="R21" t="s">
        <v>2910</v>
      </c>
      <c r="S21" s="2" t="s">
        <v>2911</v>
      </c>
      <c r="T21" t="s">
        <v>2912</v>
      </c>
      <c r="U21" s="15"/>
      <c r="V21" s="15"/>
      <c r="W21" s="15"/>
      <c r="X21" s="15"/>
    </row>
    <row r="22" ht="16.5" customHeight="1">
      <c r="A22" t="s">
        <v>2467</v>
      </c>
      <c r="B22" s="2" t="s">
        <v>2913</v>
      </c>
      <c r="C22" t="s">
        <v>2914</v>
      </c>
      <c r="D22" t="s">
        <v>2915</v>
      </c>
      <c r="E22" t="s">
        <v>2916</v>
      </c>
      <c r="F22" s="50" t="s">
        <v>2917</v>
      </c>
      <c r="G22" t="s">
        <v>2918</v>
      </c>
      <c r="H22" t="s">
        <v>2919</v>
      </c>
      <c r="I22" t="s">
        <v>2920</v>
      </c>
      <c r="J22" s="2" t="s">
        <v>2921</v>
      </c>
      <c r="K22" t="s">
        <v>2922</v>
      </c>
      <c r="L22" t="s">
        <v>2923</v>
      </c>
      <c r="M22" t="s">
        <v>2924</v>
      </c>
      <c r="N22" t="s">
        <v>2925</v>
      </c>
      <c r="O22" t="s">
        <v>2926</v>
      </c>
      <c r="P22" s="2" t="s">
        <v>2927</v>
      </c>
      <c r="Q22" t="s">
        <v>2928</v>
      </c>
      <c r="R22" t="s">
        <v>2929</v>
      </c>
      <c r="S22" t="s">
        <v>2930</v>
      </c>
      <c r="T22" t="s">
        <v>2931</v>
      </c>
      <c r="U22" s="15"/>
      <c r="V22" s="15"/>
      <c r="W22" s="15"/>
      <c r="X22" s="15"/>
    </row>
    <row r="23" ht="16.5" customHeight="1">
      <c r="A23" t="s">
        <v>2468</v>
      </c>
      <c r="B23" t="s">
        <v>2932</v>
      </c>
      <c r="C23" s="2" t="s">
        <v>2933</v>
      </c>
      <c r="D23" t="s">
        <v>2934</v>
      </c>
      <c r="E23" t="s">
        <v>2935</v>
      </c>
      <c r="F23" t="s">
        <v>2936</v>
      </c>
      <c r="G23" s="2" t="s">
        <v>2937</v>
      </c>
      <c r="H23" t="s">
        <v>2938</v>
      </c>
      <c r="I23" t="s">
        <v>2939</v>
      </c>
      <c r="J23" t="s">
        <v>2940</v>
      </c>
      <c r="K23" t="s">
        <v>2941</v>
      </c>
      <c r="L23" t="s">
        <v>2942</v>
      </c>
      <c r="M23" s="2" t="s">
        <v>2943</v>
      </c>
      <c r="N23" s="2" t="s">
        <v>2944</v>
      </c>
      <c r="O23" t="s">
        <v>2945</v>
      </c>
      <c r="P23" t="s">
        <v>2946</v>
      </c>
      <c r="Q23" s="36" t="s">
        <v>2947</v>
      </c>
      <c r="R23" t="s">
        <v>2948</v>
      </c>
      <c r="S23" t="s">
        <v>2949</v>
      </c>
      <c r="T23" t="s">
        <v>2950</v>
      </c>
      <c r="U23" s="15"/>
      <c r="V23" s="15"/>
      <c r="W23" s="15"/>
      <c r="X23" s="15"/>
    </row>
    <row r="24" ht="16.5" customHeight="1">
      <c r="A24" t="s">
        <v>2469</v>
      </c>
      <c r="B24" t="s">
        <v>2951</v>
      </c>
      <c r="C24" t="s">
        <v>2952</v>
      </c>
      <c r="D24" t="s">
        <v>2953</v>
      </c>
      <c r="E24" t="s">
        <v>2954</v>
      </c>
      <c r="F24" s="2" t="s">
        <v>2955</v>
      </c>
      <c r="G24" t="s">
        <v>2956</v>
      </c>
      <c r="H24" s="2" t="s">
        <v>2957</v>
      </c>
      <c r="I24" t="s">
        <v>2958</v>
      </c>
      <c r="J24" t="s">
        <v>2959</v>
      </c>
      <c r="K24" t="s">
        <v>2960</v>
      </c>
      <c r="L24" t="s">
        <v>2961</v>
      </c>
      <c r="M24" s="2" t="s">
        <v>2962</v>
      </c>
      <c r="N24" s="8" t="s">
        <v>2963</v>
      </c>
      <c r="O24" s="2" t="s">
        <v>2964</v>
      </c>
      <c r="P24" s="2" t="s">
        <v>2965</v>
      </c>
      <c r="Q24" t="s">
        <v>2966</v>
      </c>
      <c r="R24" t="s">
        <v>2967</v>
      </c>
      <c r="S24" t="s">
        <v>2968</v>
      </c>
      <c r="T24" t="s">
        <v>2969</v>
      </c>
      <c r="U24" s="15"/>
      <c r="V24" s="15"/>
      <c r="W24" s="15"/>
      <c r="X24" s="15"/>
    </row>
    <row r="25" ht="16.5" customHeight="1">
      <c r="X25" s="2" t="s">
        <v>2970</v>
      </c>
      <c r="Y25">
        <f>AVERAGE(Y2:Y24)</f>
        <v>1.644736842</v>
      </c>
    </row>
    <row r="26" ht="16.5" customHeight="1">
      <c r="B26" t="s">
        <v>985</v>
      </c>
      <c r="D26" s="39" t="s">
        <v>2440</v>
      </c>
      <c r="E26" s="40" t="s">
        <v>2441</v>
      </c>
      <c r="F26" s="36" t="s">
        <v>2442</v>
      </c>
      <c r="G26" s="37" t="s">
        <v>2443</v>
      </c>
      <c r="H26" s="41" t="s">
        <v>2444</v>
      </c>
      <c r="I26" s="42" t="s">
        <v>2445</v>
      </c>
    </row>
    <row r="27" ht="16.5" customHeight="1">
      <c r="B27">
        <f>529-COUNTBLANK(B2:X24)</f>
        <v>440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0"/>
    <col customWidth="1" min="3" max="3" width="35.43"/>
  </cols>
  <sheetData>
    <row r="1">
      <c r="A1" s="2" t="s">
        <v>2568</v>
      </c>
      <c r="B1" s="2" t="s">
        <v>2569</v>
      </c>
      <c r="C1" s="2" t="s">
        <v>2570</v>
      </c>
      <c r="D1" s="2" t="s">
        <v>2571</v>
      </c>
      <c r="E1" s="2" t="s">
        <v>2572</v>
      </c>
    </row>
    <row r="2">
      <c r="A2" s="2" t="s">
        <v>2573</v>
      </c>
      <c r="B2" s="2" t="s">
        <v>365</v>
      </c>
      <c r="C2" s="2" t="s">
        <v>2575</v>
      </c>
      <c r="D2" s="2">
        <v>0.9</v>
      </c>
      <c r="E2" s="2">
        <v>0.0</v>
      </c>
    </row>
    <row r="3">
      <c r="A3" s="2" t="s">
        <v>2577</v>
      </c>
      <c r="B3" s="2" t="s">
        <v>2579</v>
      </c>
      <c r="C3" s="2" t="s">
        <v>2580</v>
      </c>
      <c r="D3" s="2">
        <v>1.26</v>
      </c>
      <c r="E3" s="2">
        <v>0.0</v>
      </c>
    </row>
    <row r="4">
      <c r="A4" s="2" t="s">
        <v>2582</v>
      </c>
      <c r="B4" s="2" t="s">
        <v>2584</v>
      </c>
      <c r="C4" s="2" t="s">
        <v>2585</v>
      </c>
      <c r="D4" s="2">
        <v>1.4</v>
      </c>
      <c r="E4" s="2">
        <v>0.0</v>
      </c>
    </row>
    <row r="5">
      <c r="A5" s="2" t="s">
        <v>2587</v>
      </c>
      <c r="B5" s="2" t="s">
        <v>72</v>
      </c>
      <c r="C5" s="2" t="s">
        <v>2589</v>
      </c>
      <c r="D5" s="2">
        <v>0.7</v>
      </c>
      <c r="E5" s="2">
        <v>0.0</v>
      </c>
    </row>
    <row r="6">
      <c r="A6" s="2" t="s">
        <v>2592</v>
      </c>
      <c r="B6" s="2" t="s">
        <v>2593</v>
      </c>
      <c r="C6" s="2" t="s">
        <v>82</v>
      </c>
      <c r="D6" s="2">
        <v>1.4</v>
      </c>
      <c r="E6" s="2">
        <v>2.0</v>
      </c>
    </row>
    <row r="7">
      <c r="A7" s="2" t="s">
        <v>2596</v>
      </c>
      <c r="B7" s="2" t="s">
        <v>2598</v>
      </c>
      <c r="C7" s="2" t="s">
        <v>2580</v>
      </c>
      <c r="D7" s="2">
        <v>1.31</v>
      </c>
      <c r="E7" s="2">
        <v>2.0</v>
      </c>
      <c r="F7" s="2"/>
    </row>
    <row r="8">
      <c r="A8" s="2" t="s">
        <v>2602</v>
      </c>
      <c r="B8" s="2" t="s">
        <v>2603</v>
      </c>
      <c r="C8" s="2" t="s">
        <v>2605</v>
      </c>
      <c r="D8" s="2">
        <v>1.64</v>
      </c>
      <c r="E8" s="2">
        <v>2.0</v>
      </c>
      <c r="F8" s="2"/>
    </row>
    <row r="9">
      <c r="A9" s="2" t="s">
        <v>2608</v>
      </c>
      <c r="B9" s="2" t="s">
        <v>2609</v>
      </c>
      <c r="C9" s="2" t="s">
        <v>2610</v>
      </c>
      <c r="D9" s="2">
        <v>1.65</v>
      </c>
      <c r="E9" s="2">
        <v>1.0</v>
      </c>
      <c r="F9" s="2"/>
    </row>
    <row r="10">
      <c r="A10" s="2" t="s">
        <v>2611</v>
      </c>
      <c r="B10" s="2" t="s">
        <v>2612</v>
      </c>
      <c r="C10" s="2" t="s">
        <v>82</v>
      </c>
      <c r="D10" s="2">
        <v>0.94</v>
      </c>
      <c r="E10" s="2">
        <v>0.0</v>
      </c>
    </row>
    <row r="11">
      <c r="A11" s="2" t="s">
        <v>2613</v>
      </c>
      <c r="B11" s="2" t="s">
        <v>2614</v>
      </c>
      <c r="C11" s="2" t="s">
        <v>2615</v>
      </c>
      <c r="D11" s="2">
        <v>1.8</v>
      </c>
      <c r="E11" s="2">
        <v>0.0</v>
      </c>
    </row>
    <row r="12">
      <c r="A12" s="2" t="s">
        <v>2616</v>
      </c>
      <c r="B12" s="2" t="s">
        <v>2617</v>
      </c>
      <c r="C12" s="2" t="s">
        <v>2618</v>
      </c>
      <c r="D12" s="2">
        <v>1.14</v>
      </c>
      <c r="E12" s="2">
        <v>2.0</v>
      </c>
    </row>
    <row r="13">
      <c r="A13" s="2" t="s">
        <v>2619</v>
      </c>
      <c r="B13" s="2" t="s">
        <v>2620</v>
      </c>
      <c r="C13" s="2" t="s">
        <v>82</v>
      </c>
      <c r="D13" s="2">
        <v>0.94</v>
      </c>
      <c r="E13" s="2">
        <v>0.0</v>
      </c>
    </row>
    <row r="14">
      <c r="A14" s="2" t="s">
        <v>2621</v>
      </c>
      <c r="B14" s="2" t="s">
        <v>2622</v>
      </c>
      <c r="C14" s="2" t="s">
        <v>2623</v>
      </c>
      <c r="D14" s="2">
        <v>1.15</v>
      </c>
      <c r="E14" s="2">
        <v>2.0</v>
      </c>
    </row>
    <row r="15">
      <c r="A15" s="2" t="s">
        <v>2624</v>
      </c>
      <c r="B15" s="2" t="s">
        <v>2625</v>
      </c>
      <c r="C15" s="2" t="s">
        <v>2626</v>
      </c>
      <c r="D15" s="2">
        <v>1.44</v>
      </c>
      <c r="E15" s="2">
        <v>1.0</v>
      </c>
    </row>
    <row r="16">
      <c r="A16" s="2" t="s">
        <v>2627</v>
      </c>
      <c r="B16" s="2" t="s">
        <v>2628</v>
      </c>
      <c r="C16" s="2" t="s">
        <v>2629</v>
      </c>
      <c r="D16" s="2">
        <v>1.48</v>
      </c>
      <c r="E16" s="2">
        <v>2.0</v>
      </c>
      <c r="F16" s="2"/>
    </row>
    <row r="17">
      <c r="A17" s="2" t="s">
        <v>2630</v>
      </c>
      <c r="B17" s="7" t="s">
        <v>951</v>
      </c>
      <c r="C17" s="2" t="s">
        <v>2631</v>
      </c>
      <c r="D17" s="2">
        <v>0.9</v>
      </c>
      <c r="E17" s="2">
        <v>0.0</v>
      </c>
      <c r="G17" s="2"/>
    </row>
    <row r="18">
      <c r="A18" s="2" t="s">
        <v>2632</v>
      </c>
      <c r="B18" s="2" t="s">
        <v>2633</v>
      </c>
      <c r="C18" s="2" t="s">
        <v>2634</v>
      </c>
      <c r="D18" s="2">
        <v>1.66</v>
      </c>
      <c r="E18" s="2">
        <v>2.0</v>
      </c>
      <c r="F18" s="2"/>
    </row>
    <row r="19">
      <c r="A19" s="2" t="s">
        <v>2635</v>
      </c>
      <c r="B19" s="2" t="s">
        <v>2636</v>
      </c>
      <c r="C19" s="2" t="s">
        <v>82</v>
      </c>
      <c r="D19" s="2">
        <v>1.18</v>
      </c>
      <c r="E19" s="2">
        <v>0.0</v>
      </c>
    </row>
    <row r="20">
      <c r="A20" s="2" t="s">
        <v>2637</v>
      </c>
      <c r="B20" s="24" t="s">
        <v>2638</v>
      </c>
      <c r="C20" s="2" t="s">
        <v>82</v>
      </c>
      <c r="D20" s="2">
        <v>1.36</v>
      </c>
      <c r="E20" s="2">
        <v>0.0</v>
      </c>
    </row>
    <row r="21">
      <c r="A21" s="2" t="s">
        <v>2639</v>
      </c>
      <c r="B21" s="2" t="s">
        <v>2640</v>
      </c>
      <c r="C21" s="2" t="s">
        <v>2641</v>
      </c>
      <c r="D21" s="2">
        <v>1.36</v>
      </c>
      <c r="E21" s="2">
        <v>2.0</v>
      </c>
    </row>
    <row r="22">
      <c r="A22" s="2" t="s">
        <v>2642</v>
      </c>
      <c r="B22" s="7" t="s">
        <v>837</v>
      </c>
      <c r="C22" s="2" t="s">
        <v>2644</v>
      </c>
      <c r="D22" s="2">
        <v>1.06</v>
      </c>
      <c r="E22" s="2">
        <v>1.0</v>
      </c>
    </row>
    <row r="23">
      <c r="A23" s="2" t="s">
        <v>2646</v>
      </c>
      <c r="B23" s="2" t="s">
        <v>2648</v>
      </c>
      <c r="C23" s="2" t="s">
        <v>2649</v>
      </c>
      <c r="D23" s="2">
        <v>1.8</v>
      </c>
      <c r="E23" s="2">
        <v>2.0</v>
      </c>
      <c r="F23" s="2"/>
    </row>
    <row r="25">
      <c r="A25" s="2"/>
      <c r="C25" s="2" t="s">
        <v>2651</v>
      </c>
      <c r="D25">
        <f t="shared" ref="D25:E25" si="1">average(D2:D23)</f>
        <v>1.294090909</v>
      </c>
      <c r="E25">
        <f t="shared" si="1"/>
        <v>0.9545454545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0"/>
    <col customWidth="1" min="3" max="3" width="35.43"/>
  </cols>
  <sheetData>
    <row r="1">
      <c r="A1" s="2" t="s">
        <v>2568</v>
      </c>
      <c r="B1" s="2" t="s">
        <v>2569</v>
      </c>
      <c r="C1" s="2" t="s">
        <v>2971</v>
      </c>
      <c r="D1" s="2" t="s">
        <v>2571</v>
      </c>
      <c r="E1" s="2" t="s">
        <v>2572</v>
      </c>
    </row>
    <row r="2">
      <c r="A2" s="2" t="s">
        <v>2972</v>
      </c>
      <c r="B2" s="2" t="s">
        <v>1888</v>
      </c>
      <c r="C2" s="2" t="s">
        <v>2973</v>
      </c>
      <c r="D2" s="2">
        <v>0.97</v>
      </c>
      <c r="E2" s="2">
        <v>0.0</v>
      </c>
    </row>
    <row r="3">
      <c r="A3" s="2" t="s">
        <v>2974</v>
      </c>
      <c r="B3" s="2" t="s">
        <v>2975</v>
      </c>
      <c r="C3" s="2" t="s">
        <v>2976</v>
      </c>
      <c r="D3" s="2">
        <v>1.19</v>
      </c>
      <c r="E3" s="2">
        <v>0.0</v>
      </c>
    </row>
    <row r="4">
      <c r="A4" s="2" t="s">
        <v>2977</v>
      </c>
      <c r="B4" s="2" t="s">
        <v>789</v>
      </c>
      <c r="C4" s="2" t="s">
        <v>2978</v>
      </c>
      <c r="D4" s="2">
        <v>0.92</v>
      </c>
      <c r="E4" s="2">
        <v>0.0</v>
      </c>
    </row>
    <row r="5">
      <c r="A5" s="2" t="s">
        <v>2979</v>
      </c>
      <c r="B5" s="2" t="s">
        <v>2980</v>
      </c>
      <c r="C5" s="2" t="s">
        <v>2981</v>
      </c>
      <c r="D5" s="2">
        <v>1.42</v>
      </c>
      <c r="E5" s="2">
        <v>2.0</v>
      </c>
    </row>
    <row r="6">
      <c r="A6" s="2" t="s">
        <v>2982</v>
      </c>
      <c r="B6" s="2" t="s">
        <v>2584</v>
      </c>
      <c r="C6" s="2" t="s">
        <v>2585</v>
      </c>
      <c r="D6" s="2">
        <v>1.4</v>
      </c>
      <c r="E6" s="2">
        <v>0.0</v>
      </c>
    </row>
    <row r="7">
      <c r="A7" s="2" t="s">
        <v>2983</v>
      </c>
      <c r="B7" s="2" t="s">
        <v>2984</v>
      </c>
      <c r="C7" s="2" t="s">
        <v>2985</v>
      </c>
      <c r="D7" s="2"/>
      <c r="E7" s="2"/>
      <c r="F7" s="2"/>
    </row>
    <row r="8">
      <c r="A8" s="2" t="s">
        <v>2986</v>
      </c>
      <c r="B8" s="2" t="s">
        <v>2987</v>
      </c>
      <c r="C8" s="2" t="s">
        <v>2988</v>
      </c>
      <c r="D8" s="2">
        <v>1.25</v>
      </c>
      <c r="E8" s="2">
        <v>0.0</v>
      </c>
      <c r="F8" s="2"/>
    </row>
    <row r="9">
      <c r="A9" s="2" t="s">
        <v>2989</v>
      </c>
      <c r="B9" s="2" t="s">
        <v>2990</v>
      </c>
      <c r="C9" s="2" t="s">
        <v>2988</v>
      </c>
      <c r="D9" s="2">
        <v>1.19</v>
      </c>
      <c r="E9" s="2">
        <v>0.0</v>
      </c>
      <c r="F9" s="2"/>
    </row>
    <row r="10">
      <c r="A10" s="2" t="s">
        <v>2991</v>
      </c>
      <c r="B10" s="2" t="s">
        <v>2992</v>
      </c>
      <c r="C10" s="2" t="s">
        <v>2993</v>
      </c>
      <c r="D10" s="2">
        <v>1.11</v>
      </c>
      <c r="E10" s="2">
        <v>0.0</v>
      </c>
    </row>
    <row r="11">
      <c r="A11" s="2" t="s">
        <v>2994</v>
      </c>
      <c r="B11" s="2" t="s">
        <v>2995</v>
      </c>
      <c r="C11" s="2" t="s">
        <v>2996</v>
      </c>
      <c r="D11" s="2">
        <v>1.49</v>
      </c>
      <c r="E11" s="2">
        <v>2.0</v>
      </c>
    </row>
    <row r="12">
      <c r="A12" s="2" t="s">
        <v>2997</v>
      </c>
      <c r="B12" s="2" t="s">
        <v>2998</v>
      </c>
      <c r="C12" s="2" t="s">
        <v>2988</v>
      </c>
      <c r="D12" s="2"/>
      <c r="E12" s="2"/>
    </row>
    <row r="13">
      <c r="A13" s="2" t="s">
        <v>2999</v>
      </c>
      <c r="B13" s="2" t="s">
        <v>3000</v>
      </c>
      <c r="C13" s="2" t="s">
        <v>2988</v>
      </c>
      <c r="D13" s="2">
        <v>1.05</v>
      </c>
      <c r="E13" s="2">
        <v>2.0</v>
      </c>
    </row>
    <row r="14">
      <c r="A14" s="2" t="s">
        <v>3001</v>
      </c>
      <c r="B14" s="2" t="s">
        <v>3002</v>
      </c>
      <c r="C14" s="2" t="s">
        <v>3003</v>
      </c>
      <c r="D14" s="2">
        <v>1.46</v>
      </c>
      <c r="E14" s="2">
        <v>2.0</v>
      </c>
    </row>
    <row r="15">
      <c r="A15" s="2" t="s">
        <v>3004</v>
      </c>
      <c r="B15" s="2" t="s">
        <v>3005</v>
      </c>
      <c r="C15" s="2" t="s">
        <v>2988</v>
      </c>
      <c r="D15" s="2"/>
      <c r="E15" s="2"/>
    </row>
    <row r="16">
      <c r="A16" s="2" t="s">
        <v>3006</v>
      </c>
      <c r="B16" s="2" t="s">
        <v>3007</v>
      </c>
      <c r="C16" s="2" t="s">
        <v>3008</v>
      </c>
      <c r="D16" s="2"/>
      <c r="E16" s="2"/>
      <c r="F16" s="2"/>
    </row>
    <row r="17">
      <c r="A17" s="2" t="s">
        <v>3009</v>
      </c>
      <c r="B17" s="7" t="s">
        <v>1718</v>
      </c>
      <c r="C17" s="2" t="s">
        <v>3010</v>
      </c>
      <c r="D17" s="2"/>
      <c r="E17" s="2"/>
      <c r="G17" s="2"/>
    </row>
    <row r="18">
      <c r="A18" s="2" t="s">
        <v>3011</v>
      </c>
      <c r="B18" s="2" t="s">
        <v>3012</v>
      </c>
      <c r="C18" s="2" t="s">
        <v>3013</v>
      </c>
      <c r="D18" s="2"/>
      <c r="E18" s="2"/>
      <c r="F18" s="2"/>
    </row>
    <row r="19">
      <c r="A19" s="2" t="s">
        <v>3014</v>
      </c>
      <c r="B19" s="2" t="s">
        <v>3015</v>
      </c>
      <c r="C19" s="2" t="s">
        <v>3016</v>
      </c>
      <c r="D19" s="2"/>
      <c r="E19" s="2"/>
    </row>
    <row r="20">
      <c r="A20" s="2" t="s">
        <v>3017</v>
      </c>
      <c r="B20" s="24" t="s">
        <v>3018</v>
      </c>
      <c r="C20" s="2" t="s">
        <v>3019</v>
      </c>
      <c r="D20" s="2"/>
      <c r="E20" s="2"/>
    </row>
    <row r="21">
      <c r="A21" s="2" t="s">
        <v>3020</v>
      </c>
      <c r="B21" s="2" t="s">
        <v>3021</v>
      </c>
      <c r="C21" s="2" t="s">
        <v>2988</v>
      </c>
      <c r="D21" s="2"/>
      <c r="E21" s="2"/>
    </row>
    <row r="22">
      <c r="A22" s="2" t="s">
        <v>3022</v>
      </c>
      <c r="B22" s="7" t="s">
        <v>1527</v>
      </c>
      <c r="C22" s="2" t="s">
        <v>3023</v>
      </c>
      <c r="D22" s="2">
        <v>0.73</v>
      </c>
      <c r="E22" s="2">
        <v>0.0</v>
      </c>
    </row>
    <row r="23">
      <c r="A23" s="2" t="s">
        <v>3024</v>
      </c>
      <c r="B23" s="2" t="s">
        <v>3025</v>
      </c>
      <c r="C23" s="2" t="s">
        <v>2988</v>
      </c>
      <c r="D23" s="2"/>
      <c r="E23" s="2"/>
      <c r="F23" s="2"/>
    </row>
    <row r="25">
      <c r="A25" s="2"/>
      <c r="C25" s="2" t="s">
        <v>2651</v>
      </c>
      <c r="D25">
        <f t="shared" ref="D25:E25" si="1">average(D2:D23)</f>
        <v>1.181666667</v>
      </c>
      <c r="E25">
        <f t="shared" si="1"/>
        <v>0.6666666667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14"/>
  </cols>
  <sheetData>
    <row r="1" ht="16.5" customHeight="1">
      <c r="A1" s="2" t="s">
        <v>0</v>
      </c>
      <c r="B1" s="2" t="s">
        <v>3026</v>
      </c>
      <c r="C1" s="2" t="s">
        <v>3027</v>
      </c>
      <c r="D1" s="2" t="s">
        <v>3028</v>
      </c>
      <c r="E1" s="2" t="s">
        <v>3029</v>
      </c>
      <c r="F1" s="2" t="s">
        <v>3030</v>
      </c>
      <c r="G1" s="2" t="s">
        <v>3031</v>
      </c>
      <c r="H1" s="2" t="s">
        <v>3032</v>
      </c>
      <c r="I1" s="2" t="s">
        <v>3033</v>
      </c>
      <c r="J1" s="2" t="s">
        <v>3034</v>
      </c>
      <c r="K1" s="2" t="s">
        <v>3035</v>
      </c>
      <c r="L1" s="2" t="s">
        <v>3036</v>
      </c>
      <c r="M1" s="2" t="s">
        <v>3037</v>
      </c>
      <c r="N1" s="2" t="s">
        <v>3038</v>
      </c>
      <c r="O1" s="2" t="s">
        <v>3039</v>
      </c>
      <c r="P1" s="2" t="s">
        <v>3040</v>
      </c>
      <c r="Q1" s="2" t="s">
        <v>3041</v>
      </c>
      <c r="R1" s="2" t="s">
        <v>3042</v>
      </c>
      <c r="S1" s="2" t="s">
        <v>3043</v>
      </c>
      <c r="T1" s="2" t="s">
        <v>3044</v>
      </c>
      <c r="U1" s="2" t="s">
        <v>3045</v>
      </c>
      <c r="V1" s="2" t="s">
        <v>3046</v>
      </c>
      <c r="W1" s="2" t="s">
        <v>3047</v>
      </c>
      <c r="X1" s="2" t="s">
        <v>3048</v>
      </c>
      <c r="Y1" s="2" t="s">
        <v>3049</v>
      </c>
    </row>
    <row r="2" ht="16.5" customHeight="1">
      <c r="A2" s="2" t="s">
        <v>3026</v>
      </c>
      <c r="B2" s="18"/>
      <c r="C2" s="2" t="s">
        <v>3050</v>
      </c>
      <c r="D2" s="2" t="s">
        <v>3051</v>
      </c>
      <c r="E2" s="2" t="s">
        <v>3052</v>
      </c>
      <c r="F2" s="2" t="s">
        <v>3053</v>
      </c>
      <c r="G2" s="2" t="s">
        <v>3054</v>
      </c>
      <c r="H2" s="2" t="s">
        <v>3055</v>
      </c>
      <c r="I2" s="2" t="s">
        <v>3056</v>
      </c>
      <c r="J2" s="2" t="s">
        <v>3057</v>
      </c>
      <c r="K2" s="2" t="s">
        <v>3058</v>
      </c>
      <c r="L2" s="2" t="s">
        <v>3059</v>
      </c>
      <c r="M2" s="2" t="s">
        <v>3060</v>
      </c>
      <c r="N2" s="2" t="s">
        <v>3061</v>
      </c>
      <c r="O2" s="2" t="s">
        <v>3062</v>
      </c>
      <c r="P2" s="2" t="s">
        <v>3063</v>
      </c>
      <c r="Q2" s="2" t="s">
        <v>3064</v>
      </c>
      <c r="R2" s="2" t="s">
        <v>3065</v>
      </c>
      <c r="S2" s="2" t="s">
        <v>3066</v>
      </c>
      <c r="T2" s="2" t="s">
        <v>3067</v>
      </c>
      <c r="U2" s="2" t="s">
        <v>3068</v>
      </c>
      <c r="V2" s="2" t="s">
        <v>3069</v>
      </c>
      <c r="W2" s="2" t="s">
        <v>3070</v>
      </c>
      <c r="X2" s="2" t="s">
        <v>3071</v>
      </c>
      <c r="Y2" s="2" t="s">
        <v>3072</v>
      </c>
    </row>
    <row r="3" ht="16.5" customHeight="1">
      <c r="A3" s="2" t="s">
        <v>3027</v>
      </c>
      <c r="B3" s="2" t="s">
        <v>3073</v>
      </c>
      <c r="C3" s="18"/>
      <c r="D3" s="2" t="s">
        <v>3074</v>
      </c>
      <c r="E3" s="2" t="s">
        <v>3075</v>
      </c>
      <c r="F3" s="2" t="s">
        <v>3076</v>
      </c>
      <c r="G3" s="2" t="s">
        <v>3077</v>
      </c>
      <c r="H3" s="2" t="s">
        <v>3078</v>
      </c>
      <c r="I3" s="2" t="s">
        <v>3079</v>
      </c>
      <c r="J3" s="2" t="s">
        <v>3080</v>
      </c>
      <c r="K3" s="2" t="s">
        <v>3081</v>
      </c>
      <c r="L3" s="2" t="s">
        <v>3082</v>
      </c>
      <c r="M3" s="2" t="s">
        <v>3083</v>
      </c>
      <c r="N3" s="2" t="s">
        <v>3084</v>
      </c>
      <c r="O3" s="2" t="s">
        <v>3085</v>
      </c>
      <c r="P3" s="2" t="s">
        <v>3086</v>
      </c>
      <c r="Q3" s="2" t="s">
        <v>3087</v>
      </c>
      <c r="R3" s="2" t="s">
        <v>3088</v>
      </c>
      <c r="S3" s="2" t="s">
        <v>3089</v>
      </c>
      <c r="T3" s="2" t="s">
        <v>3090</v>
      </c>
      <c r="U3" s="2" t="s">
        <v>3091</v>
      </c>
      <c r="V3" s="2" t="s">
        <v>3092</v>
      </c>
      <c r="W3" s="2" t="s">
        <v>3093</v>
      </c>
      <c r="X3" s="2" t="s">
        <v>3094</v>
      </c>
      <c r="Y3" s="2" t="s">
        <v>3095</v>
      </c>
    </row>
    <row r="4" ht="16.5" customHeight="1">
      <c r="A4" s="2" t="s">
        <v>3028</v>
      </c>
      <c r="B4" s="2" t="s">
        <v>3096</v>
      </c>
      <c r="C4" s="2" t="s">
        <v>3097</v>
      </c>
      <c r="D4" s="18"/>
      <c r="E4" s="2" t="s">
        <v>3098</v>
      </c>
      <c r="F4" s="2" t="s">
        <v>3099</v>
      </c>
      <c r="G4" s="2" t="s">
        <v>3100</v>
      </c>
      <c r="H4" s="2" t="s">
        <v>3101</v>
      </c>
      <c r="I4" s="2" t="s">
        <v>3102</v>
      </c>
      <c r="J4" s="2" t="s">
        <v>3103</v>
      </c>
      <c r="K4" s="2" t="s">
        <v>3104</v>
      </c>
      <c r="L4" s="2" t="s">
        <v>3105</v>
      </c>
      <c r="M4" s="2" t="s">
        <v>3106</v>
      </c>
      <c r="N4" s="2" t="s">
        <v>3107</v>
      </c>
      <c r="O4" s="2" t="s">
        <v>3108</v>
      </c>
      <c r="P4" s="2" t="s">
        <v>3109</v>
      </c>
      <c r="Q4" s="2" t="s">
        <v>3110</v>
      </c>
      <c r="R4" s="2" t="s">
        <v>3111</v>
      </c>
      <c r="S4" s="2" t="s">
        <v>3112</v>
      </c>
      <c r="T4" s="2" t="s">
        <v>3113</v>
      </c>
      <c r="U4" s="2" t="s">
        <v>3114</v>
      </c>
      <c r="V4" s="2" t="s">
        <v>3115</v>
      </c>
      <c r="W4" s="2" t="s">
        <v>3116</v>
      </c>
      <c r="X4" s="2" t="s">
        <v>3117</v>
      </c>
      <c r="Y4" s="2" t="s">
        <v>3118</v>
      </c>
    </row>
    <row r="5" ht="16.5" customHeight="1">
      <c r="A5" s="2" t="s">
        <v>3029</v>
      </c>
      <c r="B5" s="2" t="s">
        <v>3119</v>
      </c>
      <c r="C5" s="2" t="s">
        <v>3120</v>
      </c>
      <c r="D5" s="2" t="s">
        <v>3121</v>
      </c>
      <c r="E5" s="18"/>
      <c r="F5" s="2" t="s">
        <v>3122</v>
      </c>
      <c r="G5" s="2" t="s">
        <v>3123</v>
      </c>
      <c r="H5" s="2" t="s">
        <v>3124</v>
      </c>
      <c r="I5" s="2" t="s">
        <v>3125</v>
      </c>
      <c r="J5" s="2" t="s">
        <v>3126</v>
      </c>
      <c r="K5" s="2" t="s">
        <v>3127</v>
      </c>
      <c r="L5" s="2" t="s">
        <v>3128</v>
      </c>
      <c r="M5" s="2" t="s">
        <v>3129</v>
      </c>
      <c r="N5" s="2" t="s">
        <v>3130</v>
      </c>
      <c r="O5" s="2" t="s">
        <v>3131</v>
      </c>
      <c r="P5" s="2" t="s">
        <v>3132</v>
      </c>
      <c r="Q5" s="2" t="s">
        <v>3133</v>
      </c>
      <c r="R5" s="2" t="s">
        <v>3134</v>
      </c>
      <c r="S5" s="2" t="s">
        <v>3135</v>
      </c>
      <c r="T5" s="2" t="s">
        <v>3136</v>
      </c>
      <c r="U5" s="2" t="s">
        <v>3137</v>
      </c>
      <c r="V5" s="2" t="s">
        <v>3138</v>
      </c>
      <c r="W5" s="2" t="s">
        <v>3139</v>
      </c>
      <c r="X5" s="2" t="s">
        <v>3140</v>
      </c>
      <c r="Y5" s="2" t="s">
        <v>3141</v>
      </c>
    </row>
    <row r="6" ht="16.5" customHeight="1">
      <c r="A6" s="2" t="s">
        <v>3030</v>
      </c>
      <c r="B6" s="2" t="s">
        <v>3142</v>
      </c>
      <c r="C6" s="2" t="s">
        <v>3143</v>
      </c>
      <c r="D6" s="2" t="s">
        <v>3144</v>
      </c>
      <c r="E6" s="2" t="s">
        <v>3145</v>
      </c>
      <c r="F6" s="18"/>
      <c r="G6" s="2" t="s">
        <v>3146</v>
      </c>
      <c r="H6" s="2" t="s">
        <v>3147</v>
      </c>
      <c r="I6" s="2" t="s">
        <v>3148</v>
      </c>
      <c r="J6" s="2" t="s">
        <v>3149</v>
      </c>
      <c r="K6" s="2" t="s">
        <v>3150</v>
      </c>
      <c r="L6" s="2" t="s">
        <v>3151</v>
      </c>
      <c r="M6" s="2" t="s">
        <v>3152</v>
      </c>
      <c r="N6" s="2" t="s">
        <v>3153</v>
      </c>
      <c r="O6" s="2" t="s">
        <v>3154</v>
      </c>
      <c r="P6" s="2" t="s">
        <v>3155</v>
      </c>
      <c r="Q6" s="2" t="s">
        <v>3156</v>
      </c>
      <c r="R6" s="2" t="s">
        <v>3157</v>
      </c>
      <c r="S6" s="2" t="s">
        <v>3158</v>
      </c>
      <c r="T6" s="2" t="s">
        <v>3159</v>
      </c>
      <c r="U6" s="2" t="s">
        <v>3160</v>
      </c>
      <c r="V6" s="2" t="s">
        <v>3161</v>
      </c>
      <c r="W6" s="2" t="s">
        <v>3162</v>
      </c>
      <c r="X6" s="2" t="s">
        <v>3163</v>
      </c>
      <c r="Y6" s="2" t="s">
        <v>3164</v>
      </c>
    </row>
    <row r="7" ht="16.5" customHeight="1">
      <c r="A7" s="2" t="s">
        <v>3031</v>
      </c>
      <c r="B7" s="2" t="s">
        <v>3165</v>
      </c>
      <c r="C7" s="2" t="s">
        <v>3166</v>
      </c>
      <c r="D7" s="2" t="s">
        <v>3167</v>
      </c>
      <c r="E7" s="2" t="s">
        <v>3168</v>
      </c>
      <c r="F7" s="2" t="s">
        <v>3169</v>
      </c>
      <c r="G7" s="18"/>
      <c r="H7" s="2" t="s">
        <v>3170</v>
      </c>
      <c r="I7" s="2" t="s">
        <v>3171</v>
      </c>
      <c r="J7" s="2" t="s">
        <v>3172</v>
      </c>
      <c r="K7" s="2" t="s">
        <v>3173</v>
      </c>
      <c r="L7" s="2" t="s">
        <v>3174</v>
      </c>
      <c r="M7" s="2" t="s">
        <v>3175</v>
      </c>
      <c r="N7" s="2" t="s">
        <v>3176</v>
      </c>
      <c r="O7" s="2" t="s">
        <v>3177</v>
      </c>
      <c r="P7" s="2" t="s">
        <v>3178</v>
      </c>
      <c r="Q7" s="2" t="s">
        <v>3179</v>
      </c>
      <c r="R7" s="2" t="s">
        <v>3180</v>
      </c>
      <c r="S7" s="2" t="s">
        <v>3181</v>
      </c>
      <c r="T7" s="2" t="s">
        <v>3182</v>
      </c>
      <c r="U7" s="2" t="s">
        <v>3183</v>
      </c>
      <c r="V7" s="2" t="s">
        <v>3184</v>
      </c>
      <c r="W7" s="2" t="s">
        <v>3185</v>
      </c>
      <c r="X7" s="2" t="s">
        <v>3186</v>
      </c>
      <c r="Y7" s="2" t="s">
        <v>3187</v>
      </c>
    </row>
    <row r="8" ht="16.5" customHeight="1">
      <c r="A8" s="2" t="s">
        <v>3032</v>
      </c>
      <c r="B8" s="2" t="s">
        <v>3188</v>
      </c>
      <c r="C8" s="2" t="s">
        <v>3189</v>
      </c>
      <c r="D8" s="2" t="s">
        <v>3190</v>
      </c>
      <c r="E8" s="2" t="s">
        <v>3191</v>
      </c>
      <c r="F8" s="2" t="s">
        <v>3192</v>
      </c>
      <c r="G8" s="2" t="s">
        <v>3193</v>
      </c>
      <c r="H8" s="18"/>
      <c r="I8" s="2" t="s">
        <v>3194</v>
      </c>
      <c r="J8" s="2" t="s">
        <v>3195</v>
      </c>
      <c r="K8" s="2" t="s">
        <v>3196</v>
      </c>
      <c r="L8" s="2" t="s">
        <v>3197</v>
      </c>
      <c r="M8" s="2" t="s">
        <v>3198</v>
      </c>
      <c r="N8" s="2" t="s">
        <v>3199</v>
      </c>
      <c r="O8" s="2" t="s">
        <v>3200</v>
      </c>
      <c r="P8" s="2" t="s">
        <v>3201</v>
      </c>
      <c r="Q8" s="2" t="s">
        <v>3202</v>
      </c>
      <c r="R8" s="2" t="s">
        <v>3203</v>
      </c>
      <c r="S8" s="2" t="s">
        <v>3204</v>
      </c>
      <c r="T8" s="2" t="s">
        <v>3205</v>
      </c>
      <c r="U8" s="2" t="s">
        <v>3206</v>
      </c>
      <c r="V8" s="2" t="s">
        <v>3207</v>
      </c>
      <c r="W8" s="2" t="s">
        <v>3208</v>
      </c>
      <c r="X8" s="2" t="s">
        <v>3209</v>
      </c>
      <c r="Y8" s="2" t="s">
        <v>3210</v>
      </c>
    </row>
    <row r="9" ht="16.5" customHeight="1">
      <c r="A9" s="2" t="s">
        <v>3033</v>
      </c>
      <c r="B9" s="2" t="s">
        <v>3211</v>
      </c>
      <c r="C9" s="2" t="s">
        <v>3212</v>
      </c>
      <c r="D9" s="2" t="s">
        <v>3213</v>
      </c>
      <c r="E9" s="2" t="s">
        <v>3214</v>
      </c>
      <c r="F9" s="2" t="s">
        <v>3215</v>
      </c>
      <c r="G9" s="2" t="s">
        <v>3216</v>
      </c>
      <c r="H9" s="2" t="s">
        <v>3217</v>
      </c>
      <c r="I9" s="18"/>
      <c r="J9" s="2" t="s">
        <v>3218</v>
      </c>
      <c r="K9" s="2" t="s">
        <v>3219</v>
      </c>
      <c r="L9" s="2" t="s">
        <v>3220</v>
      </c>
      <c r="M9" s="2" t="s">
        <v>3221</v>
      </c>
      <c r="N9" s="2" t="s">
        <v>3222</v>
      </c>
      <c r="O9" s="2" t="s">
        <v>3223</v>
      </c>
      <c r="P9" s="2" t="s">
        <v>3224</v>
      </c>
      <c r="Q9" s="2" t="s">
        <v>3225</v>
      </c>
      <c r="R9" s="2" t="s">
        <v>3226</v>
      </c>
      <c r="S9" s="2" t="s">
        <v>3227</v>
      </c>
      <c r="T9" s="2" t="s">
        <v>3228</v>
      </c>
      <c r="U9" s="2" t="s">
        <v>3229</v>
      </c>
      <c r="V9" s="2" t="s">
        <v>3230</v>
      </c>
      <c r="W9" s="2" t="s">
        <v>3231</v>
      </c>
      <c r="X9" s="2" t="s">
        <v>3232</v>
      </c>
      <c r="Y9" s="2" t="s">
        <v>3233</v>
      </c>
    </row>
    <row r="10" ht="16.5" customHeight="1">
      <c r="A10" s="2" t="s">
        <v>3034</v>
      </c>
      <c r="B10" s="2" t="s">
        <v>3234</v>
      </c>
      <c r="C10" s="2" t="s">
        <v>3235</v>
      </c>
      <c r="D10" s="2" t="s">
        <v>3236</v>
      </c>
      <c r="E10" s="2" t="s">
        <v>3237</v>
      </c>
      <c r="F10" s="2" t="s">
        <v>3238</v>
      </c>
      <c r="G10" s="2" t="s">
        <v>3239</v>
      </c>
      <c r="H10" s="2" t="s">
        <v>3240</v>
      </c>
      <c r="I10" s="2" t="s">
        <v>3241</v>
      </c>
      <c r="J10" s="18"/>
      <c r="K10" s="2" t="s">
        <v>3242</v>
      </c>
      <c r="L10" s="2" t="s">
        <v>3243</v>
      </c>
      <c r="M10" s="2" t="s">
        <v>3244</v>
      </c>
      <c r="N10" s="2" t="s">
        <v>3245</v>
      </c>
      <c r="O10" s="2" t="s">
        <v>3246</v>
      </c>
      <c r="P10" s="2" t="s">
        <v>3247</v>
      </c>
      <c r="Q10" s="2" t="s">
        <v>3248</v>
      </c>
      <c r="R10" s="2" t="s">
        <v>3249</v>
      </c>
      <c r="S10" s="2" t="s">
        <v>3250</v>
      </c>
      <c r="T10" s="2" t="s">
        <v>3251</v>
      </c>
      <c r="U10" s="2" t="s">
        <v>3252</v>
      </c>
      <c r="V10" s="2" t="s">
        <v>3253</v>
      </c>
      <c r="W10" s="2" t="s">
        <v>3254</v>
      </c>
      <c r="X10" s="2" t="s">
        <v>3255</v>
      </c>
      <c r="Y10" s="2" t="s">
        <v>3256</v>
      </c>
    </row>
    <row r="11" ht="16.5" customHeight="1">
      <c r="A11" s="2" t="s">
        <v>3035</v>
      </c>
      <c r="B11" s="2" t="s">
        <v>3257</v>
      </c>
      <c r="C11" s="2" t="s">
        <v>3258</v>
      </c>
      <c r="D11" s="2" t="s">
        <v>3259</v>
      </c>
      <c r="E11" s="2" t="s">
        <v>3260</v>
      </c>
      <c r="F11" s="2" t="s">
        <v>3261</v>
      </c>
      <c r="G11" s="2" t="s">
        <v>3262</v>
      </c>
      <c r="H11" s="2" t="s">
        <v>3263</v>
      </c>
      <c r="I11" s="2" t="s">
        <v>3264</v>
      </c>
      <c r="J11" s="2" t="s">
        <v>3265</v>
      </c>
      <c r="K11" s="18"/>
      <c r="L11" s="2" t="s">
        <v>3266</v>
      </c>
      <c r="M11" s="2" t="s">
        <v>3267</v>
      </c>
      <c r="N11" s="2" t="s">
        <v>3268</v>
      </c>
      <c r="O11" s="2" t="s">
        <v>3269</v>
      </c>
      <c r="P11" s="2" t="s">
        <v>3270</v>
      </c>
      <c r="Q11" s="2" t="s">
        <v>3271</v>
      </c>
      <c r="R11" s="2" t="s">
        <v>3272</v>
      </c>
      <c r="S11" s="2" t="s">
        <v>3273</v>
      </c>
      <c r="T11" s="2" t="s">
        <v>3274</v>
      </c>
      <c r="U11" s="2" t="s">
        <v>3275</v>
      </c>
      <c r="V11" s="2" t="s">
        <v>3276</v>
      </c>
      <c r="W11" s="2" t="s">
        <v>3277</v>
      </c>
      <c r="X11" s="2" t="s">
        <v>3278</v>
      </c>
      <c r="Y11" s="2" t="s">
        <v>3279</v>
      </c>
    </row>
    <row r="12" ht="16.5" customHeight="1">
      <c r="A12" s="2" t="s">
        <v>3036</v>
      </c>
      <c r="B12" s="2" t="s">
        <v>3280</v>
      </c>
      <c r="C12" s="2" t="s">
        <v>3281</v>
      </c>
      <c r="D12" s="2" t="s">
        <v>3282</v>
      </c>
      <c r="E12" s="2" t="s">
        <v>3283</v>
      </c>
      <c r="F12" s="2" t="s">
        <v>3284</v>
      </c>
      <c r="G12" s="2" t="s">
        <v>3285</v>
      </c>
      <c r="H12" s="2" t="s">
        <v>3286</v>
      </c>
      <c r="I12" s="2" t="s">
        <v>3287</v>
      </c>
      <c r="J12" s="2" t="s">
        <v>3288</v>
      </c>
      <c r="K12" s="2" t="s">
        <v>3289</v>
      </c>
      <c r="L12" s="18"/>
      <c r="M12" s="2" t="s">
        <v>3290</v>
      </c>
      <c r="N12" s="2" t="s">
        <v>3291</v>
      </c>
      <c r="O12" s="2" t="s">
        <v>3292</v>
      </c>
      <c r="P12" s="2" t="s">
        <v>3293</v>
      </c>
      <c r="Q12" s="2" t="s">
        <v>3294</v>
      </c>
      <c r="R12" s="2" t="s">
        <v>3295</v>
      </c>
      <c r="S12" s="2" t="s">
        <v>3296</v>
      </c>
      <c r="T12" s="2" t="s">
        <v>3297</v>
      </c>
      <c r="U12" s="2" t="s">
        <v>3298</v>
      </c>
      <c r="V12" s="2" t="s">
        <v>3299</v>
      </c>
      <c r="W12" s="2" t="s">
        <v>3300</v>
      </c>
      <c r="X12" s="2" t="s">
        <v>3301</v>
      </c>
      <c r="Y12" s="2" t="s">
        <v>3302</v>
      </c>
    </row>
    <row r="13" ht="16.5" customHeight="1">
      <c r="A13" s="2" t="s">
        <v>3037</v>
      </c>
      <c r="B13" s="2" t="s">
        <v>3303</v>
      </c>
      <c r="C13" s="2" t="s">
        <v>3304</v>
      </c>
      <c r="D13" s="2" t="s">
        <v>3305</v>
      </c>
      <c r="E13" s="2" t="s">
        <v>3306</v>
      </c>
      <c r="F13" s="2" t="s">
        <v>3307</v>
      </c>
      <c r="G13" s="2" t="s">
        <v>3308</v>
      </c>
      <c r="H13" s="2" t="s">
        <v>3309</v>
      </c>
      <c r="I13" s="2" t="s">
        <v>3310</v>
      </c>
      <c r="J13" s="2" t="s">
        <v>3311</v>
      </c>
      <c r="K13" s="2" t="s">
        <v>3312</v>
      </c>
      <c r="L13" s="2" t="s">
        <v>3313</v>
      </c>
      <c r="M13" s="18"/>
      <c r="N13" s="2" t="s">
        <v>3314</v>
      </c>
      <c r="O13" s="2" t="s">
        <v>3315</v>
      </c>
      <c r="P13" s="2" t="s">
        <v>3316</v>
      </c>
      <c r="Q13" s="2" t="s">
        <v>3317</v>
      </c>
      <c r="R13" s="2" t="s">
        <v>3318</v>
      </c>
      <c r="S13" s="2" t="s">
        <v>3319</v>
      </c>
      <c r="T13" s="2" t="s">
        <v>3320</v>
      </c>
      <c r="U13" s="2" t="s">
        <v>3321</v>
      </c>
      <c r="V13" s="2" t="s">
        <v>3322</v>
      </c>
      <c r="W13" s="2" t="s">
        <v>3323</v>
      </c>
      <c r="X13" s="2" t="s">
        <v>3324</v>
      </c>
      <c r="Y13" s="2" t="s">
        <v>3325</v>
      </c>
    </row>
    <row r="14" ht="16.5" customHeight="1">
      <c r="A14" s="2" t="s">
        <v>3038</v>
      </c>
      <c r="B14" s="2" t="s">
        <v>3326</v>
      </c>
      <c r="C14" s="2" t="s">
        <v>3327</v>
      </c>
      <c r="D14" s="2" t="s">
        <v>3328</v>
      </c>
      <c r="E14" s="2" t="s">
        <v>3329</v>
      </c>
      <c r="F14" s="2" t="s">
        <v>3330</v>
      </c>
      <c r="G14" s="2" t="s">
        <v>3331</v>
      </c>
      <c r="H14" s="2" t="s">
        <v>3332</v>
      </c>
      <c r="I14" s="2" t="s">
        <v>3333</v>
      </c>
      <c r="J14" s="2" t="s">
        <v>3334</v>
      </c>
      <c r="K14" s="2" t="s">
        <v>3335</v>
      </c>
      <c r="L14" s="2" t="s">
        <v>3336</v>
      </c>
      <c r="M14" s="2" t="s">
        <v>3337</v>
      </c>
      <c r="N14" s="18"/>
      <c r="O14" s="2" t="s">
        <v>3338</v>
      </c>
      <c r="P14" s="2" t="s">
        <v>3339</v>
      </c>
      <c r="Q14" s="2" t="s">
        <v>3340</v>
      </c>
      <c r="R14" s="2" t="s">
        <v>3341</v>
      </c>
      <c r="S14" s="2" t="s">
        <v>3342</v>
      </c>
      <c r="T14" s="2" t="s">
        <v>3343</v>
      </c>
      <c r="U14" s="2" t="s">
        <v>3344</v>
      </c>
      <c r="V14" s="2" t="s">
        <v>3345</v>
      </c>
      <c r="W14" s="2" t="s">
        <v>3346</v>
      </c>
      <c r="X14" s="2" t="s">
        <v>3347</v>
      </c>
      <c r="Y14" s="2" t="s">
        <v>3348</v>
      </c>
    </row>
    <row r="15" ht="16.5" customHeight="1">
      <c r="A15" s="2" t="s">
        <v>3039</v>
      </c>
      <c r="B15" s="2" t="s">
        <v>3349</v>
      </c>
      <c r="C15" s="2" t="s">
        <v>3350</v>
      </c>
      <c r="D15" s="2" t="s">
        <v>3351</v>
      </c>
      <c r="E15" s="2" t="s">
        <v>3352</v>
      </c>
      <c r="F15" s="2" t="s">
        <v>3353</v>
      </c>
      <c r="G15" s="2" t="s">
        <v>3354</v>
      </c>
      <c r="H15" s="2" t="s">
        <v>3355</v>
      </c>
      <c r="I15" s="2" t="s">
        <v>3356</v>
      </c>
      <c r="J15" s="2" t="s">
        <v>3357</v>
      </c>
      <c r="K15" s="2" t="s">
        <v>3358</v>
      </c>
      <c r="L15" s="2" t="s">
        <v>3359</v>
      </c>
      <c r="M15" s="2" t="s">
        <v>3360</v>
      </c>
      <c r="N15" s="2" t="s">
        <v>3361</v>
      </c>
      <c r="O15" s="18"/>
      <c r="P15" s="2" t="s">
        <v>3362</v>
      </c>
      <c r="Q15" s="2" t="s">
        <v>3363</v>
      </c>
      <c r="R15" s="2" t="s">
        <v>3364</v>
      </c>
      <c r="S15" s="2" t="s">
        <v>3365</v>
      </c>
      <c r="T15" s="2" t="s">
        <v>3366</v>
      </c>
      <c r="U15" s="2" t="s">
        <v>3367</v>
      </c>
      <c r="V15" s="2" t="s">
        <v>3368</v>
      </c>
      <c r="W15" s="2" t="s">
        <v>3369</v>
      </c>
      <c r="X15" s="2" t="s">
        <v>3370</v>
      </c>
      <c r="Y15" s="2" t="s">
        <v>3371</v>
      </c>
    </row>
    <row r="16" ht="16.5" customHeight="1">
      <c r="A16" s="2" t="s">
        <v>3040</v>
      </c>
      <c r="B16" s="2" t="s">
        <v>3372</v>
      </c>
      <c r="C16" s="2" t="s">
        <v>3373</v>
      </c>
      <c r="D16" s="2" t="s">
        <v>3374</v>
      </c>
      <c r="E16" s="2" t="s">
        <v>3375</v>
      </c>
      <c r="F16" s="2" t="s">
        <v>3376</v>
      </c>
      <c r="G16" s="2" t="s">
        <v>3377</v>
      </c>
      <c r="H16" s="2" t="s">
        <v>3378</v>
      </c>
      <c r="I16" s="2" t="s">
        <v>3379</v>
      </c>
      <c r="J16" s="2" t="s">
        <v>3380</v>
      </c>
      <c r="K16" s="2" t="s">
        <v>3381</v>
      </c>
      <c r="L16" s="2" t="s">
        <v>3382</v>
      </c>
      <c r="M16" s="2" t="s">
        <v>3383</v>
      </c>
      <c r="N16" s="2" t="s">
        <v>3384</v>
      </c>
      <c r="O16" s="2" t="s">
        <v>3385</v>
      </c>
      <c r="P16" s="18"/>
      <c r="Q16" s="2" t="s">
        <v>3386</v>
      </c>
      <c r="R16" s="2" t="s">
        <v>3387</v>
      </c>
      <c r="S16" s="2" t="s">
        <v>3388</v>
      </c>
      <c r="T16" s="2" t="s">
        <v>3389</v>
      </c>
      <c r="U16" s="2" t="s">
        <v>3390</v>
      </c>
      <c r="V16" s="2" t="s">
        <v>3391</v>
      </c>
      <c r="W16" s="2" t="s">
        <v>3392</v>
      </c>
      <c r="X16" s="2" t="s">
        <v>3393</v>
      </c>
      <c r="Y16" s="2" t="s">
        <v>3394</v>
      </c>
    </row>
    <row r="17" ht="16.5" customHeight="1">
      <c r="A17" s="2" t="s">
        <v>3041</v>
      </c>
      <c r="B17" s="2" t="s">
        <v>3395</v>
      </c>
      <c r="C17" s="2" t="s">
        <v>3396</v>
      </c>
      <c r="D17" s="2" t="s">
        <v>3397</v>
      </c>
      <c r="E17" s="2" t="s">
        <v>3398</v>
      </c>
      <c r="F17" s="2" t="s">
        <v>3399</v>
      </c>
      <c r="G17" s="2" t="s">
        <v>3400</v>
      </c>
      <c r="H17" s="2" t="s">
        <v>3401</v>
      </c>
      <c r="I17" s="2" t="s">
        <v>3402</v>
      </c>
      <c r="J17" s="2" t="s">
        <v>3403</v>
      </c>
      <c r="K17" s="2" t="s">
        <v>3404</v>
      </c>
      <c r="L17" s="2" t="s">
        <v>3405</v>
      </c>
      <c r="M17" s="2" t="s">
        <v>3406</v>
      </c>
      <c r="N17" s="2" t="s">
        <v>3407</v>
      </c>
      <c r="O17" s="2" t="s">
        <v>3408</v>
      </c>
      <c r="P17" s="2" t="s">
        <v>3409</v>
      </c>
      <c r="Q17" s="18"/>
      <c r="R17" s="2" t="s">
        <v>3410</v>
      </c>
      <c r="S17" s="2" t="s">
        <v>3411</v>
      </c>
      <c r="T17" s="2" t="s">
        <v>3412</v>
      </c>
      <c r="U17" s="2" t="s">
        <v>3413</v>
      </c>
      <c r="V17" s="2" t="s">
        <v>3414</v>
      </c>
      <c r="W17" s="2" t="s">
        <v>3415</v>
      </c>
      <c r="X17" s="2" t="s">
        <v>3416</v>
      </c>
      <c r="Y17" s="2" t="s">
        <v>3417</v>
      </c>
    </row>
    <row r="18" ht="16.5" customHeight="1">
      <c r="A18" s="2" t="s">
        <v>3042</v>
      </c>
      <c r="B18" s="2" t="s">
        <v>3418</v>
      </c>
      <c r="C18" s="2" t="s">
        <v>3419</v>
      </c>
      <c r="D18" s="2" t="s">
        <v>3420</v>
      </c>
      <c r="E18" s="2" t="s">
        <v>3421</v>
      </c>
      <c r="F18" s="2" t="s">
        <v>3422</v>
      </c>
      <c r="G18" s="2" t="s">
        <v>3423</v>
      </c>
      <c r="H18" s="2" t="s">
        <v>3424</v>
      </c>
      <c r="I18" s="2" t="s">
        <v>3425</v>
      </c>
      <c r="J18" s="2" t="s">
        <v>3426</v>
      </c>
      <c r="K18" s="2" t="s">
        <v>3427</v>
      </c>
      <c r="L18" s="2" t="s">
        <v>3428</v>
      </c>
      <c r="M18" s="2" t="s">
        <v>3429</v>
      </c>
      <c r="N18" s="2" t="s">
        <v>3430</v>
      </c>
      <c r="O18" s="2" t="s">
        <v>3431</v>
      </c>
      <c r="P18" s="2" t="s">
        <v>3432</v>
      </c>
      <c r="Q18" s="2" t="s">
        <v>3433</v>
      </c>
      <c r="R18" s="18"/>
      <c r="S18" s="2" t="s">
        <v>3434</v>
      </c>
      <c r="T18" s="2" t="s">
        <v>3435</v>
      </c>
      <c r="U18" s="2" t="s">
        <v>3436</v>
      </c>
      <c r="V18" s="2" t="s">
        <v>3437</v>
      </c>
      <c r="W18" s="2" t="s">
        <v>3438</v>
      </c>
      <c r="X18" s="2" t="s">
        <v>3439</v>
      </c>
      <c r="Y18" s="2" t="s">
        <v>3440</v>
      </c>
    </row>
    <row r="19" ht="16.5" customHeight="1">
      <c r="A19" s="2" t="s">
        <v>3043</v>
      </c>
      <c r="B19" s="2" t="s">
        <v>3441</v>
      </c>
      <c r="C19" s="2" t="s">
        <v>3442</v>
      </c>
      <c r="D19" s="2" t="s">
        <v>3443</v>
      </c>
      <c r="E19" s="2" t="s">
        <v>3444</v>
      </c>
      <c r="F19" s="2" t="s">
        <v>3445</v>
      </c>
      <c r="G19" s="2" t="s">
        <v>3446</v>
      </c>
      <c r="H19" s="2" t="s">
        <v>3447</v>
      </c>
      <c r="I19" s="2" t="s">
        <v>3448</v>
      </c>
      <c r="J19" s="2" t="s">
        <v>3449</v>
      </c>
      <c r="K19" s="2" t="s">
        <v>3450</v>
      </c>
      <c r="L19" s="2" t="s">
        <v>3451</v>
      </c>
      <c r="M19" s="2" t="s">
        <v>3452</v>
      </c>
      <c r="N19" s="2" t="s">
        <v>3453</v>
      </c>
      <c r="O19" s="2" t="s">
        <v>3454</v>
      </c>
      <c r="P19" s="2" t="s">
        <v>3455</v>
      </c>
      <c r="Q19" s="2" t="s">
        <v>3456</v>
      </c>
      <c r="R19" s="2" t="s">
        <v>3457</v>
      </c>
      <c r="S19" s="18"/>
      <c r="T19" s="2" t="s">
        <v>3458</v>
      </c>
      <c r="U19" s="2" t="s">
        <v>3459</v>
      </c>
      <c r="V19" s="2" t="s">
        <v>3460</v>
      </c>
      <c r="W19" s="2" t="s">
        <v>3461</v>
      </c>
      <c r="X19" s="2" t="s">
        <v>3462</v>
      </c>
      <c r="Y19" s="2" t="s">
        <v>3463</v>
      </c>
    </row>
    <row r="20" ht="16.5" customHeight="1">
      <c r="A20" s="2" t="s">
        <v>3044</v>
      </c>
      <c r="B20" s="2" t="s">
        <v>3464</v>
      </c>
      <c r="C20" s="2" t="s">
        <v>3465</v>
      </c>
      <c r="D20" s="2" t="s">
        <v>3466</v>
      </c>
      <c r="E20" s="2" t="s">
        <v>3467</v>
      </c>
      <c r="F20" s="2" t="s">
        <v>3468</v>
      </c>
      <c r="G20" s="2" t="s">
        <v>3469</v>
      </c>
      <c r="H20" s="2" t="s">
        <v>3470</v>
      </c>
      <c r="I20" s="2" t="s">
        <v>3471</v>
      </c>
      <c r="J20" s="2" t="s">
        <v>3472</v>
      </c>
      <c r="K20" s="2" t="s">
        <v>3473</v>
      </c>
      <c r="L20" s="2" t="s">
        <v>3474</v>
      </c>
      <c r="M20" s="2" t="s">
        <v>3475</v>
      </c>
      <c r="N20" s="2" t="s">
        <v>3476</v>
      </c>
      <c r="O20" s="2" t="s">
        <v>3477</v>
      </c>
      <c r="P20" s="2" t="s">
        <v>3478</v>
      </c>
      <c r="Q20" s="2" t="s">
        <v>3479</v>
      </c>
      <c r="R20" s="2" t="s">
        <v>3480</v>
      </c>
      <c r="S20" s="2" t="s">
        <v>3481</v>
      </c>
      <c r="T20" s="18"/>
      <c r="U20" s="2" t="s">
        <v>3482</v>
      </c>
      <c r="V20" s="2" t="s">
        <v>3483</v>
      </c>
      <c r="W20" s="2" t="s">
        <v>3484</v>
      </c>
      <c r="X20" s="2" t="s">
        <v>3485</v>
      </c>
      <c r="Y20" s="2" t="s">
        <v>3486</v>
      </c>
    </row>
    <row r="21" ht="16.5" customHeight="1">
      <c r="A21" s="2" t="s">
        <v>3045</v>
      </c>
      <c r="B21" s="2" t="s">
        <v>3487</v>
      </c>
      <c r="C21" s="2" t="s">
        <v>3488</v>
      </c>
      <c r="D21" s="2" t="s">
        <v>3489</v>
      </c>
      <c r="E21" s="2" t="s">
        <v>3490</v>
      </c>
      <c r="F21" s="2" t="s">
        <v>3491</v>
      </c>
      <c r="G21" s="2" t="s">
        <v>3492</v>
      </c>
      <c r="H21" s="2" t="s">
        <v>3493</v>
      </c>
      <c r="I21" s="2" t="s">
        <v>3494</v>
      </c>
      <c r="J21" s="2" t="s">
        <v>3495</v>
      </c>
      <c r="K21" s="2" t="s">
        <v>3496</v>
      </c>
      <c r="L21" s="2" t="s">
        <v>3497</v>
      </c>
      <c r="M21" s="2" t="s">
        <v>3498</v>
      </c>
      <c r="N21" s="2" t="s">
        <v>3499</v>
      </c>
      <c r="O21" s="2" t="s">
        <v>3500</v>
      </c>
      <c r="P21" s="2" t="s">
        <v>3501</v>
      </c>
      <c r="Q21" s="2" t="s">
        <v>3502</v>
      </c>
      <c r="R21" s="2" t="s">
        <v>3503</v>
      </c>
      <c r="S21" s="2" t="s">
        <v>3504</v>
      </c>
      <c r="T21" s="2" t="s">
        <v>3505</v>
      </c>
      <c r="U21" s="18"/>
      <c r="V21" s="2" t="s">
        <v>3506</v>
      </c>
      <c r="W21" s="2" t="s">
        <v>3507</v>
      </c>
      <c r="X21" s="2" t="s">
        <v>3508</v>
      </c>
      <c r="Y21" s="2" t="s">
        <v>3509</v>
      </c>
    </row>
    <row r="22" ht="16.5" customHeight="1">
      <c r="A22" s="2" t="s">
        <v>3046</v>
      </c>
      <c r="B22" s="2" t="s">
        <v>3510</v>
      </c>
      <c r="C22" s="2" t="s">
        <v>3511</v>
      </c>
      <c r="D22" s="2" t="s">
        <v>3512</v>
      </c>
      <c r="E22" s="2" t="s">
        <v>3513</v>
      </c>
      <c r="F22" s="2" t="s">
        <v>3514</v>
      </c>
      <c r="G22" s="2" t="s">
        <v>3515</v>
      </c>
      <c r="H22" s="2" t="s">
        <v>3516</v>
      </c>
      <c r="I22" s="2" t="s">
        <v>3517</v>
      </c>
      <c r="J22" s="2" t="s">
        <v>3518</v>
      </c>
      <c r="K22" s="2" t="s">
        <v>3519</v>
      </c>
      <c r="L22" s="2" t="s">
        <v>3520</v>
      </c>
      <c r="M22" s="2" t="s">
        <v>3521</v>
      </c>
      <c r="N22" s="2" t="s">
        <v>3522</v>
      </c>
      <c r="O22" s="2" t="s">
        <v>3523</v>
      </c>
      <c r="P22" s="2" t="s">
        <v>3524</v>
      </c>
      <c r="Q22" s="2" t="s">
        <v>3525</v>
      </c>
      <c r="R22" s="2" t="s">
        <v>3526</v>
      </c>
      <c r="S22" s="2" t="s">
        <v>3527</v>
      </c>
      <c r="T22" s="2" t="s">
        <v>3528</v>
      </c>
      <c r="U22" s="2" t="s">
        <v>3529</v>
      </c>
      <c r="V22" s="18"/>
      <c r="W22" s="2" t="s">
        <v>3530</v>
      </c>
      <c r="X22" s="2" t="s">
        <v>3531</v>
      </c>
      <c r="Y22" s="2" t="s">
        <v>3532</v>
      </c>
    </row>
    <row r="23" ht="16.5" customHeight="1">
      <c r="A23" s="2" t="s">
        <v>3047</v>
      </c>
      <c r="B23" s="2" t="s">
        <v>3533</v>
      </c>
      <c r="C23" s="2" t="s">
        <v>3534</v>
      </c>
      <c r="D23" s="2" t="s">
        <v>3535</v>
      </c>
      <c r="E23" s="2" t="s">
        <v>3536</v>
      </c>
      <c r="F23" s="2" t="s">
        <v>3537</v>
      </c>
      <c r="G23" s="2" t="s">
        <v>3538</v>
      </c>
      <c r="H23" s="2" t="s">
        <v>3539</v>
      </c>
      <c r="I23" s="2" t="s">
        <v>3540</v>
      </c>
      <c r="J23" s="2" t="s">
        <v>3541</v>
      </c>
      <c r="K23" s="2" t="s">
        <v>3542</v>
      </c>
      <c r="L23" s="2" t="s">
        <v>3543</v>
      </c>
      <c r="M23" s="2" t="s">
        <v>3544</v>
      </c>
      <c r="N23" s="2" t="s">
        <v>3545</v>
      </c>
      <c r="O23" s="2" t="s">
        <v>3546</v>
      </c>
      <c r="P23" s="2" t="s">
        <v>3547</v>
      </c>
      <c r="Q23" s="2" t="s">
        <v>3548</v>
      </c>
      <c r="R23" s="2" t="s">
        <v>3549</v>
      </c>
      <c r="S23" s="2" t="s">
        <v>3550</v>
      </c>
      <c r="T23" s="2" t="s">
        <v>3551</v>
      </c>
      <c r="U23" s="2" t="s">
        <v>3552</v>
      </c>
      <c r="V23" s="2" t="s">
        <v>3553</v>
      </c>
      <c r="W23" s="18"/>
      <c r="X23" s="2" t="s">
        <v>3554</v>
      </c>
      <c r="Y23" s="2" t="s">
        <v>3555</v>
      </c>
    </row>
    <row r="24" ht="16.5" customHeight="1">
      <c r="A24" s="2" t="s">
        <v>3048</v>
      </c>
      <c r="B24" s="2" t="s">
        <v>3556</v>
      </c>
      <c r="C24" s="2" t="s">
        <v>3557</v>
      </c>
      <c r="D24" s="2" t="s">
        <v>3558</v>
      </c>
      <c r="E24" s="2" t="s">
        <v>3559</v>
      </c>
      <c r="F24" s="2" t="s">
        <v>3560</v>
      </c>
      <c r="G24" s="2" t="s">
        <v>3561</v>
      </c>
      <c r="H24" s="2" t="s">
        <v>3562</v>
      </c>
      <c r="I24" s="2" t="s">
        <v>3563</v>
      </c>
      <c r="J24" s="2" t="s">
        <v>3564</v>
      </c>
      <c r="K24" s="2" t="s">
        <v>3565</v>
      </c>
      <c r="L24" s="2" t="s">
        <v>3566</v>
      </c>
      <c r="M24" s="2" t="s">
        <v>3567</v>
      </c>
      <c r="N24" s="2" t="s">
        <v>3568</v>
      </c>
      <c r="O24" s="2" t="s">
        <v>3569</v>
      </c>
      <c r="P24" s="2" t="s">
        <v>3570</v>
      </c>
      <c r="Q24" s="2" t="s">
        <v>3571</v>
      </c>
      <c r="R24" s="2" t="s">
        <v>3572</v>
      </c>
      <c r="S24" s="2" t="s">
        <v>3573</v>
      </c>
      <c r="T24" s="2" t="s">
        <v>3574</v>
      </c>
      <c r="U24" s="2" t="s">
        <v>3575</v>
      </c>
      <c r="V24" s="2" t="s">
        <v>3576</v>
      </c>
      <c r="W24" s="2" t="s">
        <v>3577</v>
      </c>
      <c r="X24" s="18"/>
      <c r="Y24" s="2" t="s">
        <v>3578</v>
      </c>
    </row>
    <row r="25" ht="16.5" customHeight="1">
      <c r="A25" s="2" t="s">
        <v>3049</v>
      </c>
      <c r="B25" s="2" t="s">
        <v>3579</v>
      </c>
      <c r="C25" s="2" t="s">
        <v>3580</v>
      </c>
      <c r="D25" s="2" t="s">
        <v>3581</v>
      </c>
      <c r="E25" s="2" t="s">
        <v>3582</v>
      </c>
      <c r="F25" s="2" t="s">
        <v>3583</v>
      </c>
      <c r="G25" s="2" t="s">
        <v>3584</v>
      </c>
      <c r="H25" s="2" t="s">
        <v>3585</v>
      </c>
      <c r="I25" s="2" t="s">
        <v>3586</v>
      </c>
      <c r="J25" s="2" t="s">
        <v>3587</v>
      </c>
      <c r="K25" s="2" t="s">
        <v>3588</v>
      </c>
      <c r="L25" s="2" t="s">
        <v>3589</v>
      </c>
      <c r="M25" s="2" t="s">
        <v>3590</v>
      </c>
      <c r="N25" s="2" t="s">
        <v>3591</v>
      </c>
      <c r="O25" s="2" t="s">
        <v>3592</v>
      </c>
      <c r="P25" s="2" t="s">
        <v>3593</v>
      </c>
      <c r="Q25" s="2" t="s">
        <v>3594</v>
      </c>
      <c r="R25" s="2" t="s">
        <v>3595</v>
      </c>
      <c r="S25" s="2" t="s">
        <v>3596</v>
      </c>
      <c r="T25" s="2" t="s">
        <v>3597</v>
      </c>
      <c r="U25" s="2" t="s">
        <v>3598</v>
      </c>
      <c r="V25" s="2" t="s">
        <v>3599</v>
      </c>
      <c r="W25" s="2" t="s">
        <v>3600</v>
      </c>
      <c r="X25" s="2" t="s">
        <v>3601</v>
      </c>
      <c r="Y25" s="18"/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rawing r:id="rId2"/>
  <legacyDrawing r:id="rId3"/>
</worksheet>
</file>