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nfo" sheetId="1" r:id="rId3"/>
    <sheet state="visible" name="Letters" sheetId="2" r:id="rId4"/>
    <sheet state="visible" name="C" sheetId="3" r:id="rId5"/>
    <sheet state="visible" name="E" sheetId="4" r:id="rId6"/>
    <sheet state="visible" name="W" sheetId="5" r:id="rId7"/>
    <sheet state="visible" name="X" sheetId="6" r:id="rId8"/>
    <sheet state="visible" name="+" sheetId="7" r:id="rId9"/>
    <sheet state="visible" name="Drills" sheetId="8" r:id="rId10"/>
    <sheet state="visible" name="Sets" sheetId="9" r:id="rId11"/>
    <sheet state="visible" name="Images" sheetId="10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75">
      <text>
        <t xml:space="preserve">[D' R: [D, R U2 R']] ??
	-Bertie Longden
I seriously dislike the R D R in your comm. What about... 
[U D R': [R' D R, U]]?
	-James Molloy</t>
      </text>
    </comment>
    <comment authorId="0" ref="E237">
      <text>
        <t xml:space="preserve">[U' R U: [R' D' R, U2]]
	-Bertie Longden</t>
      </text>
    </comment>
    <comment authorId="0" ref="D72">
      <text>
        <t xml:space="preserve">FO and OF comms+algs are swapped
	-Myachii Chris</t>
      </text>
    </comment>
  </commentList>
</comments>
</file>

<file path=xl/sharedStrings.xml><?xml version="1.0" encoding="utf-8"?>
<sst xmlns="http://schemas.openxmlformats.org/spreadsheetml/2006/main" count="10415" uniqueCount="5272">
  <si>
    <t>3BLD</t>
  </si>
  <si>
    <t>Corners</t>
  </si>
  <si>
    <t>UBL</t>
  </si>
  <si>
    <t>Buffer</t>
  </si>
  <si>
    <t>UBL Buffer</t>
  </si>
  <si>
    <t>UBR</t>
  </si>
  <si>
    <t>B</t>
  </si>
  <si>
    <t>UFR</t>
  </si>
  <si>
    <t>C</t>
  </si>
  <si>
    <t>UFL</t>
  </si>
  <si>
    <t>D</t>
  </si>
  <si>
    <t>LBU</t>
  </si>
  <si>
    <t>LFU</t>
  </si>
  <si>
    <t>F</t>
  </si>
  <si>
    <t>LFD</t>
  </si>
  <si>
    <t>G</t>
  </si>
  <si>
    <t>LBD</t>
  </si>
  <si>
    <t>H</t>
  </si>
  <si>
    <t>FLU</t>
  </si>
  <si>
    <t>I</t>
  </si>
  <si>
    <t>FRU</t>
  </si>
  <si>
    <t>R</t>
  </si>
  <si>
    <t>FRD</t>
  </si>
  <si>
    <t>K</t>
  </si>
  <si>
    <t>FLD</t>
  </si>
  <si>
    <t>L</t>
  </si>
  <si>
    <t>RFU</t>
  </si>
  <si>
    <t>M</t>
  </si>
  <si>
    <t>RBU</t>
  </si>
  <si>
    <t>N</t>
  </si>
  <si>
    <t>RBD</t>
  </si>
  <si>
    <t>O</t>
  </si>
  <si>
    <t>RFD</t>
  </si>
  <si>
    <t>P</t>
  </si>
  <si>
    <t>BRU</t>
  </si>
  <si>
    <t>A</t>
  </si>
  <si>
    <t>BLU</t>
  </si>
  <si>
    <t>BLD</t>
  </si>
  <si>
    <t>S</t>
  </si>
  <si>
    <t>BRD</t>
  </si>
  <si>
    <t>T</t>
  </si>
  <si>
    <t>DFL</t>
  </si>
  <si>
    <t>U</t>
  </si>
  <si>
    <t>DFR</t>
  </si>
  <si>
    <t>V</t>
  </si>
  <si>
    <t>DBR</t>
  </si>
  <si>
    <t>W</t>
  </si>
  <si>
    <t>DBL</t>
  </si>
  <si>
    <t>E</t>
  </si>
  <si>
    <t>Edges</t>
  </si>
  <si>
    <t>UF</t>
  </si>
  <si>
    <t>DF Buffer</t>
  </si>
  <si>
    <t>UL</t>
  </si>
  <si>
    <t>UB</t>
  </si>
  <si>
    <t>UR</t>
  </si>
  <si>
    <t>LD</t>
  </si>
  <si>
    <t>LB</t>
  </si>
  <si>
    <t>LU</t>
  </si>
  <si>
    <t>LF</t>
  </si>
  <si>
    <t>FD</t>
  </si>
  <si>
    <t>FL</t>
  </si>
  <si>
    <t>J</t>
  </si>
  <si>
    <t>FU</t>
  </si>
  <si>
    <t>FR</t>
  </si>
  <si>
    <t>RD</t>
  </si>
  <si>
    <t>RF</t>
  </si>
  <si>
    <t>RU</t>
  </si>
  <si>
    <t>RB</t>
  </si>
  <si>
    <t>BD</t>
  </si>
  <si>
    <t>BR</t>
  </si>
  <si>
    <t>BU</t>
  </si>
  <si>
    <t>BL</t>
  </si>
  <si>
    <t>DB</t>
  </si>
  <si>
    <t>DL</t>
  </si>
  <si>
    <t>DF</t>
  </si>
  <si>
    <t>DR</t>
  </si>
  <si>
    <t>4BLD</t>
  </si>
  <si>
    <t>Wings</t>
  </si>
  <si>
    <t>UFl</t>
  </si>
  <si>
    <t>DFr Buffer</t>
  </si>
  <si>
    <t>ULb</t>
  </si>
  <si>
    <t>UBr</t>
  </si>
  <si>
    <t>URf</t>
  </si>
  <si>
    <t>LDb</t>
  </si>
  <si>
    <t>LBu</t>
  </si>
  <si>
    <t>LUf</t>
  </si>
  <si>
    <t>LFd</t>
  </si>
  <si>
    <t>FDl</t>
  </si>
  <si>
    <t>X</t>
  </si>
  <si>
    <t>FLu</t>
  </si>
  <si>
    <t>FUr</t>
  </si>
  <si>
    <t>FRd</t>
  </si>
  <si>
    <t>RDf</t>
  </si>
  <si>
    <t>RFu</t>
  </si>
  <si>
    <t>RUb</t>
  </si>
  <si>
    <t>RBd</t>
  </si>
  <si>
    <t>BDr</t>
  </si>
  <si>
    <t>BRu</t>
  </si>
  <si>
    <t>BUl</t>
  </si>
  <si>
    <t>BLd</t>
  </si>
  <si>
    <t>DBl</t>
  </si>
  <si>
    <t>DLf</t>
  </si>
  <si>
    <t>DFr</t>
  </si>
  <si>
    <t>DRb</t>
  </si>
  <si>
    <t>XCentres</t>
  </si>
  <si>
    <t>Ubl</t>
  </si>
  <si>
    <t>Ubl Buffer</t>
  </si>
  <si>
    <t>Ubr</t>
  </si>
  <si>
    <t>Ufr</t>
  </si>
  <si>
    <t>Ufl</t>
  </si>
  <si>
    <t>Lbu</t>
  </si>
  <si>
    <t>Lfu</t>
  </si>
  <si>
    <t>Lfd</t>
  </si>
  <si>
    <t>Lbd</t>
  </si>
  <si>
    <t>Flu</t>
  </si>
  <si>
    <t>Fru</t>
  </si>
  <si>
    <t>Frd</t>
  </si>
  <si>
    <t>Fld</t>
  </si>
  <si>
    <t>Rfu</t>
  </si>
  <si>
    <t>Rbu</t>
  </si>
  <si>
    <t>Rbd</t>
  </si>
  <si>
    <t>Rfd</t>
  </si>
  <si>
    <t>Bru</t>
  </si>
  <si>
    <t>Blu</t>
  </si>
  <si>
    <t>Bld</t>
  </si>
  <si>
    <t>Brd</t>
  </si>
  <si>
    <t>Dfl</t>
  </si>
  <si>
    <t>Dfr</t>
  </si>
  <si>
    <t>Dbr</t>
  </si>
  <si>
    <t>Dbl</t>
  </si>
  <si>
    <t>5BLD</t>
  </si>
  <si>
    <t>+Centres</t>
  </si>
  <si>
    <t>Ub</t>
  </si>
  <si>
    <t>Ub Buffer</t>
  </si>
  <si>
    <t>Ur</t>
  </si>
  <si>
    <t>Uf</t>
  </si>
  <si>
    <t>Ul</t>
  </si>
  <si>
    <t>Lu</t>
  </si>
  <si>
    <t>Lf</t>
  </si>
  <si>
    <t>Ld</t>
  </si>
  <si>
    <t>Lb</t>
  </si>
  <si>
    <t>Fu</t>
  </si>
  <si>
    <t>Fr</t>
  </si>
  <si>
    <t>Fd</t>
  </si>
  <si>
    <t>Fl</t>
  </si>
  <si>
    <t>Ru</t>
  </si>
  <si>
    <t>Rb</t>
  </si>
  <si>
    <t>Rd</t>
  </si>
  <si>
    <t>Rf</t>
  </si>
  <si>
    <t>Bu</t>
  </si>
  <si>
    <t>Bl</t>
  </si>
  <si>
    <t>Bd</t>
  </si>
  <si>
    <t>Br</t>
  </si>
  <si>
    <t>Df</t>
  </si>
  <si>
    <t>Dr</t>
  </si>
  <si>
    <t>Db</t>
  </si>
  <si>
    <t>Dl</t>
  </si>
  <si>
    <t>6BLD</t>
  </si>
  <si>
    <t>\Centres</t>
  </si>
  <si>
    <t>Ub2l3</t>
  </si>
  <si>
    <t>Ur2b3</t>
  </si>
  <si>
    <t>Information</t>
  </si>
  <si>
    <t>Hello all and welcome to my blindfolded information sheet.</t>
  </si>
  <si>
    <t>Here you will find all of the algorithms I use, including the following sets:</t>
  </si>
  <si>
    <t xml:space="preserve"> - Corners</t>
  </si>
  <si>
    <t xml:space="preserve"> - Edges</t>
  </si>
  <si>
    <t xml:space="preserve"> - Wings</t>
  </si>
  <si>
    <t xml:space="preserve"> - X-Centres</t>
  </si>
  <si>
    <t xml:space="preserve"> - +-Centres</t>
  </si>
  <si>
    <t>Some alg sets that are missing that I plan to include at a later date are as follows:</t>
  </si>
  <si>
    <t xml:space="preserve"> - Parity - All puzzles</t>
  </si>
  <si>
    <t xml:space="preserve"> - Obliques (For 6BLD+)</t>
  </si>
  <si>
    <t xml:space="preserve"> - Corners - BigBLD friendly</t>
  </si>
  <si>
    <t xml:space="preserve"> - Midges</t>
  </si>
  <si>
    <t>If you have any recommended algorithms for me, right click and leave a comment in the relevant place!</t>
  </si>
  <si>
    <t>I also have sheets for timing all algorithms I use in the "Drills" sheet, and a sheet for all my images.</t>
  </si>
  <si>
    <t>Please note that I would not recommend copying my images, however to use it as inspiration only.</t>
  </si>
  <si>
    <t>There are plenty of images I have that pertain to me that will either mean nothing or be a weak image to you.</t>
  </si>
  <si>
    <t>If you want to add your own letters, feel free to Make a Copy and edit the blue cells.</t>
  </si>
  <si>
    <t>Please note that this will only work if you use the same buffers as me.</t>
  </si>
  <si>
    <t>Also note that I am constantly updating the algorithms even if they are already learnt.</t>
  </si>
  <si>
    <t>If you have any suggestions feel free to message me on Facebook or contact me on Discord (Mollerz#0781).</t>
  </si>
  <si>
    <t>Enjoy!</t>
  </si>
  <si>
    <t>James Molloy</t>
  </si>
  <si>
    <t>2011MOLL01</t>
  </si>
  <si>
    <t>3-Cycles</t>
  </si>
  <si>
    <t>Target 1</t>
  </si>
  <si>
    <t>Target 2</t>
  </si>
  <si>
    <t>Letter Pair</t>
  </si>
  <si>
    <t>Commutator</t>
  </si>
  <si>
    <t>Algorithm</t>
  </si>
  <si>
    <t>STM</t>
  </si>
  <si>
    <t>QTM</t>
  </si>
  <si>
    <t>[M U2 M, U']</t>
  </si>
  <si>
    <t>M U2 M U' M' U2 M' U</t>
  </si>
  <si>
    <t>[U2, M']</t>
  </si>
  <si>
    <t>U2 M' U2 M</t>
  </si>
  <si>
    <t>[M U2 M, U]</t>
  </si>
  <si>
    <t>M U2 M U M' U2 M' U'</t>
  </si>
  <si>
    <t>[U: [S', Rw' D Rw]]</t>
  </si>
  <si>
    <t>U S' Rw' D Rw S Rw' D' Rw U'</t>
  </si>
  <si>
    <t>[F': [L2, E']</t>
  </si>
  <si>
    <t>F' Rw2 E Rw2 E F</t>
  </si>
  <si>
    <t>[L' F': [L2, E']]</t>
  </si>
  <si>
    <t>[L2 F: [E', L2]]</t>
  </si>
  <si>
    <t>[U' L' U': [M', U2]]</t>
  </si>
  <si>
    <t>U' L' U' M' U2 M U' L U</t>
  </si>
  <si>
    <t>-</t>
  </si>
  <si>
    <t>R' f2 R2 U' R2' f2 R2 U' R'</t>
  </si>
  <si>
    <t>[R' F: [R2, E]]</t>
  </si>
  <si>
    <t>[R2 F: [R2, E]]</t>
  </si>
  <si>
    <t>[D: [R' F R , S']]</t>
  </si>
  <si>
    <t>D R' F R S' R' F' R S D'</t>
  </si>
  <si>
    <t>[F: [R2, E]]</t>
  </si>
  <si>
    <t>[D': [R F R', S']]</t>
  </si>
  <si>
    <t>D' Lw D Lw' S' Lw D' Lw' S D</t>
  </si>
  <si>
    <t>[U R' U: [M', U2]]</t>
  </si>
  <si>
    <t>U R' U M' U2 M U R U'</t>
  </si>
  <si>
    <t>[U: [S, R' F' R]]</t>
  </si>
  <si>
    <t>U S R' F' R S' R' F R U'</t>
  </si>
  <si>
    <t>[U' L U': [M', U2]]</t>
  </si>
  <si>
    <t>U' L U' M' U2 M U' L' U</t>
  </si>
  <si>
    <t>[M2: [M, U2]]</t>
  </si>
  <si>
    <t>M' U2 M' U2 M2</t>
  </si>
  <si>
    <t>[R' F: [F2 , R' S' R]]</t>
  </si>
  <si>
    <t>R' F' R' S' R F2 R' S R F' R</t>
  </si>
  <si>
    <t>[U R2 U: [M', U2]]</t>
  </si>
  <si>
    <t>U R2 U M' U2 M U R2 U'</t>
  </si>
  <si>
    <t>[R' F: [R S R', F2]]</t>
  </si>
  <si>
    <t>R' F R S R' F2 R S' R' F R</t>
  </si>
  <si>
    <t>D R U R' U' R' U' R' U R U D'</t>
  </si>
  <si>
    <t>[U: [M', U2]]</t>
  </si>
  <si>
    <t>U M' U2 M U</t>
  </si>
  <si>
    <t>[S', Rw' D Rw]</t>
  </si>
  <si>
    <t>S' Rw' D Rw S Rw' D' Rw</t>
  </si>
  <si>
    <t>[Fw L': [S', L2]]</t>
  </si>
  <si>
    <t>Fw Rw' E' Rw2 E' Rw' Fw'</t>
  </si>
  <si>
    <t>[R' F2: [R S R', F]]</t>
  </si>
  <si>
    <t>R' F2 R S R' F R S' R' F R</t>
  </si>
  <si>
    <t>[U M2 U', L']</t>
  </si>
  <si>
    <t>U M2 U' L' U M2 U' L</t>
  </si>
  <si>
    <t>[Lw': [U' L U , M']]</t>
  </si>
  <si>
    <t>Lw' U' L U M' U' L' U Lw2 L'</t>
  </si>
  <si>
    <t>[R U: [M', U2]]</t>
  </si>
  <si>
    <t>R U M' U2 M U R'</t>
  </si>
  <si>
    <t>[R' Fw' R': [S', R2]]</t>
  </si>
  <si>
    <t>R' Fw' R' S' R2 S R' Fw R</t>
  </si>
  <si>
    <t>[R S R', F']</t>
  </si>
  <si>
    <t>R S R' F' R S' R' F</t>
  </si>
  <si>
    <t>[S, R' F' R]</t>
  </si>
  <si>
    <t>S R' F' R S' R' F R</t>
  </si>
  <si>
    <t>[R': [S, R' F' R]]</t>
  </si>
  <si>
    <t>R' S R' F' R S' R' F R2</t>
  </si>
  <si>
    <t>[Lw: [U' L' U , M]]</t>
  </si>
  <si>
    <t>Lw U' L' U M U' L U Lw2' L</t>
  </si>
  <si>
    <t>[R' U: [M', U2]]</t>
  </si>
  <si>
    <t>R' U M' U2 M U R</t>
  </si>
  <si>
    <t>[M2: U M' U M U M' U M]</t>
  </si>
  <si>
    <t>M2 U M' U M U M' U M'</t>
  </si>
  <si>
    <t>[U M2 U', L]</t>
  </si>
  <si>
    <t>U M2 U' L U M2 U' L'</t>
  </si>
  <si>
    <t>[U' M2: [M, U2]]</t>
  </si>
  <si>
    <t>U' M' U2 M' U2 M2 U</t>
  </si>
  <si>
    <t>[U M2 U', L2]</t>
  </si>
  <si>
    <t>U M2 U' L2 U M2 U' L2</t>
  </si>
  <si>
    <t>[R2 U: [M', U2]]</t>
  </si>
  <si>
    <t>R2 U M' U2 M U R2</t>
  </si>
  <si>
    <t>[M', U2]</t>
  </si>
  <si>
    <t>M' U2 M U2</t>
  </si>
  <si>
    <t>D U' R' U' R U R U R U' R' D'</t>
  </si>
  <si>
    <t>[M2, R U R' U']</t>
  </si>
  <si>
    <t>R' Rw2 U R' U' M2 U R U' R'</t>
  </si>
  <si>
    <t>[U': [S', Rw' D Rw]]</t>
  </si>
  <si>
    <t>U' S' Rw' D Rw S Rw' D' Rw U</t>
  </si>
  <si>
    <t>[M': [U L U', M2]]</t>
  </si>
  <si>
    <t>M' U L U' M2 U L' U' M'</t>
  </si>
  <si>
    <t>[Lw': [U L U', M2]]</t>
  </si>
  <si>
    <t>Lw' U L U' M2 U L' U' M' L</t>
  </si>
  <si>
    <t>[M': [U L' U', M2]]</t>
  </si>
  <si>
    <t>M' U L' U' M2 U L U' M'</t>
  </si>
  <si>
    <t>[M2, U' L' U]</t>
  </si>
  <si>
    <t>M2 U' L' U M2 U' L U</t>
  </si>
  <si>
    <t>[U': [S, R' F' R]]</t>
  </si>
  <si>
    <t>U' S R' F' R S' R' F R U</t>
  </si>
  <si>
    <t>[M2, U R U']</t>
  </si>
  <si>
    <t>M2 U R U' M2 U R' U'</t>
  </si>
  <si>
    <t>[U: [S, R F' R']]</t>
  </si>
  <si>
    <t>U S R F' R' S' R F R' U'</t>
  </si>
  <si>
    <t>[M': [U' R U, M2]]</t>
  </si>
  <si>
    <t>M' U' R U M2 U' R' U M'</t>
  </si>
  <si>
    <t>[Rw: [U' R' U, M2]]</t>
  </si>
  <si>
    <t>Rw U' R' U M2 U' R U M' R'</t>
  </si>
  <si>
    <t>[M': [U' R' U, M2]]</t>
  </si>
  <si>
    <t>M' U' R' U M2 U' R U M'</t>
  </si>
  <si>
    <t>[D: [Rw D Rw', S]</t>
  </si>
  <si>
    <t>D Rw D Rw' S Rw D' Rw' S' D'</t>
  </si>
  <si>
    <t>[M2, U R' U']</t>
  </si>
  <si>
    <t>M2 U R' U' M2 U R U'</t>
  </si>
  <si>
    <t>[M2, U' L U]</t>
  </si>
  <si>
    <t>M2 U' L U M2 U' L' U</t>
  </si>
  <si>
    <t>[M2: [U2, M']]</t>
  </si>
  <si>
    <t>M2 U2 M' U2 M'</t>
  </si>
  <si>
    <t>[M2, U' L2 U]</t>
  </si>
  <si>
    <t>M2 U' L2 U M2 U' L2 U</t>
  </si>
  <si>
    <t>[M2, U R2 U']</t>
  </si>
  <si>
    <t>M2 U R2 U' M2 U R2 U'</t>
  </si>
  <si>
    <t>[U, M U2 M]</t>
  </si>
  <si>
    <t>U M U2 M U' M' U2 M'</t>
  </si>
  <si>
    <t>[U': [M', U2]]</t>
  </si>
  <si>
    <t>U' M' U2 M U'</t>
  </si>
  <si>
    <t>[R U R' U', M2]</t>
  </si>
  <si>
    <t>R U R' U' M2 U R U' Rw2' R</t>
  </si>
  <si>
    <t>[L Fw L: [S, L2]]</t>
  </si>
  <si>
    <t>L Fw L S L2 S' L Fw' L'</t>
  </si>
  <si>
    <t>[L: [S', L F L']]</t>
  </si>
  <si>
    <t>L S' L F L' S L F' L2</t>
  </si>
  <si>
    <t>[S', L F L']</t>
  </si>
  <si>
    <t>S' L F L' S L F' L'</t>
  </si>
  <si>
    <t>[L' S' L, F]</t>
  </si>
  <si>
    <t>L' S' L F L' S L F'</t>
  </si>
  <si>
    <t>[L' U': [M', U2]]</t>
  </si>
  <si>
    <t>L' U' M' U2 M U' L</t>
  </si>
  <si>
    <t>[Rw: [U R' U' , M']]</t>
  </si>
  <si>
    <t>Rw U R' U' M' U R U Rw2' R</t>
  </si>
  <si>
    <t>[U' M2 U, R]</t>
  </si>
  <si>
    <t>U' M2 U R U' M2 U R'</t>
  </si>
  <si>
    <t>[S, R F' R']</t>
  </si>
  <si>
    <t>S R F' R' S' R F R'</t>
  </si>
  <si>
    <t>[Rw U2: [Rw' S' Rw, U']]</t>
  </si>
  <si>
    <t>Rw U2 Rw' S' Rw U' Rw' S Rw U' Rw'</t>
  </si>
  <si>
    <t>[Fw' R: [S, R2]]</t>
  </si>
  <si>
    <t>Fw' R S R2 S' R Fw</t>
  </si>
  <si>
    <t>[Rw': [U R U', M]]</t>
  </si>
  <si>
    <t>Rw' U R U' M U R' U' Rw2 R'</t>
  </si>
  <si>
    <t>[U' M2 U, R']</t>
  </si>
  <si>
    <t>U' M2 U R' U' M2 U R</t>
  </si>
  <si>
    <t>[M2: [U' M' U' M]x2]</t>
  </si>
  <si>
    <t>M2 U' M' U' M U' M' U' M'</t>
  </si>
  <si>
    <t>[L U': [M', U2]]</t>
  </si>
  <si>
    <t>L U' M' U2 M U' L'</t>
  </si>
  <si>
    <t>[U M': [U2, M']]</t>
  </si>
  <si>
    <t>U M' U2 M' U2 M2 U'</t>
  </si>
  <si>
    <t>[L2 U': [M', U2]]</t>
  </si>
  <si>
    <t>L2 U' M' U2 M U' L2</t>
  </si>
  <si>
    <t>[U' M2 U, R2]</t>
  </si>
  <si>
    <t>U' M2 U R2 U' M2 U R2</t>
  </si>
  <si>
    <t>[U: [Rw' D Rw, S']]</t>
  </si>
  <si>
    <t>U Rw' D Rw S' Rw' D' Rw S U'</t>
  </si>
  <si>
    <t>[Rw' D Rw, S']</t>
  </si>
  <si>
    <t>Rw' D Rw S' Rw' D' Rw S</t>
  </si>
  <si>
    <t>[S', Rw F Rw']</t>
  </si>
  <si>
    <t>S' Rw F Rw' S Rw F' Rw'</t>
  </si>
  <si>
    <t>[U L U', M']</t>
  </si>
  <si>
    <t>U L U' M' U L' U' M</t>
  </si>
  <si>
    <t>[U' M' U, L']</t>
  </si>
  <si>
    <t>U' M' U L' U' M U L</t>
  </si>
  <si>
    <t>[R' F' R: [S, R2]]</t>
  </si>
  <si>
    <t>R' F' R S R2 S' R F R</t>
  </si>
  <si>
    <t>[S', R' D' R]</t>
  </si>
  <si>
    <t>S' R' D' R S R' D R</t>
  </si>
  <si>
    <t>[R' F': [R S R', F']]</t>
  </si>
  <si>
    <t>R' F' R S R' F' R S' R' F2 R</t>
  </si>
  <si>
    <t>[U' L' U': [U2, M']]</t>
  </si>
  <si>
    <t>U' L' U M' U2 M U L U</t>
  </si>
  <si>
    <t>[Lw': [M', U' L U]]</t>
  </si>
  <si>
    <t>L Lw2' U' L U M U' L' U Lw</t>
  </si>
  <si>
    <t>[U': [R' F' R, S]]</t>
  </si>
  <si>
    <t>U' R' F' R S R' F R S' U</t>
  </si>
  <si>
    <t>[Rw: [M', U R' U']]</t>
  </si>
  <si>
    <t>R' Rw2 U R' U' M U R U' Rw'</t>
  </si>
  <si>
    <t>[M', U L2 U']</t>
  </si>
  <si>
    <t>M' U L2 U' M U L2 U'</t>
  </si>
  <si>
    <t>[M', U L U']</t>
  </si>
  <si>
    <t>M' U L U' M U L' U'</t>
  </si>
  <si>
    <t>[M', L' U L U']</t>
  </si>
  <si>
    <t>Lw' U L U' M U L' U' L</t>
  </si>
  <si>
    <t>[M', U L' U']</t>
  </si>
  <si>
    <t>M' U L' U' M U L U'</t>
  </si>
  <si>
    <t>[M2: [U' L' U, M]]</t>
  </si>
  <si>
    <t>M2 U' L' U M U' L U M</t>
  </si>
  <si>
    <t>[M2: [U R U', M]]</t>
  </si>
  <si>
    <t>M2 U R U' M U R' U' M</t>
  </si>
  <si>
    <t>[M', U' R2 U]</t>
  </si>
  <si>
    <t>M' U' R2 U M U' R2 U</t>
  </si>
  <si>
    <t>[M', U' R U]</t>
  </si>
  <si>
    <t>M' U' R U M U' R' U</t>
  </si>
  <si>
    <t>[M', R U' R' U]</t>
  </si>
  <si>
    <t>Rw U' R' U M U' R U R'</t>
  </si>
  <si>
    <t>[M', U' R' U]</t>
  </si>
  <si>
    <t>M' U' R' U M U' R U</t>
  </si>
  <si>
    <t>[D': [S, L' F' L]]</t>
  </si>
  <si>
    <t>U' R' Rw2 U' R' U M U' R U Rw' U</t>
  </si>
  <si>
    <t>[M': [M', U R' U']]</t>
  </si>
  <si>
    <t>M2 U R' U' M U R U' M</t>
  </si>
  <si>
    <t>[U' M U: [M, U2]]</t>
  </si>
  <si>
    <t>U' M U M U2 M' U M' U</t>
  </si>
  <si>
    <t>[M': [M', U' L U]]</t>
  </si>
  <si>
    <t>M2 U' L U M U' L' U M</t>
  </si>
  <si>
    <t>[U': [M U' M', U2]]</t>
  </si>
  <si>
    <t>U' M U' M' U2 M' U M U'</t>
  </si>
  <si>
    <t>[U: [S', R' D' R]]</t>
  </si>
  <si>
    <t>U S' R' D' R S R' D R U'</t>
  </si>
  <si>
    <t>[U': [R' F' R , S']]</t>
  </si>
  <si>
    <t>U' R' F' R S' R' F R S U</t>
  </si>
  <si>
    <t>[U R U': [M', U2]]</t>
  </si>
  <si>
    <t>U R U' M' U2 M U' R' U'</t>
  </si>
  <si>
    <t>[R F' R', S]</t>
  </si>
  <si>
    <t>R F' R' S R F R' S'</t>
  </si>
  <si>
    <t>[R' F' R: [R2, S]]</t>
  </si>
  <si>
    <t>R' F' R' S R2 S' R' F R</t>
  </si>
  <si>
    <t>[R' Fw' R: [R2, S]]</t>
  </si>
  <si>
    <t>R' Fw' R' S R2 S' R' Fw R</t>
  </si>
  <si>
    <t>[R' F' R, S]</t>
  </si>
  <si>
    <t>[R' F' R, S']</t>
  </si>
  <si>
    <t>[R S R', D']</t>
  </si>
  <si>
    <t>R S R' D' R S' R' D</t>
  </si>
  <si>
    <t>[D': [S', R F R']]</t>
  </si>
  <si>
    <t>D' S' R F R' S R F' R' D</t>
  </si>
  <si>
    <t>[M2 : [L' U' L U , M']]</t>
  </si>
  <si>
    <t>[D': [S', R' B' R]]</t>
  </si>
  <si>
    <t>D' S' R' B' R S R' B R D</t>
  </si>
  <si>
    <t>[M2: [R U R' U' , M']]</t>
  </si>
  <si>
    <t>R' Rw2 U R' U' M' U R U' R' M'</t>
  </si>
  <si>
    <t>[D: [R F' R', S']]</t>
  </si>
  <si>
    <t>D Lw D' Lw' S' Lw D Lw' S D'</t>
  </si>
  <si>
    <t>[M': [U L U', M']]</t>
  </si>
  <si>
    <t>M' U L U' M' U L' U' M2</t>
  </si>
  <si>
    <t>[Lw': [U L U', M']]</t>
  </si>
  <si>
    <t>Lw' U L U' M' U L' U' Lw2 L'</t>
  </si>
  <si>
    <t>[M': [U L' U', M']]</t>
  </si>
  <si>
    <t>M' U L' U' M' U L U' M2</t>
  </si>
  <si>
    <t>[M: [M, U' L' U]]</t>
  </si>
  <si>
    <t>M2 U' L' U M' U' L U M'</t>
  </si>
  <si>
    <t>[U' Rw: [U' R' U, M']]</t>
  </si>
  <si>
    <t>U' Rw U' R' U M' U' R U Rw2' R U</t>
  </si>
  <si>
    <t>[M: [M, U R U']]</t>
  </si>
  <si>
    <t>M2 U R U' M' U R' U' M'</t>
  </si>
  <si>
    <t>[D': [L' F L, S]]</t>
  </si>
  <si>
    <t>D' Rw' D Rw S Rw' D' Rw S' D</t>
  </si>
  <si>
    <t>[M': [U' R U, M']]</t>
  </si>
  <si>
    <t>M' U' R U M' U' R' U M2</t>
  </si>
  <si>
    <t>[Rw: [U' R' U, M']]</t>
  </si>
  <si>
    <t>Rw U' R' U M' U' R U Rw2' R</t>
  </si>
  <si>
    <t>[M': [U' R' U, M']]</t>
  </si>
  <si>
    <t>M' U' R' U M' U' R U M2</t>
  </si>
  <si>
    <t>[M: [M, U R' U']]</t>
  </si>
  <si>
    <t>M2 U R' U' M' U R U' M'</t>
  </si>
  <si>
    <t>[U Rw: [U' R' U, M']]</t>
  </si>
  <si>
    <t>U Rw U' R' U M' U' R U Rw2' R U'</t>
  </si>
  <si>
    <t>[M: [M, U' L U]]</t>
  </si>
  <si>
    <t>M2 U' L U M' U' L' U M'</t>
  </si>
  <si>
    <t>[D: [S, L' F L]]</t>
  </si>
  <si>
    <t>D S Rw' D Rw S' Rw' D' Rw D'</t>
  </si>
  <si>
    <t>[D': [R' D' R, S]]</t>
  </si>
  <si>
    <t>D' R' D' R S R' D R S' D</t>
  </si>
  <si>
    <t>[R' Fw' R: [S, R2]]</t>
  </si>
  <si>
    <t>R' Fw' R S R2 S' R Fw R</t>
  </si>
  <si>
    <t>[U: [R' F' R, S]]</t>
  </si>
  <si>
    <t>U R' F' R S R' F R S' U'</t>
  </si>
  <si>
    <t>[M2: [M' U M U]x2]</t>
  </si>
  <si>
    <t>M U M U M' U M U M2</t>
  </si>
  <si>
    <t>[U' M U: [U2, M]]</t>
  </si>
  <si>
    <t>U' M U' M U2 M' U' M' U</t>
  </si>
  <si>
    <t>[U Rw: [M', U' R' U]]</t>
  </si>
  <si>
    <t>U R' Rw2 U' R' U M U' R U Rw' U'</t>
  </si>
  <si>
    <t>U' M U M' U2 M' U' M U'</t>
  </si>
  <si>
    <t>[u2, M']</t>
  </si>
  <si>
    <t>u2 M' u2 M'</t>
  </si>
  <si>
    <t>[M', u2]</t>
  </si>
  <si>
    <t>M' u2 M' u2</t>
  </si>
  <si>
    <t>[U': [U2, M U' M']]</t>
  </si>
  <si>
    <t>U M U' M' U2 M U M' U</t>
  </si>
  <si>
    <t>U M' U M U2 M U' M' U</t>
  </si>
  <si>
    <t>[R' D' R, S']</t>
  </si>
  <si>
    <t>R' D' R S' R' D R S</t>
  </si>
  <si>
    <t>[D', R S R']</t>
  </si>
  <si>
    <t>D' R S R' D R S' R'</t>
  </si>
  <si>
    <t>[Rw F Rw', S']</t>
  </si>
  <si>
    <t>Rw F Rw' S' Rw F' Rw' S</t>
  </si>
  <si>
    <t>[S', R' F' R]</t>
  </si>
  <si>
    <t>S' R' F' R S R' F R</t>
  </si>
  <si>
    <t>Edge Flips</t>
  </si>
  <si>
    <t>[U': [R' F' R, S]] [M', U2]</t>
  </si>
  <si>
    <t>U' R' F' R S R' F R S' U M' U2 M U2</t>
  </si>
  <si>
    <t>[U2: [R' F' R, S]] [U': [U2, M']]</t>
  </si>
  <si>
    <t>U2 R' F' R S R' F R S' U M' U2 M U'</t>
  </si>
  <si>
    <t>[U: [R' F' R, S]] [U2, M']</t>
  </si>
  <si>
    <t>U R' F' R S R' F R S' U M' U2 M</t>
  </si>
  <si>
    <t>[R' F' R, S] [U': [U2, M']]</t>
  </si>
  <si>
    <t>R' F' R S R' F R S' U M' U2 M U</t>
  </si>
  <si>
    <t>[R: [R' F' R, S] [U': [U2, M']]]</t>
  </si>
  <si>
    <t>F' R S R' F R S' U M' U2 M U R'</t>
  </si>
  <si>
    <t>[R': [R' F' R, S] [U': [U2, M']]]</t>
  </si>
  <si>
    <t>R2' F' R S R' F R S' U M' U2 M U R</t>
  </si>
  <si>
    <t>[M2: [M', U2] [U': [R' F' R, S]]]</t>
  </si>
  <si>
    <t>M U2 M U R' F' R S R' F R S' U M2</t>
  </si>
  <si>
    <t>R F' R S R' F R S' U M' U2 M U R2</t>
  </si>
  <si>
    <t>Floating Edge Flips</t>
  </si>
  <si>
    <t>UF/FU</t>
  </si>
  <si>
    <t>UB/BU</t>
  </si>
  <si>
    <t>AK &amp; CS</t>
  </si>
  <si>
    <t>[M', U2] [U': [R' F' R, S]]</t>
  </si>
  <si>
    <t>M' U2 M U R' F' R S R' F R S' U</t>
  </si>
  <si>
    <t>UL/LU</t>
  </si>
  <si>
    <t>UR/RU</t>
  </si>
  <si>
    <t>BG &amp; DS</t>
  </si>
  <si>
    <t>[U: [M', U2]] [R' F' R, S]</t>
  </si>
  <si>
    <t>U M' U2 M U R' F' R S R' F R S'</t>
  </si>
  <si>
    <t>5-Cycles</t>
  </si>
  <si>
    <t>HTM</t>
  </si>
  <si>
    <t>[x R': [U, R' D2 R]]</t>
  </si>
  <si>
    <t>Lw' U R' D2 R U' R' D2 R2 x'</t>
  </si>
  <si>
    <t>[U Lw': [U, R' D2 R]]</t>
  </si>
  <si>
    <t>U Lw' U R' D2 R U' R' D2 R2 x' U'</t>
  </si>
  <si>
    <t>[U R': [U2, R' D' R]]</t>
  </si>
  <si>
    <t>U R' U2 R' D' R U2 R' D R2 U'</t>
  </si>
  <si>
    <t>[U: [U , R' D R]]</t>
  </si>
  <si>
    <t>U2 R' D R U' R' D' R U'</t>
  </si>
  <si>
    <t>[U, R D' R']</t>
  </si>
  <si>
    <t>U R D' R' U' R D R'</t>
  </si>
  <si>
    <t>[F R' F' , L]</t>
  </si>
  <si>
    <t>F R' F' Rw U R U' Rw'</t>
  </si>
  <si>
    <t>[U R': [U', R' D' R]]</t>
  </si>
  <si>
    <t>U R' U' R' D' R U R' D R2 U'</t>
  </si>
  <si>
    <t>[U D': [U, R' D R]]</t>
  </si>
  <si>
    <t>U2 D' R' D R U' R' D' R D U'</t>
  </si>
  <si>
    <t>[U, R D2 R']</t>
  </si>
  <si>
    <t>U R D2 R' U' R D2 R'</t>
  </si>
  <si>
    <t>[U R: [R D R', U2]]</t>
  </si>
  <si>
    <t>U R2 D R' U2 R D' R' U2 R' U'</t>
  </si>
  <si>
    <t>[U, R D R']</t>
  </si>
  <si>
    <t>U R D R' U' R D' R'</t>
  </si>
  <si>
    <t>[U: [U, R' D' R]]</t>
  </si>
  <si>
    <t>U2 R' D' R U' R' D R U'</t>
  </si>
  <si>
    <t>[D': [U, R D R']]</t>
  </si>
  <si>
    <t>D' U R D R' U' R D' R' D</t>
  </si>
  <si>
    <t>[D: [U, R D' R']]</t>
  </si>
  <si>
    <t>D U R D' R' U' R D R' D'</t>
  </si>
  <si>
    <t>[Rw': [D R' D', L2]]</t>
  </si>
  <si>
    <t>Rw' D R' D' Rw2 U R U' Rw'</t>
  </si>
  <si>
    <t>[R' D R: [U, R D' R']]</t>
  </si>
  <si>
    <t>R' D R U R D' R' U' R D R2 D' R</t>
  </si>
  <si>
    <t>[U, R2 D R2 D' R2]</t>
  </si>
  <si>
    <t>U R2 D R2 D' R2 U' R2 D R2 D' R2</t>
  </si>
  <si>
    <t>[U: [B2, U' R U R']]</t>
  </si>
  <si>
    <t>U B2 U' R U R' B2 R U' R'</t>
  </si>
  <si>
    <t>[Lw': [R' D2 R, U]]</t>
  </si>
  <si>
    <t>x R2 D2 R U R' D2 R U' Lw</t>
  </si>
  <si>
    <t>[R' D' U': [R' D R, U']]</t>
  </si>
  <si>
    <t>R' D' U' R' D R U' R' D' R U2 D R</t>
  </si>
  <si>
    <t>[R' U' D' R U': [U2, R' D R]]</t>
  </si>
  <si>
    <t>R' U' D' R U R' D R U2 R' D' R U R' D U R</t>
  </si>
  <si>
    <t>[U2, R' D R]</t>
  </si>
  <si>
    <t>U2 R' D R U2 R' D' R</t>
  </si>
  <si>
    <t>[U': [U2, R D' R']]</t>
  </si>
  <si>
    <t>U R D' R' U2 R D R' U</t>
  </si>
  <si>
    <t>[Lw' U' D': [R D R', U2]]</t>
  </si>
  <si>
    <t>Lw' U' D' R D R' U2 R D' R' U' D Lw</t>
  </si>
  <si>
    <t>[D': [U2, R' D R]]</t>
  </si>
  <si>
    <t>D' U2 R' D R U2 R' D' R D</t>
  </si>
  <si>
    <t>[D: [U2, R' D' R]]</t>
  </si>
  <si>
    <t>D U2 R' D' R U2 R' D R D'</t>
  </si>
  <si>
    <t>[R' U D R: [D', R U' R']]</t>
  </si>
  <si>
    <t>R' U D R D' R U' R' D R U R2 D' U' R</t>
  </si>
  <si>
    <t>[U': [U2, R D R']]</t>
  </si>
  <si>
    <t>U R D R' U2 R D' R' U</t>
  </si>
  <si>
    <t>[U2, R' D' R]</t>
  </si>
  <si>
    <t>U2 R' D' R U2 R' D R</t>
  </si>
  <si>
    <t>[R' D': [R' D R, U2]]</t>
  </si>
  <si>
    <t>R' D' R' D R U2 R' D' R U2 D R</t>
  </si>
  <si>
    <t>[U D': [R D R', U2]]</t>
  </si>
  <si>
    <t>U D' R D R' U2 R D' R' D U</t>
  </si>
  <si>
    <t>[D U: [R D' R', U2]]</t>
  </si>
  <si>
    <t>D U R D' R' U2 R D R' U D'</t>
  </si>
  <si>
    <t>[R D R' D U: [R D' R', U2]]</t>
  </si>
  <si>
    <t>R D R' D U R D' R' U2 R D R' U D' R D' R'</t>
  </si>
  <si>
    <t>[R2: [R2 D R2 D' R2, U]]</t>
  </si>
  <si>
    <t>D R2 D' R2 U R2 D R2 D' R2 U' R2</t>
  </si>
  <si>
    <t>[R D' R': [U2, R' D R]]</t>
  </si>
  <si>
    <t>R D' R' U2 R' D R U2 R' D' R2 D R'</t>
  </si>
  <si>
    <t>[R' U' D' R: [D, R U' R']]</t>
  </si>
  <si>
    <t>R' U' D' R D R U' R' D' R U R2 D U R</t>
  </si>
  <si>
    <t>[U x R': [R' D2 R, U]]</t>
  </si>
  <si>
    <t>U x R2 D2 R U R' D2 R U' Lw U'</t>
  </si>
  <si>
    <t>[R' D' U': [U', R' D R]]</t>
  </si>
  <si>
    <t>R' D' U2 R' D R U R' D' R U D R</t>
  </si>
  <si>
    <t>[U2: [R' D R, U]]</t>
  </si>
  <si>
    <t>U2 R' D R U R' D' R U</t>
  </si>
  <si>
    <t>[U: [R D' R', U]]</t>
  </si>
  <si>
    <t>U R D' R' U R D R' U2</t>
  </si>
  <si>
    <t>[Lw' U': [U2, R D' R']]</t>
  </si>
  <si>
    <t>Lw' U R D' R' U2 R D R' U Lw</t>
  </si>
  <si>
    <t>[D' U2: [R' D R, U]]</t>
  </si>
  <si>
    <t>D' U2 R' D R U R' D' R U D</t>
  </si>
  <si>
    <t>[D U': [U', R' D' R]]</t>
  </si>
  <si>
    <t>D U2 R' D' R U R' D R U D'</t>
  </si>
  <si>
    <t>[x': [D, R U' R']]</t>
  </si>
  <si>
    <t>x' D R U' R' D' R U R' x</t>
  </si>
  <si>
    <t>[R U: [R D R', U]]</t>
  </si>
  <si>
    <t>R U R D R' U R D' R' U2 R'</t>
  </si>
  <si>
    <t>[U: [R D R', U]]</t>
  </si>
  <si>
    <t>U R D R' U R D' R' U2</t>
  </si>
  <si>
    <t>[U': [U', R' D' R]]</t>
  </si>
  <si>
    <t>U2 R' D' R U R' D R U</t>
  </si>
  <si>
    <t>[Lw U: [R' D R, U2]]</t>
  </si>
  <si>
    <t>Lw U R' D R U2 R' D' R U Lw'</t>
  </si>
  <si>
    <t>[U' D: [U', R' D R]]</t>
  </si>
  <si>
    <t>U2 D R' D R U R' D' R U D'</t>
  </si>
  <si>
    <t>[D U: [R D' R', U]]</t>
  </si>
  <si>
    <t>D U R D' R' U R D R' U2 D'</t>
  </si>
  <si>
    <t>[U R D R': [R' U R, D']]</t>
  </si>
  <si>
    <t>U R D R2' U R D' R' U' R D R D' R' U'</t>
  </si>
  <si>
    <t>[R' D R U: [R D' R', U]]</t>
  </si>
  <si>
    <t>R' D R U R D' R' U R D R' U2 R' D' R</t>
  </si>
  <si>
    <t>[R D' U': [U', R' D R]]</t>
  </si>
  <si>
    <t>R D' U2 R' D R U R' D' R U D R'</t>
  </si>
  <si>
    <t>[D' R D' U': [U', R' D R]]</t>
  </si>
  <si>
    <t>D' R D' U2 R' D R U R' D' R U D R' D</t>
  </si>
  <si>
    <t>[U R': [R' D' R, U2]]</t>
  </si>
  <si>
    <t>U R2 D' R U2 R' D R U2 R U'</t>
  </si>
  <si>
    <t>[R' U' D' R U': [R' D R, U2]]</t>
  </si>
  <si>
    <t>R' U' D' R U' R' D R U2 R' D' R U' R' D U R</t>
  </si>
  <si>
    <t>[U' R U: [U2, R' D R]]</t>
  </si>
  <si>
    <t>U' R U' R' D R U2 R' D' R U' R' U</t>
  </si>
  <si>
    <t>[U' R: [U2, R D' R']]</t>
  </si>
  <si>
    <t>U' R U2 R D' R' U2 R D R2 U</t>
  </si>
  <si>
    <t>[U' R: [U2, R D R']]</t>
  </si>
  <si>
    <t>U' R U2 R D R' U2 R D' R2 U</t>
  </si>
  <si>
    <t>[U R' U': [R D R', U2]]</t>
  </si>
  <si>
    <t>U R' U' R D R' U2 R D' R' U' R U'</t>
  </si>
  <si>
    <t>[U' R U D: [U2, R' D' R]]</t>
  </si>
  <si>
    <t>U' R U' D R' D' R U2 R' D R D' U' R' U</t>
  </si>
  <si>
    <t>[R U R' U' D: [R D R', U2]</t>
  </si>
  <si>
    <t>R U R' U' D R D R' U2 R D' R' U' D' R U' R'</t>
  </si>
  <si>
    <t>[U R' D': [R' D R, U2]]</t>
  </si>
  <si>
    <t>U R' D' R' D R U2 R' D' R U2 D R U'</t>
  </si>
  <si>
    <t>[F U: [U2, R D R']]</t>
  </si>
  <si>
    <t>F U' R D R' U2 R D' R' U' F'</t>
  </si>
  <si>
    <t>[U R' U' D: [R D' R', U2]]</t>
  </si>
  <si>
    <t>U R' U' D R D' R' U2 R D R' U' D' R U'</t>
  </si>
  <si>
    <t>[R2 U R' U: [U2, R D R']]</t>
  </si>
  <si>
    <t>R2 U R' U' R D R' U2 R D' R' U' R U' R2</t>
  </si>
  <si>
    <t>[U R' U': [R D' R', U2]]</t>
  </si>
  <si>
    <t>U R' U' R D' R' U2 R D R' U' R U'</t>
  </si>
  <si>
    <t>[U' D R: [U2, R D' R']]</t>
  </si>
  <si>
    <t>U' D R U2 R D' R' U2 R D R2' D' U</t>
  </si>
  <si>
    <t>[U R': [R' D R, U2]]</t>
  </si>
  <si>
    <t>U R2' D R U2 R' D' R U2 R U'</t>
  </si>
  <si>
    <t>[U D' R': [R' D R, U2]]</t>
  </si>
  <si>
    <t>U D' R2' D R U2 R' D' R U2 R D U'</t>
  </si>
  <si>
    <t>[U' R D' U: [U2, R' D R]]</t>
  </si>
  <si>
    <t>U' R U' D' R' D R U2 R' D' R U' D R' U</t>
  </si>
  <si>
    <t>[U R': [R' D2 R, U2]]</t>
  </si>
  <si>
    <t>U R2 D2 R U2 R' D2 R U2 R U'</t>
  </si>
  <si>
    <t>[U: [R' D R, U]]</t>
  </si>
  <si>
    <t>U R' D R U R' D' R U2</t>
  </si>
  <si>
    <t>[R' D R, U2]</t>
  </si>
  <si>
    <t>R' D R U2 R' D' R U2</t>
  </si>
  <si>
    <t>[U': [R' D R, U']]</t>
  </si>
  <si>
    <t>U' R' D R U' R' D' R U2</t>
  </si>
  <si>
    <t>[U' R U: [R' D R, U2]]</t>
  </si>
  <si>
    <t>U' R U R' D R U2 R' D' R U R' U</t>
  </si>
  <si>
    <t>[D': [U R' U', L]]</t>
  </si>
  <si>
    <t>D' U R' U' L U R U' L' D</t>
  </si>
  <si>
    <t>[U2 R' U: [R U' R', D]]</t>
  </si>
  <si>
    <t>U2 R' U R U' R' D R U R' D' U' R U2</t>
  </si>
  <si>
    <t>[R U: [R' D R, U]]</t>
  </si>
  <si>
    <t>R U R' D R U R' D' R U2 R'</t>
  </si>
  <si>
    <t>[D, R U2 R']</t>
  </si>
  <si>
    <t>D R U2 R' D' R U2 R'</t>
  </si>
  <si>
    <t>[U' R': [R' D R, U']]</t>
  </si>
  <si>
    <t>U' R2' D R U' R' D' R U R U</t>
  </si>
  <si>
    <t>[R U: [D2, R' U' R]]</t>
  </si>
  <si>
    <t>R U D2 R' U' R D2 R' U R U' R'</t>
  </si>
  <si>
    <t>[D': [D2, R U2 R']]</t>
  </si>
  <si>
    <t>D R U2 R' D2 R U2 R' D</t>
  </si>
  <si>
    <t>[R U' R': [R' D R, U']]</t>
  </si>
  <si>
    <t>R U' R2' D R U' R' D' R U R U R'</t>
  </si>
  <si>
    <t>[R': [R' D R, U2]]</t>
  </si>
  <si>
    <t>R2' D R U2 R' D' R U2 R</t>
  </si>
  <si>
    <t>[D: [R U2 R', D]]</t>
  </si>
  <si>
    <t>D R U2 R' D R U2 R' D2</t>
  </si>
  <si>
    <t>[R' U: [R' D R, U]]</t>
  </si>
  <si>
    <t>R' U R' D R U R' D' R U2 R</t>
  </si>
  <si>
    <t>[R' D R U: [R D' R', U2]</t>
  </si>
  <si>
    <t>R' D R U R D' R' U2 R D R' U R' D' R</t>
  </si>
  <si>
    <t>[R U': [D, R U' R']]</t>
  </si>
  <si>
    <t>R U' D R U' R' D' R U R' U R'</t>
  </si>
  <si>
    <t>[D' R U D': [R' U' R, D2]]</t>
  </si>
  <si>
    <t>D' R U D' R' U' R D2 R' U R D' U' R' D</t>
  </si>
  <si>
    <t>[R D' R', U]</t>
  </si>
  <si>
    <t>R D' R' U R D R' U'</t>
  </si>
  <si>
    <t>[U': [R D' R', U2]]</t>
  </si>
  <si>
    <t>U' R D' R' U2 R D R' U'</t>
  </si>
  <si>
    <t>[U: [U, R D' R']]</t>
  </si>
  <si>
    <t>U2 R D' R' U' R D R' U'</t>
  </si>
  <si>
    <t>[U' R: [R D' R', U2]]</t>
  </si>
  <si>
    <t>U' R2 D' R' U2 R D R' U2 R' U</t>
  </si>
  <si>
    <t>[D': [L, U R' U']]</t>
  </si>
  <si>
    <t>D' L U R' U' L' U R U' D</t>
  </si>
  <si>
    <t>[U R U: [R' U' R, D']]</t>
  </si>
  <si>
    <t>U R U R' U' R D' R' U R D U' R' U'</t>
  </si>
  <si>
    <t>[R: [R D' R', U]]</t>
  </si>
  <si>
    <t>R2 D' R' U R D R' U' R'</t>
  </si>
  <si>
    <t>[R U': [R D' R', U2]]</t>
  </si>
  <si>
    <t>R U' R D' R' U2 R D R' U' R'</t>
  </si>
  <si>
    <t>[D': [R' U R, D']]</t>
  </si>
  <si>
    <t>D' R' U R D' R' U' R D2</t>
  </si>
  <si>
    <t>[R' D': [R' U R, D2]]</t>
  </si>
  <si>
    <t>R' D' R' U R D2 R' U' R D' R</t>
  </si>
  <si>
    <t>[R2 D: [D2, R' U R]]</t>
  </si>
  <si>
    <t>R2 D' R' U R D2 R' U' R D' R2'</t>
  </si>
  <si>
    <t>[R D': [R' U R, D2]]</t>
  </si>
  <si>
    <t>R D' R' U R D2 R' U' R D' R'</t>
  </si>
  <si>
    <t>[D': [R' U R, D2]]</t>
  </si>
  <si>
    <t>D' R' U R D2 R' U' R D'</t>
  </si>
  <si>
    <t>[R' U: [U2, R D' R']]</t>
  </si>
  <si>
    <t>R' U' R D' R' U2 R D R' U' R</t>
  </si>
  <si>
    <t>[D',  R' U R]</t>
  </si>
  <si>
    <t>D' R' U R D R' U' R</t>
  </si>
  <si>
    <t>[D R': [D2, R' U R]]</t>
  </si>
  <si>
    <t>D R' D2 R' U R D2 R' U' R2 D'</t>
  </si>
  <si>
    <t>[R': [D', R' U R]]</t>
  </si>
  <si>
    <t>R' D' R' U R D R' U' R2</t>
  </si>
  <si>
    <t>[R D' R' U: [U, R' D R]]</t>
  </si>
  <si>
    <t>R D' R' U2 R' D R U' R' D' R U' R D R'</t>
  </si>
  <si>
    <t>[L, F R' F']</t>
  </si>
  <si>
    <t>Rw U R' U' Rw' F R F'</t>
  </si>
  <si>
    <t>[Lw' U' D': [U2. R D R']]</t>
  </si>
  <si>
    <t>Lw' D' U R D R' U2 R D' R' D U Lw</t>
  </si>
  <si>
    <t>[U: [U R U', L2]]</t>
  </si>
  <si>
    <t>U2 R U' Rw2 D R' D' Rw2 U'</t>
  </si>
  <si>
    <t>[U R U: [D', R' U' R]]</t>
  </si>
  <si>
    <t>U R U D' R' U' R D R' U R U' R' U'</t>
  </si>
  <si>
    <t>[L, U' R' U]</t>
  </si>
  <si>
    <t>L U' R' U L' U' R U</t>
  </si>
  <si>
    <t>[D U R U: [D, R' U' R]]</t>
  </si>
  <si>
    <t>D U R U D R' U' R D' R' U R U' R' U' D'</t>
  </si>
  <si>
    <t>[U' R' U': [R U R', D]]</t>
  </si>
  <si>
    <t>U' R' U' R U R' D R U' R' D' U R U</t>
  </si>
  <si>
    <t>[U' R': [R' D' R, U']]</t>
  </si>
  <si>
    <t>U' R2' D' R U' R' D R U R U</t>
  </si>
  <si>
    <t>[U R U', L']</t>
  </si>
  <si>
    <t>U R U' L' U R' U' L</t>
  </si>
  <si>
    <t>[U R U: [D, R' U' R]]</t>
  </si>
  <si>
    <t>U R U D R' U' R D' R' U R U' R' U'</t>
  </si>
  <si>
    <t>[L, U' R U]</t>
  </si>
  <si>
    <t>L U' R U L' U' R' U</t>
  </si>
  <si>
    <t>[Lw D U': [U2 , R' D' R]]</t>
  </si>
  <si>
    <t>Lw D U R' D' R U2 R' D R U D' Lw'</t>
  </si>
  <si>
    <t>[D' U R U: [D, R' U' R]]</t>
  </si>
  <si>
    <t>D' U R U D R' U' R D' R' U R U' R' U' D</t>
  </si>
  <si>
    <t>[U R' U', L']</t>
  </si>
  <si>
    <t>U R' U' Rw' F R F' Rw</t>
  </si>
  <si>
    <t>[U' D R' U': [R U R', D']]</t>
  </si>
  <si>
    <t>U' D R' U' R U R' D' R U' R' D U R D' U</t>
  </si>
  <si>
    <t>[U R2 U', L']</t>
  </si>
  <si>
    <t>U R2 U' L' U R2 U' L</t>
  </si>
  <si>
    <t>[Lw U' D: [R U R', D2]]</t>
  </si>
  <si>
    <t>Lw U' D R U R' D2 R U' R' D U Lw'</t>
  </si>
  <si>
    <t>[U2 R U': [R' U R, D']]</t>
  </si>
  <si>
    <t>U2 R U' R' U R D' R' U' R D U R' U2</t>
  </si>
  <si>
    <t>[U R': [R' D' R, U']]</t>
  </si>
  <si>
    <t>U R2' D' R U' R' D R U R U'</t>
  </si>
  <si>
    <t>[Lw' U': [R D' R', U2]]</t>
  </si>
  <si>
    <t>Lw' U' R D' R' U2 R D R' U' Lw</t>
  </si>
  <si>
    <t>[U' R: [R D R', U2]]</t>
  </si>
  <si>
    <t>U' R2 D R' U2 R D' R' U2 R' U</t>
  </si>
  <si>
    <t>[R U: [U, R' D R]]</t>
  </si>
  <si>
    <t>R U2 R' D R U' R' D' R U' R'</t>
  </si>
  <si>
    <t>[R: [U, R D' R']]</t>
  </si>
  <si>
    <t>R U R D' R' U' R D R2'</t>
  </si>
  <si>
    <t>[U' R' U, L]</t>
  </si>
  <si>
    <t>U' R' U L U' R U L'</t>
  </si>
  <si>
    <t>[U R' U': [R D R', U']]</t>
  </si>
  <si>
    <t>U R' U' R D R' U' R D' R' U2 R U'</t>
  </si>
  <si>
    <t>[R: [U, R D2 R']]</t>
  </si>
  <si>
    <t>R U R2 D2 R' U' R D2 R2'</t>
  </si>
  <si>
    <t>[R: [U, R D R']]</t>
  </si>
  <si>
    <t>R U R D R' U' R D' R2'</t>
  </si>
  <si>
    <t>[R U: [U, R' D' R]]</t>
  </si>
  <si>
    <t>R U2 R' D' R U' R' D R U' R'</t>
  </si>
  <si>
    <t>[U2 R': [R' U R, D]]</t>
  </si>
  <si>
    <t>U2 R2' U R D R' U' R D' R U2</t>
  </si>
  <si>
    <t>[R: [U, R2' D R2 D' R2']]</t>
  </si>
  <si>
    <t>R U R2' D R2 D' R2' U' R2 D R2 D' R</t>
  </si>
  <si>
    <t>[R D': [U, R D R']]</t>
  </si>
  <si>
    <t>R D' U R D R' U' R D' R' D R'</t>
  </si>
  <si>
    <t>[D R: [U, R D' R']]</t>
  </si>
  <si>
    <t>D R U R D' R' U' R D R2' D'</t>
  </si>
  <si>
    <t>[U R': [R' D R, U']]</t>
  </si>
  <si>
    <t>U R2' D R U' R' D' R U R U'</t>
  </si>
  <si>
    <t>[U' R' F R U, R]</t>
  </si>
  <si>
    <t>U' R' F R U R U' R' F' R U R'</t>
  </si>
  <si>
    <t>[U' R: [D', R U' R']]</t>
  </si>
  <si>
    <t>U' R D' R U' R' D R U R2 U</t>
  </si>
  <si>
    <t>[U D R': [R' D R, U']]</t>
  </si>
  <si>
    <t>U D R2' D R U' R' D' R U R D' U'</t>
  </si>
  <si>
    <t>[U D': [R' D R, U]]</t>
  </si>
  <si>
    <t>U D' R' D R U R' D' R U2 D</t>
  </si>
  <si>
    <t>[D': [R' D R, U2]]</t>
  </si>
  <si>
    <t>D U' R D R' U2 R D' R' U' D'</t>
  </si>
  <si>
    <t>[D' U2: [U, R' D R]]</t>
  </si>
  <si>
    <t>D' U' R' D R U' R' D' R U2 D</t>
  </si>
  <si>
    <t>[U R' U': [U2, R D R']]</t>
  </si>
  <si>
    <t>U R' U R D R' U2 R D' R' U R U'</t>
  </si>
  <si>
    <t>[R U2 R', D]</t>
  </si>
  <si>
    <t>R U2 R' D R U2 R' D'</t>
  </si>
  <si>
    <t>[R U': [U2, R D' R']]</t>
  </si>
  <si>
    <t>R U R D' R' U2 R D R' U R'</t>
  </si>
  <si>
    <t>[D U R U: [R' U' R, D]]</t>
  </si>
  <si>
    <t>D U R U R' U' R D R' U R D' U' R' U' D'</t>
  </si>
  <si>
    <t>[U R' U': [U', R D R']]</t>
  </si>
  <si>
    <t>U R' U2 R D R' U R D' R' U R U'</t>
  </si>
  <si>
    <t>[R D: [U2, R' D' R]]</t>
  </si>
  <si>
    <t>R D U2 R' D' R U2 R' D R D' R'</t>
  </si>
  <si>
    <t>[U' D' R': [R' D R, U']]</t>
  </si>
  <si>
    <t>U' D' R2' D R U' R' D' R U R D U</t>
  </si>
  <si>
    <t>[R U': [U2, R D R']]</t>
  </si>
  <si>
    <t>R U R D R' U2 R D' R' U R'</t>
  </si>
  <si>
    <t>[R U2 R', D']</t>
  </si>
  <si>
    <t>R U2 R' D' R U2 R' D</t>
  </si>
  <si>
    <t>[D' R': [R' D R, U2]]</t>
  </si>
  <si>
    <t>D' R2' D R U2 R' D' R U2 R D</t>
  </si>
  <si>
    <t>[R U2 R', D2]</t>
  </si>
  <si>
    <t>R U2 R' D2 R U2 R' D2</t>
  </si>
  <si>
    <t>[D R D': [D2, R' U R]]</t>
  </si>
  <si>
    <t>D R D R' U R D2 R' U' R D R' D'</t>
  </si>
  <si>
    <t>[D2 R: [D2, R U2 R']]</t>
  </si>
  <si>
    <t>D2 R D2 R U2 R' D2 R U2 R2 D2</t>
  </si>
  <si>
    <t>[R D': [U2, R' D R]]</t>
  </si>
  <si>
    <t>R D' U2 R' D R U2 R' D' R D R'</t>
  </si>
  <si>
    <t>[U': [L2, U' R U]]</t>
  </si>
  <si>
    <t>U' Rw2' D' R D Rw2 U' R' U2</t>
  </si>
  <si>
    <t>[R D2 R', U]</t>
  </si>
  <si>
    <t>R D2 R' U R D2 R' U'</t>
  </si>
  <si>
    <t>[D: [R' D' R, U2]]</t>
  </si>
  <si>
    <t>D R' D' R U2 R' D R U2 D'</t>
  </si>
  <si>
    <t>[D U': [R' D' R, U']]</t>
  </si>
  <si>
    <t>D U' R' D' R U' R' D R U2 D'</t>
  </si>
  <si>
    <t>[U' R U D: [R' D' R, U2]]</t>
  </si>
  <si>
    <t>U' R U D R' D' R U2 R' D R U D' R' U</t>
  </si>
  <si>
    <t>[D': [D', R' U R]]</t>
  </si>
  <si>
    <t>D2 R' U R D R' U' R D</t>
  </si>
  <si>
    <t>[U' R' U': [D, R U R']]</t>
  </si>
  <si>
    <t>U' R' U' D R U R' D' R U' R' U R U</t>
  </si>
  <si>
    <t>[R: [R D2 R', U]]</t>
  </si>
  <si>
    <t>R2 D2 R' U R D2 R' U' R'</t>
  </si>
  <si>
    <t>[R D: [R' D' R, U2]]</t>
  </si>
  <si>
    <t>R D R' D' R U2 R' D R U2 D' R'</t>
  </si>
  <si>
    <t>[R' D: [D, R' U R]]</t>
  </si>
  <si>
    <t>R' D2 R' U R D' R' U' R D' R</t>
  </si>
  <si>
    <t>[R2 D: [D, R' U R]]</t>
  </si>
  <si>
    <t>R2 D2 R' U R D' R' U' R D' R2'</t>
  </si>
  <si>
    <t>[R D: [D, R' U R]]</t>
  </si>
  <si>
    <t>R D2 R' U R D' R' U' R D' R'</t>
  </si>
  <si>
    <t>[D: [D, R' U R]]</t>
  </si>
  <si>
    <t>D2 R' U R D' R' U' R D'</t>
  </si>
  <si>
    <t>[R' D: [R' D' R, U2]]</t>
  </si>
  <si>
    <t>R' D R' D' R U2 R' D R U2 D' R</t>
  </si>
  <si>
    <t>[D' R D: [D2, R' U R]]</t>
  </si>
  <si>
    <t>D' R D' R' U R D2 R' U' R D' R' D</t>
  </si>
  <si>
    <t>[D2, R' U R]</t>
  </si>
  <si>
    <t>D2 R' U R D2 R' U' R</t>
  </si>
  <si>
    <t>[R': [D2, R' U R]]</t>
  </si>
  <si>
    <t>R' D2 R' U R D2 R' U' R2</t>
  </si>
  <si>
    <t>[D' R': [D', R' U R]]</t>
  </si>
  <si>
    <t>D' R' D' R' U R D R' U' R2 D</t>
  </si>
  <si>
    <t>[D: [D R D', L2]]</t>
  </si>
  <si>
    <t>D2 R D' Rw2 U R' U' Rw2 D'</t>
  </si>
  <si>
    <t>[U R: [U2, R D R']]</t>
  </si>
  <si>
    <t>U R U2 R D R' U2 R D' R2 U'</t>
  </si>
  <si>
    <t>[x': [R U' R', D]]</t>
  </si>
  <si>
    <t>x' R U' R' D R U R' D' x</t>
  </si>
  <si>
    <t>[R U R' U' D: [U2, R D R']</t>
  </si>
  <si>
    <t>R U R' D U R D R' U2 R D' R' D' U R U' R'</t>
  </si>
  <si>
    <t>[U' R': [U', R' D R]]</t>
  </si>
  <si>
    <t>U' R' U' R' D R U R' D' R2 U</t>
  </si>
  <si>
    <t>[R' D': [D2, R' U R]]</t>
  </si>
  <si>
    <t>R' D R' U R D2 R' U' R D R</t>
  </si>
  <si>
    <t>[U' R': [U', R' D' R]]</t>
  </si>
  <si>
    <t>U' R' U' R' D' R U R' D R2 U</t>
  </si>
  <si>
    <t>[U' D' R': [U', R' D R]]</t>
  </si>
  <si>
    <t>U' D' R' U' R' D R U R' D' R2 D U</t>
  </si>
  <si>
    <t>[R' D: [R' U R, D]]</t>
  </si>
  <si>
    <t>R' D R' U R D R' U' R D2 R</t>
  </si>
  <si>
    <t>[R, U' L' U]</t>
  </si>
  <si>
    <t>R U' L' U R' U' L U</t>
  </si>
  <si>
    <t>[U R: [R U' R', D']]</t>
  </si>
  <si>
    <t>U R2 U' R' D' R U R' D R' U'</t>
  </si>
  <si>
    <t>[U' R' U': [U', R D R']]</t>
  </si>
  <si>
    <t>U' R' U2 R D R' U R D' R' U R U</t>
  </si>
  <si>
    <t>[R': [R' D' R, U2]]</t>
  </si>
  <si>
    <t>R2' D' R U2 R' D R U2 R</t>
  </si>
  <si>
    <t>[U' D R': [U', R' D R]]</t>
  </si>
  <si>
    <t>U' D R' U' R' D R U R' D' R2 D' U</t>
  </si>
  <si>
    <t>[R' U: [R' D' R, U]]</t>
  </si>
  <si>
    <t>R' U R' D' R U R' D R U2 R</t>
  </si>
  <si>
    <t>[D R': [D, R' U R]]</t>
  </si>
  <si>
    <t>D R' D R' U R D' R' U' R2 D'</t>
  </si>
  <si>
    <t>[R': [D, R' U R]]</t>
  </si>
  <si>
    <t>R' D R' U R D' R' U' R2</t>
  </si>
  <si>
    <t>[D' R': [D, R' U R]]</t>
  </si>
  <si>
    <t>D' R' D R' U R D' R' U' R2 D</t>
  </si>
  <si>
    <t>[U2 R: [R D' R', U]]</t>
  </si>
  <si>
    <t>U2 R2 D' R' U R D R' U' R' U2</t>
  </si>
  <si>
    <t>[R' U D R: [R U' R', D']]</t>
  </si>
  <si>
    <t>R' U D R2 U' R' D' R U R' D R' D' U' R</t>
  </si>
  <si>
    <t>[R U: [U, R D R']]</t>
  </si>
  <si>
    <t>R U2 R D R' U' R D' R' U' R'</t>
  </si>
  <si>
    <t>[U R' D': [U2, R' D R]]</t>
  </si>
  <si>
    <t>U R' D' U2 R' D R U2 R' D' R D R U'</t>
  </si>
  <si>
    <t>[R U: [R' U' R, D2]]</t>
  </si>
  <si>
    <t>R U R' U' R D2 R' U R D2 U' R'</t>
  </si>
  <si>
    <t>[R2 D: [R' U R, D2]]</t>
  </si>
  <si>
    <t>R2 D R' U R D2 R' U' R D R2'</t>
  </si>
  <si>
    <t>[L', U R U']</t>
  </si>
  <si>
    <t>L' U R U' L U R' U'</t>
  </si>
  <si>
    <t>[R: [R D R', U]]</t>
  </si>
  <si>
    <t>R2 D R' U R D' R' U' R'</t>
  </si>
  <si>
    <t>[R U': [R D R', U2]]</t>
  </si>
  <si>
    <t>R U' R D R' U2 R D' R' U' R'</t>
  </si>
  <si>
    <t>[R2 D: [R' U R, D]]</t>
  </si>
  <si>
    <t>R2 D R' U R D R' U' R D2 R2'</t>
  </si>
  <si>
    <t>[U' L' U, R]</t>
  </si>
  <si>
    <t>U' L' U R U' L U R'</t>
  </si>
  <si>
    <t>[U' L' U, R']</t>
  </si>
  <si>
    <t>U' L' U R' U' L U R</t>
  </si>
  <si>
    <t>[U' L' U, R2]</t>
  </si>
  <si>
    <t>U' L' U R2 U' L U R2</t>
  </si>
  <si>
    <t>[L, U R U']</t>
  </si>
  <si>
    <t>L U R U' L' U R' U'</t>
  </si>
  <si>
    <t>[R' U R: [U2, R D R']]</t>
  </si>
  <si>
    <t>R' U R U2 R D R' U2 R D' R2' U' R</t>
  </si>
  <si>
    <t>[L2, U R U']</t>
  </si>
  <si>
    <t>L2 U R U' L2 U R' U'</t>
  </si>
  <si>
    <t>[R2 U: [R' D' R, U]]</t>
  </si>
  <si>
    <t>R2 U R' D' R U R' D R U2 R2</t>
  </si>
  <si>
    <t>[R U: [R' U' R, D]]</t>
  </si>
  <si>
    <t>R U R' U' R D R' U R D' U' R'</t>
  </si>
  <si>
    <t>[D' R U: [R' U' R, D]]</t>
  </si>
  <si>
    <t>D' R U R' U' R D R' U R D' U' R' D</t>
  </si>
  <si>
    <t>[R D R', U]</t>
  </si>
  <si>
    <t>R D R' U R D' R' U'</t>
  </si>
  <si>
    <t>[U': [R D R', U2]]</t>
  </si>
  <si>
    <t>U' R D R' U2 R D' R' U'</t>
  </si>
  <si>
    <t>[U: [U, R D R']]</t>
  </si>
  <si>
    <t>U2 R D R' U' R D' R' U'</t>
  </si>
  <si>
    <t>[F U: [R D R', U2]]</t>
  </si>
  <si>
    <t>F U R D R' U2 R D' R' U F'</t>
  </si>
  <si>
    <t>[D': [R U2 R', D2]]</t>
  </si>
  <si>
    <t>D' R U2 R' D2 R U2 R' D'</t>
  </si>
  <si>
    <t>[R D': [D2, R' U R]]</t>
  </si>
  <si>
    <t>R D R' U R D2 R' U' R D R'</t>
  </si>
  <si>
    <t>[U R U: [R' U' R, D]]</t>
  </si>
  <si>
    <t>U R U R' U' R D R' U R D' U' R' U'</t>
  </si>
  <si>
    <t>[R U: [R' D' R, U]]</t>
  </si>
  <si>
    <t>R U R' D' R U R' D R U2 R'</t>
  </si>
  <si>
    <t>[D', R U2 R']</t>
  </si>
  <si>
    <t>D' R U2 R' D R U2 R'</t>
  </si>
  <si>
    <t>[R D: [R' U R, D]]</t>
  </si>
  <si>
    <t>R D R' U R D R' U' R D2 R'</t>
  </si>
  <si>
    <t>[U R: [D', R U' R']]</t>
  </si>
  <si>
    <t>U R D' R U' R' D R U R2 U'</t>
  </si>
  <si>
    <t>[R', U' L' U]</t>
  </si>
  <si>
    <t>R' U' L' U R U' L U</t>
  </si>
  <si>
    <t>[R': [U' L' U. R']]</t>
  </si>
  <si>
    <t>R' U' L' U R' U' L U R2</t>
  </si>
  <si>
    <t>[D R': [R' D2 R, U2]]</t>
  </si>
  <si>
    <t>D R2' D2 R U2 R' D2 R U2 R D'</t>
  </si>
  <si>
    <t>[D': [R U2 R', D']]</t>
  </si>
  <si>
    <t>D' R U2 R' D' R U2 R' D2</t>
  </si>
  <si>
    <t>[U R': [R' D R, U]]</t>
  </si>
  <si>
    <t>U R2' D R U R' D' R U' R U'</t>
  </si>
  <si>
    <t>[D U' R: [D2, R U' R']]</t>
  </si>
  <si>
    <t>D U' R D2 R U' R' D2 R U R2' U D'</t>
  </si>
  <si>
    <t>[U R': [R' D2 R, U]]</t>
  </si>
  <si>
    <t>U R2' D2 R U R' D2 R U' R U'</t>
  </si>
  <si>
    <t>[U: [R' D' R, U]</t>
  </si>
  <si>
    <t>U R' D' R U R' D R U2</t>
  </si>
  <si>
    <t>[R' D' R, U2]</t>
  </si>
  <si>
    <t>R' D' R U2 R' D R U2</t>
  </si>
  <si>
    <t>[U': [R' D' R, U']]</t>
  </si>
  <si>
    <t>U' R' D' R U' R' D R U2</t>
  </si>
  <si>
    <t>[R' U' R U: [R' D' R, U2]]</t>
  </si>
  <si>
    <t>R' U' R U R' D' R U2 R' D R U R' U R</t>
  </si>
  <si>
    <t>[R U' R': [U', R' D R]]</t>
  </si>
  <si>
    <t>R U' R' U' R' D R U R' D' R2 U R'</t>
  </si>
  <si>
    <t>[D': [D2, R' U R]]</t>
  </si>
  <si>
    <t>D R' U R D2 R' U' R D</t>
  </si>
  <si>
    <t>[U' R U, L]</t>
  </si>
  <si>
    <t>U' R U L U' R' U L'</t>
  </si>
  <si>
    <t>[U2 R': [D, R' U R]]</t>
  </si>
  <si>
    <t>U2 R' D R' U R D' R' U' R2 U2</t>
  </si>
  <si>
    <t>[D: [R' U R, D]]</t>
  </si>
  <si>
    <t>D R' U R D R' U' R D2</t>
  </si>
  <si>
    <t>[U' R' U': [R D R', U']]</t>
  </si>
  <si>
    <t>U' R' U' R D R' U' R D' R' U2 R U</t>
  </si>
  <si>
    <t>[R2, U' L' U]</t>
  </si>
  <si>
    <t>R2 U' L' U R2 U' L U</t>
  </si>
  <si>
    <t>[R': [R', U' L' U]</t>
  </si>
  <si>
    <t>R2 U' L' U R U' L U R</t>
  </si>
  <si>
    <t>[R' U: [U2, R D R']]</t>
  </si>
  <si>
    <t>R' U' R D R' U2 R D' R' U' R</t>
  </si>
  <si>
    <t>[R' D': [R U2 R', D']]</t>
  </si>
  <si>
    <t>R' D' R U2 R' D' R U2 R' D2 R</t>
  </si>
  <si>
    <t>[D, R' U R]</t>
  </si>
  <si>
    <t>D R' U R D' R' U' R</t>
  </si>
  <si>
    <t>[D R D', L2]</t>
  </si>
  <si>
    <t>D R D' Rw2' U R' U' Rw2</t>
  </si>
  <si>
    <t>[D' R': [D2, R' U R]]</t>
  </si>
  <si>
    <t>D' R' D2 R' U R D2 R' U' R2 D</t>
  </si>
  <si>
    <t>[U R2 D: [D2, R' U' R]</t>
  </si>
  <si>
    <t>U R2 D' R' U' R D2 R' U R D' R2 U'</t>
  </si>
  <si>
    <t>[R' D': [U2, R' D R]]</t>
  </si>
  <si>
    <t>R' D' U2 R' D R U2 R' D' R D R</t>
  </si>
  <si>
    <t>[Lw U: [U2, R' D R]]</t>
  </si>
  <si>
    <t>Lw U' R' D R U2 R' D' R U' Lw'</t>
  </si>
  <si>
    <t>[R2 U R' U: [R D R', U2]]</t>
  </si>
  <si>
    <t>R2 U R' U R D R' U2 R D' R' U R U' R2</t>
  </si>
  <si>
    <t>[R': [U2, R' D R]]</t>
  </si>
  <si>
    <t>R' U2 R' D R U2 R' D' R2</t>
  </si>
  <si>
    <t>[R' U: [R D' R', U2]]</t>
  </si>
  <si>
    <t>R' U R D' R' U2 R D R' U R</t>
  </si>
  <si>
    <t>[Lw D U': [R' D' R, U2]]</t>
  </si>
  <si>
    <t>Lw D U' R' D' R U2 R' D R U' D' Lw'</t>
  </si>
  <si>
    <t>[R: [R2' D R2 D' R2', U]]</t>
  </si>
  <si>
    <t>R' D R2 D' R2' U R2 D R2' D' R2 U' R'</t>
  </si>
  <si>
    <t>[D' R': [U2, R' D R]]</t>
  </si>
  <si>
    <t>D' R' U2 R' D R U2 R' D' R2 D</t>
  </si>
  <si>
    <t>[R' D: [U2, R' D' R]]</t>
  </si>
  <si>
    <t>R' D U2 R' D' R U2 R' D R D' R</t>
  </si>
  <si>
    <t>[R': [U2, R' D' R]]</t>
  </si>
  <si>
    <t>R' U2 R' D' R U2 R' D R2</t>
  </si>
  <si>
    <t>[D R': [U2, R' D2 R]]</t>
  </si>
  <si>
    <t>D R' U2 R' D2 R U2 R' D2 R2 D'</t>
  </si>
  <si>
    <t>[R' U: [R D R', U2]]</t>
  </si>
  <si>
    <t>R' U R D R' U2 R D' R' U R</t>
  </si>
  <si>
    <t>[R': [U2, R' D2 R]]</t>
  </si>
  <si>
    <t>R' U2 R' D2 R U2 R' D2 R2</t>
  </si>
  <si>
    <t>[D' R' U: [R D R', U2]]</t>
  </si>
  <si>
    <t>D' R' U R D R' U2 R D' R' U R D</t>
  </si>
  <si>
    <t>[D R' D U': [U2 , R D' R']]</t>
  </si>
  <si>
    <t>D R' D U R D' R' U2 R D R' U D' R D'</t>
  </si>
  <si>
    <t>[R' D U': [U2 , R D' R']]</t>
  </si>
  <si>
    <t>R' D U R D' R' U2 R D R' U D' R</t>
  </si>
  <si>
    <t>[R: [B2, R' D R D']]</t>
  </si>
  <si>
    <t>R B2 R' D R D' B2 D R' D'</t>
  </si>
  <si>
    <t>[D' R: [B2, R' D R D']]</t>
  </si>
  <si>
    <t>D' R B2 R' D R D' B2 D R'</t>
  </si>
  <si>
    <t>[D': [R D R', U]]</t>
  </si>
  <si>
    <t>D' R D R' U R D' R' U' D</t>
  </si>
  <si>
    <t>[U D': [U2, R D R']]</t>
  </si>
  <si>
    <t>U' D' R D R' U2 R D' R' D U'</t>
  </si>
  <si>
    <t>[U' D: [R' D R, U']]</t>
  </si>
  <si>
    <t>U' D R' D R U' R' D' R U2 D'</t>
  </si>
  <si>
    <t>[U R' U': [U2, R D' R']]</t>
  </si>
  <si>
    <t>U R' U R D' R' U2 R D R' U R U'</t>
  </si>
  <si>
    <t>[D: [D, R U2 R']]</t>
  </si>
  <si>
    <t>D2 R U2 R' D' R U2 R' D'</t>
  </si>
  <si>
    <t>[D' U R U: [R' U' R, D]]</t>
  </si>
  <si>
    <t>D' U R U R' U' R D R' U R D' U' R' U' D</t>
  </si>
  <si>
    <t>[R D': [R D R', U]]</t>
  </si>
  <si>
    <t>R D' R D R' U R D' R' U' D R'</t>
  </si>
  <si>
    <t>[D2, R U2 R']</t>
  </si>
  <si>
    <t>D2 R U2 R' D2 R U2 R'</t>
  </si>
  <si>
    <t>[D' R D: [R' U R, D2]]</t>
  </si>
  <si>
    <t>D' R D R' U R D2 R' U' R D R' D</t>
  </si>
  <si>
    <t>[U' D R': [R' D R, U']]</t>
  </si>
  <si>
    <t>U' D R2' D R U' R' D' R U R D' U</t>
  </si>
  <si>
    <t>[U R U', L]</t>
  </si>
  <si>
    <t>U R U' L U R' U' L'</t>
  </si>
  <si>
    <t>[U: [D', R' U' R]]</t>
  </si>
  <si>
    <t>U D' R' U' R D R' U R U'</t>
  </si>
  <si>
    <t>[R' D': [D', R U2 R']]</t>
  </si>
  <si>
    <t>R' D2 R U2 R' D R U2 R' D R</t>
  </si>
  <si>
    <t>[D R': [R' D R, U2]]</t>
  </si>
  <si>
    <t>D R2 D R U2 R' D' R U2 R D'</t>
  </si>
  <si>
    <t>[U R' U', L]</t>
  </si>
  <si>
    <t>U R' U' L U R U' L'</t>
  </si>
  <si>
    <t>[U D' R': [R' D2 R, U]]</t>
  </si>
  <si>
    <t>U D' R2' D2 R U R' D2 R U' R D U'</t>
  </si>
  <si>
    <t>[F D2: [R U2 R', D']]</t>
  </si>
  <si>
    <t>F D2 R U2 R' D' R U2 R' D' F'</t>
  </si>
  <si>
    <t>[R: [D2, R U2 R']]</t>
  </si>
  <si>
    <t>R D2 R U2 R' D2 R U2 R2</t>
  </si>
  <si>
    <t>[D: [R D' R', U]]</t>
  </si>
  <si>
    <t>D R D' R' U R D R' U' D'</t>
  </si>
  <si>
    <t>[D U: [U2, R D' R']]</t>
  </si>
  <si>
    <t>D U' R D' R' U2 R D R' U' D'</t>
  </si>
  <si>
    <t>[D U: [U, R D' R']]</t>
  </si>
  <si>
    <t>D U2 R D' R' U' R D R' U' D'</t>
  </si>
  <si>
    <t>[U' D R: [R D' R', U2]]</t>
  </si>
  <si>
    <t>U' D R2 D' R' U2 R D R' U2 R' D' U</t>
  </si>
  <si>
    <t>[R' U: [U, R' D R]]</t>
  </si>
  <si>
    <t>R' U2 R' D R U' R' D' R U' R</t>
  </si>
  <si>
    <t>[R' U R, D']</t>
  </si>
  <si>
    <t>R' U R D' R' U' R D</t>
  </si>
  <si>
    <t>[L', U R' U']</t>
  </si>
  <si>
    <t>L' U R' U' L U R U'</t>
  </si>
  <si>
    <t>[D R: [R D' R', U]]</t>
  </si>
  <si>
    <t>D R2 D' R' U R D R' U' R' D'</t>
  </si>
  <si>
    <t>[D R D': [R' U R, D2]]</t>
  </si>
  <si>
    <t>D R D' R' U R D2 R' U' R D' R' D'</t>
  </si>
  <si>
    <t>[R' U R, D2]</t>
  </si>
  <si>
    <t>R' U R D2 R' U' R D2</t>
  </si>
  <si>
    <t>[R' U: [U, R' D' R]]</t>
  </si>
  <si>
    <t>R' U2 R' D' R U' R' D R U' R</t>
  </si>
  <si>
    <t>[R' U R: [R D R', U2]]</t>
  </si>
  <si>
    <t>R' U R2 D R' U2 R D' R' U2 R' U' R</t>
  </si>
  <si>
    <t>[R' U R, D]</t>
  </si>
  <si>
    <t>R' U R D R' U' R D'</t>
  </si>
  <si>
    <t>[D' R' U: [U2, R D R']]</t>
  </si>
  <si>
    <t>D' R' U' R D R' U2 R D' R' U' R D</t>
  </si>
  <si>
    <t>[L, U R' U']</t>
  </si>
  <si>
    <t>L U R' U' L' U R U'</t>
  </si>
  <si>
    <t>[L2, U R' U']</t>
  </si>
  <si>
    <t>Rw2 D R' D' Rw2 U R U'</t>
  </si>
  <si>
    <t>[R' D: [U, R D' R']]</t>
  </si>
  <si>
    <t>R' D U R D' R' U' R D R' D' R</t>
  </si>
  <si>
    <t>[R' U: [B2, U' R U R']]</t>
  </si>
  <si>
    <t>R' U B2 U' R U R' B2 R U'</t>
  </si>
  <si>
    <t>[Rw': [L2, D R' D']]</t>
  </si>
  <si>
    <t>Rw U R' U' Rw2' D R D' Rw</t>
  </si>
  <si>
    <t>[R D R' U' D: [R D' R', U2]]</t>
  </si>
  <si>
    <t>R D R' U' D R D' R' U2 R D R' U' D' R D' R'</t>
  </si>
  <si>
    <t>[U R D R': [D', R' U R]]</t>
  </si>
  <si>
    <t>U R D R' D' R' U R D R' U' R2 D' R' U'</t>
  </si>
  <si>
    <t>[U R': [U2, R' D R]]</t>
  </si>
  <si>
    <t>U R' U2 R' D R U2 R' D' R2 U'</t>
  </si>
  <si>
    <t>[D R': [R' U R, D2]]</t>
  </si>
  <si>
    <t>D R2' U R D2 R' U' R D2 R D'</t>
  </si>
  <si>
    <t>[U' D R' U': [D', R U R']]</t>
  </si>
  <si>
    <t>U' D R' U' D' R U R' D R U' R' U R D' U</t>
  </si>
  <si>
    <t>[U R': [U', R' D R]]</t>
  </si>
  <si>
    <t>U R' U' R' D R U R' D' R2 U'</t>
  </si>
  <si>
    <t>[U R' D U: [R U' R' , D2]]</t>
  </si>
  <si>
    <t>U R' U D R U' R' D2 R U R' D U' R U'</t>
  </si>
  <si>
    <t>[D R': [R' U R, D]]</t>
  </si>
  <si>
    <t>D R2 U R D R' U' R D' R D'</t>
  </si>
  <si>
    <t>[U R U', L2]</t>
  </si>
  <si>
    <t>U R U' L2 U R' U' L2</t>
  </si>
  <si>
    <t>[U R': [U, R' D R]]</t>
  </si>
  <si>
    <t>U R' U R' D R U' R' D' R2 U'</t>
  </si>
  <si>
    <t>[L2, D R D']</t>
  </si>
  <si>
    <t>Rw2 U R U' Rw2' D R' D'</t>
  </si>
  <si>
    <t>[D R' D U': [R D' R', U2]]</t>
  </si>
  <si>
    <t>D R' D U' R D' R' U2 R D R' U' D' R D'</t>
  </si>
  <si>
    <t>[U D' R': [U, R' D2 R]]</t>
  </si>
  <si>
    <t>U D' R' U R' D2 R U' R' D2 R2 D U'</t>
  </si>
  <si>
    <t>[U R' U', L2]</t>
  </si>
  <si>
    <t>U R' U' Rw2 D R D' Rw2</t>
  </si>
  <si>
    <t>[R U R': [U', R' D R]]</t>
  </si>
  <si>
    <t>R U R' U' R' D R U R' D' R2 U' R'</t>
  </si>
  <si>
    <t>[D R U R': [R' D2 R, U']]</t>
  </si>
  <si>
    <t>D R U R2' D2 R U' R' D2 R U R U' R' D'</t>
  </si>
  <si>
    <t>[D R U R': [R' D R, U']]</t>
  </si>
  <si>
    <t>D R U R' U' R' D R U R' D' R2 U' R' D'</t>
  </si>
  <si>
    <t>[R' D R: [R D' R', U]]</t>
  </si>
  <si>
    <t>R' D R2 D' R' U R D R' U' R' D' R</t>
  </si>
  <si>
    <t>[R2: [U, R2 D R2 D' R2]]</t>
  </si>
  <si>
    <t>R2 U R2 D R2 D' R2 U' R2 D R2 D'</t>
  </si>
  <si>
    <t>[R' D R U: [U, R D' R']]</t>
  </si>
  <si>
    <t>R' D R U2 R D' R' U' R D R' U' R' D' R</t>
  </si>
  <si>
    <t>[U D' R': [U2, R' D R]]</t>
  </si>
  <si>
    <t>U D' R' U2 R' D R U2 R' D' R2 D U'</t>
  </si>
  <si>
    <t>[R' D R U: [U2, R D' R']</t>
  </si>
  <si>
    <t>R' D R U' R D' R' U2 R D R' U' R' D' R</t>
  </si>
  <si>
    <t>[R': [R' U R, D']]</t>
  </si>
  <si>
    <t>R2' U R D' R' U' R D R</t>
  </si>
  <si>
    <t>[L', U R2 U']</t>
  </si>
  <si>
    <t>L' U R2 U' L U R2 U'</t>
  </si>
  <si>
    <t>[U' R': [R U R U' R', F]]</t>
  </si>
  <si>
    <t>R U' R' F R U R' U' R' F' R U</t>
  </si>
  <si>
    <t>[R': [R' U R, D2]]</t>
  </si>
  <si>
    <t>R2' U R D2 R' U' R D2 R</t>
  </si>
  <si>
    <t>[R': [R' U R, D]]</t>
  </si>
  <si>
    <t>R2' U R D R' U' R D' R</t>
  </si>
  <si>
    <t>[R2 U: [U, R' D' R]]</t>
  </si>
  <si>
    <t>R2 U2 R' D' R U' R' D R U' R2</t>
  </si>
  <si>
    <t>[D U' R: [R U' R', D2]]</t>
  </si>
  <si>
    <t>D U' R2 U' R' D2 R U R' D2 R' U D'</t>
  </si>
  <si>
    <t>[R' D U': [R D' R', U2]]</t>
  </si>
  <si>
    <t>R' D U' R D' R' U2 R D R' U' D' R</t>
  </si>
  <si>
    <t>[F D2: [D', R U2 R']]</t>
  </si>
  <si>
    <t>F D R U2 R' D R U2 R' D2 F'</t>
  </si>
  <si>
    <t>[R' U D': [R' D' R, U]]</t>
  </si>
  <si>
    <t>R' U D' R' D' R U R' D R U2 D R</t>
  </si>
  <si>
    <t>[R U R': [R' D R, U']]</t>
  </si>
  <si>
    <t>R U R2' D R U' R' D' R U R U' R'</t>
  </si>
  <si>
    <t>[D' R U R' [U', R' D R]]</t>
  </si>
  <si>
    <t>D' R U R' U' R' D R U R' D' R2 U' R' D</t>
  </si>
  <si>
    <t>[R U D R': [R' D R, U']]</t>
  </si>
  <si>
    <t>R U D R2' D R U' R' D' R U R D' U' R'</t>
  </si>
  <si>
    <t>[R2 D R2 D' R2, U]</t>
  </si>
  <si>
    <t>R2 D R2 D' R2 U R2 D R2 D' R2 U'</t>
  </si>
  <si>
    <t>[R D' R': [R' D R, U2]]</t>
  </si>
  <si>
    <t>R D' R2 D R U2 R' D' R U2 R D R'</t>
  </si>
  <si>
    <t>[R D' U': [R' D R, U']]</t>
  </si>
  <si>
    <t>R D' U' R' D R U' R' D' R U2 D R'</t>
  </si>
  <si>
    <t>[U' R D' U: [R' D R, U2]]</t>
  </si>
  <si>
    <t>U' R D' U R' D R U2 R' D' R U D R' U</t>
  </si>
  <si>
    <t>[R: [R U2 R', D]]</t>
  </si>
  <si>
    <t>R2 U2 R' D R U2 R' D' R'</t>
  </si>
  <si>
    <t>[R D' R' U: [R' D R, U]]</t>
  </si>
  <si>
    <t>R D' R' U R' D R U R' D' R U2 R D R'</t>
  </si>
  <si>
    <t>[U' F: [D', R U R']]</t>
  </si>
  <si>
    <t>U' F D' R U R' D R U' R' F' U</t>
  </si>
  <si>
    <t>[U' R: [R U' R', D']]</t>
  </si>
  <si>
    <t>U' R2 U' R' D' R U R' D R' U</t>
  </si>
  <si>
    <t>[R D': [R' D R, U2]]</t>
  </si>
  <si>
    <t>R D' R' D R U2 R' D' R U2 D R'</t>
  </si>
  <si>
    <t>[D' R': [R' U R, D']]</t>
  </si>
  <si>
    <t>D' R2' U R D' R' U' R D R D</t>
  </si>
  <si>
    <t>[D' R': [R' U R, D]]</t>
  </si>
  <si>
    <t>D' R2 U R D R' U' R D' R D</t>
  </si>
  <si>
    <t>[R U: [D, R' U' R]]</t>
  </si>
  <si>
    <t>R U D R' U' R D' R' U R U' R'</t>
  </si>
  <si>
    <t>[D' R': [R' U R, D2]]</t>
  </si>
  <si>
    <t>D' R2' U R D2 R' U' R D2 R D</t>
  </si>
  <si>
    <t>[R: [R' D R D', B2]]</t>
  </si>
  <si>
    <t>D R D' B2 D R' D' R B2 R'</t>
  </si>
  <si>
    <t>[R U D': [D2, R' U' R]]</t>
  </si>
  <si>
    <t>R U D R' U' R D2 R' U R D U' R'</t>
  </si>
  <si>
    <t>[D R U R': [U', R' D2 R]]</t>
  </si>
  <si>
    <t>D R U R' U' R' D2 R U R' D2 R2 U' R' D'</t>
  </si>
  <si>
    <t>[R U R' U': [U', R D R']]</t>
  </si>
  <si>
    <t>R U R' U2 R D R' U R D' R' U R U' R'</t>
  </si>
  <si>
    <t>[R U D R': [R' D R, U]]</t>
  </si>
  <si>
    <t>R U D R2' D R U R' D' R U' R D' U' R'</t>
  </si>
  <si>
    <t>[U: [U' R U R', B2]]</t>
  </si>
  <si>
    <t>R U R' B2 R U' R' U B2 U'</t>
  </si>
  <si>
    <t>[R' U' D' R: [R U' R', D]]</t>
  </si>
  <si>
    <t>R' U' D' R2 U' R' D R U R' D' R' D U R</t>
  </si>
  <si>
    <t>[D' R D' U': [R' D R, U']]</t>
  </si>
  <si>
    <t>D' R D' U' R' D R U' R' D' R U2 D R' D</t>
  </si>
  <si>
    <t>[U R': [U2, R' D2 R]]</t>
  </si>
  <si>
    <t>U R' U2 R' D2 R U2 R' D2 R2 U'</t>
  </si>
  <si>
    <t>[D' R U D': [D2, R' U' R]]</t>
  </si>
  <si>
    <t>D' R U D R' U' R D2 R' U R D U' R' D</t>
  </si>
  <si>
    <t>[U2 R U': [D', R' U R]]</t>
  </si>
  <si>
    <t>U2 R U' D' R' U R D R' U' R U R' U2</t>
  </si>
  <si>
    <t>[U D R': [U', R' D R]]</t>
  </si>
  <si>
    <t>U D R' U' R' D R U R' D' R2 D' U'</t>
  </si>
  <si>
    <t>[U D R': [U, R' D R]]</t>
  </si>
  <si>
    <t>U D R' U R' D R U' R' D' R2 D' U'</t>
  </si>
  <si>
    <t>[D: [L2, D R D']]</t>
  </si>
  <si>
    <t>D Rw2 U R U' Rw2 D R' D2</t>
  </si>
  <si>
    <t>[U2 R: [U, R D' R']]</t>
  </si>
  <si>
    <t>U2 R U R D' R' U' R D R2 U2</t>
  </si>
  <si>
    <t>[D' R U: [D, R' U' R]]</t>
  </si>
  <si>
    <t>D' R U D R' U' R D' R' U R U' R' D</t>
  </si>
  <si>
    <t>[U R': [U, R' D2 R]]</t>
  </si>
  <si>
    <t>U R' U R' D2 R U' R' D2 R2 U'</t>
  </si>
  <si>
    <t>[U R2 D: [R' U' R, D2]</t>
  </si>
  <si>
    <t>U R2 D R' U' R D2 R' U R D R2 U'</t>
  </si>
  <si>
    <t>[R D': [B2, D R' D' R]]</t>
  </si>
  <si>
    <t>R D' B2 D R' D' R B2 R' D</t>
  </si>
  <si>
    <t>[R' U: [U' R U R', B2]]</t>
  </si>
  <si>
    <t>U R' B2 R U' R' U B2 U' R</t>
  </si>
  <si>
    <t>[D R U R': [U', R' D R]]</t>
  </si>
  <si>
    <t>[R U D R': [U', R' D R]]</t>
  </si>
  <si>
    <t>R U D R' U' R' D R U R' D' R2 D' U' R'</t>
  </si>
  <si>
    <t>[R U D R': [U, R' D R]]</t>
  </si>
  <si>
    <t>R U D R' U R' D R U' R' D' R2 U' D' R'</t>
  </si>
  <si>
    <t>Corner Twists</t>
  </si>
  <si>
    <t>U' L' U2 L U L' U L R U2 R' U' R U' R' U</t>
  </si>
  <si>
    <t>R U R' U' R U R' U R U' R' U' R U' R' U2 R U' R' U2</t>
  </si>
  <si>
    <t>R U R' U R U2 R' U R U2 R' U' R U R' U' R U' R' U</t>
  </si>
  <si>
    <t>U R U R' U' R U R' U R U' R' U' R U' R' U2 R U' R' U</t>
  </si>
  <si>
    <t>L' U2 L U L' U L R U2 R' U' R U' R'</t>
  </si>
  <si>
    <t>[U R U' R' U R U', L2]</t>
  </si>
  <si>
    <t>U R U' R' U R U' L2 U R' U' R U R' U' L2</t>
  </si>
  <si>
    <t>[U R' U' R U R' U', L2]</t>
  </si>
  <si>
    <t>U R' U' R U R' U' L2 U R U' R' U R U' L2</t>
  </si>
  <si>
    <t>U R' U' R U R' U R U' R' U' R U' R' U2 R U' R' U2 R</t>
  </si>
  <si>
    <t>R' U2 R U R' U2 R U R' U R U R' U' R U' R' U R U'</t>
  </si>
  <si>
    <t>[U R U' R' U R U', L]</t>
  </si>
  <si>
    <t>U R U' R' U R U' L U R' U' R U R' U' L'</t>
  </si>
  <si>
    <t>[U R' U' R U R' U', L]</t>
  </si>
  <si>
    <t>U2 L U L' U L R U2 R' U' R U' R' L'</t>
  </si>
  <si>
    <t>Kappa</t>
  </si>
  <si>
    <t>QTM Per Sticker</t>
  </si>
  <si>
    <t>QTM Per Piece</t>
  </si>
  <si>
    <t>BNA</t>
  </si>
  <si>
    <t>OTW</t>
  </si>
  <si>
    <t>CRM</t>
  </si>
  <si>
    <t>GLU</t>
  </si>
  <si>
    <t>HSE</t>
  </si>
  <si>
    <t>KPV</t>
  </si>
  <si>
    <t>DFI</t>
  </si>
  <si>
    <t>[U2 R: [r2, U R' U']]</t>
  </si>
  <si>
    <t>U2 R' Rw2 U R' U' r2 U R U' R' U2</t>
  </si>
  <si>
    <t>[U' R' U: [U R U', r2]]</t>
  </si>
  <si>
    <t>U' R' U2 R U' r2 U R' U' r2 U' R U</t>
  </si>
  <si>
    <t>[U' R: [U R' U', r2]]</t>
  </si>
  <si>
    <t>U' R U R' U' r2 U R U' Rw2' R U</t>
  </si>
  <si>
    <t>[D: [U' R2 U, l']</t>
  </si>
  <si>
    <t>D U' R2 U l' U' R2 U l D'</t>
  </si>
  <si>
    <t>[Lw' U': [U' r U, L2]]</t>
  </si>
  <si>
    <t>Lw' U2 r U L2 U' r' U L2 U Lw</t>
  </si>
  <si>
    <t>[U' Rw: [U R' U', r]]</t>
  </si>
  <si>
    <t>U' Rw U R' U' r U R U' Rw2' R U</t>
  </si>
  <si>
    <t>[4Uw': [U' r2 U, R]]</t>
  </si>
  <si>
    <t>4Uw' U' r2 U R U' r2 U R' 4Uw</t>
  </si>
  <si>
    <t>[r': [D2, r' U2 r]]</t>
  </si>
  <si>
    <t>r' D2 r' U2 r D2 r' U2 r2</t>
  </si>
  <si>
    <t>[U: [U r2 U', L']]</t>
  </si>
  <si>
    <t>U2 r2 U' L' U r2 U' L U'</t>
  </si>
  <si>
    <t>[U2 Lw U2 Lw' U2, r]</t>
  </si>
  <si>
    <t>U2 Lw U2 Lw' U2 r U2 Lw U2 Lw' U2 r'</t>
  </si>
  <si>
    <t>[U': [U' r2 U, R]]</t>
  </si>
  <si>
    <t>U2 r2 U R U' r2 U R' U</t>
  </si>
  <si>
    <t>[D': [U L2 U', l']]</t>
  </si>
  <si>
    <t>D' U L2 U' l' U L2 U' l D</t>
  </si>
  <si>
    <t>[Uw': [U' r2 U, R']]</t>
  </si>
  <si>
    <t>Uw' U' r2 U R' U' r2 U R Uw</t>
  </si>
  <si>
    <t>[Lw' U R: [U' R' U, r]]</t>
  </si>
  <si>
    <t>Lw' U R U' R' U r U' R U Rw' U' Lw</t>
  </si>
  <si>
    <t>[Lw' U: [U r U', R']]</t>
  </si>
  <si>
    <t>Lw' U2 r U' R' U r' U' R U' Lw</t>
  </si>
  <si>
    <t>[U' Rw': [U R U', r']]</t>
  </si>
  <si>
    <t>U' Rw' U R U' r' U R' U' R' Rw2 U</t>
  </si>
  <si>
    <t>[U': [U' r2 U, R']]</t>
  </si>
  <si>
    <t>U2 r2 U R' U' r2 U R U</t>
  </si>
  <si>
    <t>[D': [U L2 U', l]]</t>
  </si>
  <si>
    <t>D' U L2 U' l U L2 U' l' D</t>
  </si>
  <si>
    <t>[U: [U r2 U', L]]</t>
  </si>
  <si>
    <t>U2 r2 U' L U r2 U' L' U'</t>
  </si>
  <si>
    <t>[Lw' U Lw: [D2, r U r']]</t>
  </si>
  <si>
    <t>Lw' U Lw D2 r U r' D2 r U' r' Lw' U' Lw</t>
  </si>
  <si>
    <t>[U: [U r2 U', L2]]</t>
  </si>
  <si>
    <t>U2 r2 U' L2 U r2 U' L2 U'</t>
  </si>
  <si>
    <t>[U': [U' r2 U, R2]]</t>
  </si>
  <si>
    <t>U2 r2 U R2 U' r2 U R2 U</t>
  </si>
  <si>
    <t>[U2 R: [U R' U', r2]]</t>
  </si>
  <si>
    <t>U2 R U R' U' r2 U R U' Rw2 R U2</t>
  </si>
  <si>
    <t>[U R: [r2, U R' U']]</t>
  </si>
  <si>
    <t>U R' Rw2 U R' U' r2 U R U' R' U'</t>
  </si>
  <si>
    <t>[Rw' U: [r', U R U']]</t>
  </si>
  <si>
    <t>Rw' U r' U R U' r U R' U2 Rw</t>
  </si>
  <si>
    <t>[D': [L2, U r' U']]</t>
  </si>
  <si>
    <t>D' L2 U r' U' L2 U r U' D</t>
  </si>
  <si>
    <t>[Uw: [r2, U R' U']]</t>
  </si>
  <si>
    <t>Uw r2 U R' U' r2 U R U' Uw'</t>
  </si>
  <si>
    <t>[U': [U2 Lw U2 Lw' U2, r]]</t>
  </si>
  <si>
    <t>U Lw U2 Lw' U2 r U2 Lw U2 Lw' U2 r' U</t>
  </si>
  <si>
    <t>[U r': [r2, U L' U']]</t>
  </si>
  <si>
    <t>U r U L' U' r2 U L U' r U'</t>
  </si>
  <si>
    <t>[r': [D2, r' U r]]</t>
  </si>
  <si>
    <t>r' D2 r' U r D2 r' U' r2</t>
  </si>
  <si>
    <t>[U r2 U', L']</t>
  </si>
  <si>
    <t>U r2 U' L' U r2 U' L</t>
  </si>
  <si>
    <t>[x: [U' L U, r]]</t>
  </si>
  <si>
    <t>x U' L U r U' L' U r' x'</t>
  </si>
  <si>
    <t>[U: [r2, U R U']]</t>
  </si>
  <si>
    <t>U r2 U R U' r2 U R' U2</t>
  </si>
  <si>
    <t>[D': [L2, U' l' U]]</t>
  </si>
  <si>
    <t>D' L2 U' l' U L2 U' l U D</t>
  </si>
  <si>
    <t>[Uw: [r2, U' L' U]]</t>
  </si>
  <si>
    <t>Uw r2 U' L' U r2 U' L U Uw'</t>
  </si>
  <si>
    <t>[D': [L2, U r U']]</t>
  </si>
  <si>
    <t>D' L2 U r U' L2 U r' U' D</t>
  </si>
  <si>
    <t>[4Uw: [r2, U R U']]</t>
  </si>
  <si>
    <t>4Uw r2 U R U' r2 U R' U' 4Uw'</t>
  </si>
  <si>
    <t>[r, D' L2 D]</t>
  </si>
  <si>
    <t>r D' L2 D r' D' L2 D</t>
  </si>
  <si>
    <t>[U: [r2, U R' U']]</t>
  </si>
  <si>
    <t>U r2 U R' U' r2 U R U2</t>
  </si>
  <si>
    <t>[U2 Rw: [U R' U', r]]</t>
  </si>
  <si>
    <t>U2 Rw U R' U' r U R U' Rw2 R U2</t>
  </si>
  <si>
    <t>[U r2 U', L]</t>
  </si>
  <si>
    <t>U r2 U' L U r2 U' L'</t>
  </si>
  <si>
    <t>[Lw U2: [r', D' L D]]</t>
  </si>
  <si>
    <t>Lw U2 r' D' L D r D' L' D U2 Lw'</t>
  </si>
  <si>
    <t>[U r2 U', L2]</t>
  </si>
  <si>
    <t>U r2 U' L2 U r2 U' L2</t>
  </si>
  <si>
    <t>[R U: [r2, U R U']]</t>
  </si>
  <si>
    <t>R U r2 U R U' r2 U R' U2 R'</t>
  </si>
  <si>
    <t>[U' R' U: [r2, U R U']]</t>
  </si>
  <si>
    <t>U' R' U r2 U R U' r2 U R' U2 R U</t>
  </si>
  <si>
    <t>[U R: [U R' U', r2]]</t>
  </si>
  <si>
    <t>U R U R' U' r2 U R U' Rw2 R U'</t>
  </si>
  <si>
    <t>[R: [r2, U R' U']]</t>
  </si>
  <si>
    <t>R' Rw2 U R' U' r2 U R U' R'</t>
  </si>
  <si>
    <t>[D': [U' L2 U, r']]</t>
  </si>
  <si>
    <t>D' U' L2 U r' U' L2 U r D</t>
  </si>
  <si>
    <t>[Uw: [U' r2 U, R']]</t>
  </si>
  <si>
    <t>Uw U' r2 U R' U' r2 U R Uw'</t>
  </si>
  <si>
    <t>[4Lw: [r2, U L' U']]</t>
  </si>
  <si>
    <t>3Lw r U L' U' r2 U L U' 4Lw'</t>
  </si>
  <si>
    <t>[r: [U L' U', r2]]</t>
  </si>
  <si>
    <t>r U L' U' r2 U L U' r</t>
  </si>
  <si>
    <t>[Lw2 U2: [U2 Lw U2 Lw' U2, r]]</t>
  </si>
  <si>
    <t>Lw' U2 Lw' U2 r U2 Lw U2 Lw' U2 r' U2 Lw2</t>
  </si>
  <si>
    <t>[r2, U' L' U]</t>
  </si>
  <si>
    <t>r2 U' L' U r2 U' L U</t>
  </si>
  <si>
    <t>[D: [U R2 U', r]]</t>
  </si>
  <si>
    <t>D U R2 U' r U R2 U' r' D'</t>
  </si>
  <si>
    <t>[r2, U R U']</t>
  </si>
  <si>
    <t>r2 U R U' r2 U R' U'</t>
  </si>
  <si>
    <t>[D: [U R2 U', r']]</t>
  </si>
  <si>
    <t>D U R2 U' r' U R2 U' r D'</t>
  </si>
  <si>
    <t>[r: [U' R U, r2]]</t>
  </si>
  <si>
    <t>r U' R U r2 U' R' U r</t>
  </si>
  <si>
    <t>[Rw: [U' R' U, r2]]</t>
  </si>
  <si>
    <t>Rw U' R' U r2 U' R U R2' Rw</t>
  </si>
  <si>
    <t>[r: [U' R' U, r2]]</t>
  </si>
  <si>
    <t>r U' R' U r2 U' R U r</t>
  </si>
  <si>
    <t>[U Rw': [U R U', r']]</t>
  </si>
  <si>
    <t>U Rw' U R U' r' U R' U' Rw2 R' U'</t>
  </si>
  <si>
    <t>[r2, U R' U']</t>
  </si>
  <si>
    <t>r2 U R' U' r2 U R U'</t>
  </si>
  <si>
    <t>[U2: [U2 Lw U2 Lw' U2, r]]</t>
  </si>
  <si>
    <t>Lw U2 Lw' U2 r U2 Lw U2 Lw' U2 r' U2</t>
  </si>
  <si>
    <t>[r2, U' L U]</t>
  </si>
  <si>
    <t>r2 U' L U r2 U' L' U</t>
  </si>
  <si>
    <t>[D' R D: [r2, U R U']]</t>
  </si>
  <si>
    <t>D' R D r2 U R U' r2 U R' U' D' R' D</t>
  </si>
  <si>
    <t>[r2, U' L2 U]</t>
  </si>
  <si>
    <t>r2 U' L2 U r2 U' L2 U</t>
  </si>
  <si>
    <t>[r2, U R2 U']</t>
  </si>
  <si>
    <t>r2 U R2 U' r2 U R2 U'</t>
  </si>
  <si>
    <t>[U' R: [r2, U R' U']]</t>
  </si>
  <si>
    <t>U' R' Rw2 U R' U' r2 U R U' R' U</t>
  </si>
  <si>
    <t>[Rw' U: [U R U', r']]</t>
  </si>
  <si>
    <t>Rw' U2 R U' r' U R' U' r U' Rw</t>
  </si>
  <si>
    <t>[R: [U R' U', r2]]</t>
  </si>
  <si>
    <t>R U R' U' r2 U R U' Rw2' R</t>
  </si>
  <si>
    <t>[D: [R2, U l' U']]</t>
  </si>
  <si>
    <t>D R2 U l' U' R2 U l U' D'</t>
  </si>
  <si>
    <t>[Uw': [r2, U' L' U]]</t>
  </si>
  <si>
    <t>Uw' r2 U' L' U r2 U' L U Uw</t>
  </si>
  <si>
    <t>[D: [R2, U' r U]]</t>
  </si>
  <si>
    <t>D R2 U' r U R2 U' r' U D'</t>
  </si>
  <si>
    <t>[U' r': [r2, U L' U']]</t>
  </si>
  <si>
    <t>U' r U L' U' r2 U L U' r U</t>
  </si>
  <si>
    <t>[Rw2 U: [U l' U', R2]]</t>
  </si>
  <si>
    <t>Rw2 U2 l' U' R2 U l U' R2 U' Rw2</t>
  </si>
  <si>
    <t>[U': [r2, U' L' U]]</t>
  </si>
  <si>
    <t>U' r2 U' L' U r2 U' L U2</t>
  </si>
  <si>
    <t>[Rw: [U R' U', r]]</t>
  </si>
  <si>
    <t>Rw U R' U' r U R U' Rw2' R</t>
  </si>
  <si>
    <t>[U' r2 U, R]</t>
  </si>
  <si>
    <t>U' r2 U R U' r2 U R'</t>
  </si>
  <si>
    <t>[D: [R2, U' r' U]]</t>
  </si>
  <si>
    <t>D R2 U' r' U R2 U' r U D'</t>
  </si>
  <si>
    <t>[Uw': [r2, U R' U']]</t>
  </si>
  <si>
    <t>Uw' r2 U R' U' r2 U R U' Uw</t>
  </si>
  <si>
    <t>[U: [U2 Lw U2 Lw' U2, r]]</t>
  </si>
  <si>
    <t>U' Lw U2 Lw' U2 r U2 Lw U2 Lw' U2 r' U'</t>
  </si>
  <si>
    <t>[U' r: [U' R' U, r2]]</t>
  </si>
  <si>
    <t>U' r U' R' U r2 U' R U r U</t>
  </si>
  <si>
    <t>[r, D R2 D']</t>
  </si>
  <si>
    <t>r D R2 D' r' D R2 D'</t>
  </si>
  <si>
    <t>[U' r2 U, R']</t>
  </si>
  <si>
    <t>U' r2 U R' U' r2 U R</t>
  </si>
  <si>
    <t>[R2: [r U2 r', D']]</t>
  </si>
  <si>
    <t>R Rw U2 r' D' r U2 r' D R2</t>
  </si>
  <si>
    <t>[U': [r2, U' L U]]</t>
  </si>
  <si>
    <t>U' r2 U' L U r2 U' L' U2</t>
  </si>
  <si>
    <t>[Rw2 D' [U R2 U', r2]]</t>
  </si>
  <si>
    <t>Rw2 D' U R2 U' r2 U R2 U' r2 D Rw2</t>
  </si>
  <si>
    <t>[U': [r2, U' L2 U]]</t>
  </si>
  <si>
    <t>U' r2 U' L2 U r2 U' L2 U2</t>
  </si>
  <si>
    <t>[U' r2 U, R2]</t>
  </si>
  <si>
    <t>U' r2 U R2 U' r2 U R2</t>
  </si>
  <si>
    <t>[D: [l', U' R2 U]</t>
  </si>
  <si>
    <t>D l' U' R2 U l U' R2 U D'</t>
  </si>
  <si>
    <t>[D': [U r' U', L2]]</t>
  </si>
  <si>
    <t>D' U r' U' L2 U r U' L2 D</t>
  </si>
  <si>
    <t>[D': [r', U' L2 U]]</t>
  </si>
  <si>
    <t>D' r' U' L2 U r U' L2 U D</t>
  </si>
  <si>
    <t>[D: [U l' U', R2]]</t>
  </si>
  <si>
    <t>D U l' U' R2 U l U' R2 D'</t>
  </si>
  <si>
    <t>[L: [L, U' r U]]</t>
  </si>
  <si>
    <t>L2 U' r U L' U' r' U L'</t>
  </si>
  <si>
    <t>[L2, U' r U]</t>
  </si>
  <si>
    <t>L2 U' r U L2 U' r' U</t>
  </si>
  <si>
    <t>[L': [L', U' r U]]</t>
  </si>
  <si>
    <t>L2 U' r U L U' r' U L</t>
  </si>
  <si>
    <t>[Lw2: [U, l' D2 l]]</t>
  </si>
  <si>
    <t>Lw2 U l' D2 l U' l' D2 Lw2 l'</t>
  </si>
  <si>
    <t>[D' L': [U r' U', L']]</t>
  </si>
  <si>
    <t>D' L' U r' U' L' U r U' L2 D</t>
  </si>
  <si>
    <t>[U L2 U', r]</t>
  </si>
  <si>
    <t>U L2 U' r U L2 U' r'</t>
  </si>
  <si>
    <t>[D R: [U l' U', R]]</t>
  </si>
  <si>
    <t>D R U l' U' R U l U' R2 D'</t>
  </si>
  <si>
    <t>[R2 U: [U L2 U', r]]</t>
  </si>
  <si>
    <t>R2 U2 L2 U' r U L2 U' r' U' R2</t>
  </si>
  <si>
    <t>[R U: [U L2 U', r]]</t>
  </si>
  <si>
    <t>R U2 L2 U' r U L2 U' r' U' R'</t>
  </si>
  <si>
    <t>[U: [U L2 U', r]]</t>
  </si>
  <si>
    <t>U2 L2 U' r U L2 U' r' U'</t>
  </si>
  <si>
    <t>[R' U: [U L2 U', r]]</t>
  </si>
  <si>
    <t>R' U2 L2 U' r U L2 U' r' U' R</t>
  </si>
  <si>
    <t>[x: [U L' U', r]]</t>
  </si>
  <si>
    <t>x U L' U' r U L U' r' x'</t>
  </si>
  <si>
    <t>[Rw': [r' U' r, D']]</t>
  </si>
  <si>
    <t>R Rw2' U' r D' r' U r D Rw</t>
  </si>
  <si>
    <t>[U': [L2, U' r U]]</t>
  </si>
  <si>
    <t>U' L2 U' r U L2 U' r' U2</t>
  </si>
  <si>
    <t>[D' L: [U r' U', L]]</t>
  </si>
  <si>
    <t>D' L U r' U' L U r U' L2 D</t>
  </si>
  <si>
    <t>[L2: [D2, r U' r']]</t>
  </si>
  <si>
    <t>L2 D2 r U' r' D2 r U r' L2</t>
  </si>
  <si>
    <t>[L' Uw L: [L2, U' r U]]</t>
  </si>
  <si>
    <t>L' Uw L' U' r U L2 U' r' U L' Uw' L</t>
  </si>
  <si>
    <t>[L2: [D', r U' r']]</t>
  </si>
  <si>
    <t>L2 D' r U' r' D r U r' L2</t>
  </si>
  <si>
    <t>[Lw' U': [L2, U' r U]]</t>
  </si>
  <si>
    <t>Lw' U' L2 U' r U L2 U' r' U2 Lw</t>
  </si>
  <si>
    <t>[Uw: [U R' U', r2]]</t>
  </si>
  <si>
    <t>Uw U R' U' r2 U R U' r2 Uw'</t>
  </si>
  <si>
    <t>[Uw: [R', U' r2 U]]</t>
  </si>
  <si>
    <t>Uw R' U' r2 U R U' r2 U Uw'</t>
  </si>
  <si>
    <t>[Uw': [U' L' U, r2]]</t>
  </si>
  <si>
    <t>Uw' U' L' U r2 U' L U r2 Uw</t>
  </si>
  <si>
    <t>[L: [U' r U, L]]</t>
  </si>
  <si>
    <t>L U' r U L U' r' U L2</t>
  </si>
  <si>
    <t>[L, U' r U]</t>
  </si>
  <si>
    <t>L U' r U L' U' r' U</t>
  </si>
  <si>
    <t>[L: [U' r U, L2]]</t>
  </si>
  <si>
    <t>L U' r U L2 U' r' U L</t>
  </si>
  <si>
    <t>[Lw2 U': [L', U' r U]]</t>
  </si>
  <si>
    <t>Lw2 U' L' U' r U L U' r' U2 Lw2</t>
  </si>
  <si>
    <t>[z: [r', U L' U']]</t>
  </si>
  <si>
    <t>z r' U L' U' r U L U' z'</t>
  </si>
  <si>
    <t>[U L U', r]</t>
  </si>
  <si>
    <t>U L U' r U L' U' r'</t>
  </si>
  <si>
    <t>[R Uw': [U' L' U, r2]]</t>
  </si>
  <si>
    <t>R Uw' U' L' U r2 U' L U r2 Uw R'</t>
  </si>
  <si>
    <t>[L U': [r, U' R2 U]]</t>
  </si>
  <si>
    <t>L U' r U' R2 U r' U' R2 U2 L'</t>
  </si>
  <si>
    <t>[L U': [r, U' R U]]</t>
  </si>
  <si>
    <t>L U' r U' R U r' U' R' U2 L'</t>
  </si>
  <si>
    <t>[U: [U L U', r]]</t>
  </si>
  <si>
    <t>U2 L U' r U L' U' r' U'</t>
  </si>
  <si>
    <t>[L U': [r, U' R' U]]</t>
  </si>
  <si>
    <t>L U' r U' R' U r' U' R U2 L'</t>
  </si>
  <si>
    <t>[D L' D', r']</t>
  </si>
  <si>
    <t>D L' D' r' D L D' r</t>
  </si>
  <si>
    <t>[z': [l, U R U']]</t>
  </si>
  <si>
    <t>z' l U R U' l' U R' U' z</t>
  </si>
  <si>
    <t>[U': [L, U' r U]]</t>
  </si>
  <si>
    <t>U' L U' r U L' U' r' U2</t>
  </si>
  <si>
    <t>[Uw' L' : [U r2 U', L2]]</t>
  </si>
  <si>
    <t>Uw' L' U r2 U' L2 U r2 U' L' Uw</t>
  </si>
  <si>
    <t>[L: [D2, r U' r']]</t>
  </si>
  <si>
    <t>L D2 r U' r' D2 r U r' L'</t>
  </si>
  <si>
    <t>[Uw' L': [U r2 U', L']]</t>
  </si>
  <si>
    <t>Uw' L' U r2 U' L' U r2 U' L2 Uw</t>
  </si>
  <si>
    <t>[z': [U' l U, R]]</t>
  </si>
  <si>
    <t>z' U' l U R U' l' U R' z</t>
  </si>
  <si>
    <t>[U' Rw: [r, U R' U']]</t>
  </si>
  <si>
    <t>U' R' Rw2 U R' U' r' U R U' Rw' U</t>
  </si>
  <si>
    <t>[U': [r, U2 Lw U2 Lw' U2]]</t>
  </si>
  <si>
    <t>U' r U2 Lw U2 Lw' U2 r' U2 Lw U2 Lw' U'</t>
  </si>
  <si>
    <t>[4Lw: [U L' U', r2]]</t>
  </si>
  <si>
    <t>4Lw U L' U' r2 U L U' 4Lw 3Lw2'</t>
  </si>
  <si>
    <t>[D: [U' r U, R2]]</t>
  </si>
  <si>
    <t>D U' r U R2 U' r' U R2 D'</t>
  </si>
  <si>
    <t>[U' r U, L2]</t>
  </si>
  <si>
    <t>U' r U L2 U' r' U L2</t>
  </si>
  <si>
    <t>[U' r U, L]</t>
  </si>
  <si>
    <t>U' r U L U' r' U L'</t>
  </si>
  <si>
    <t>[U' r U, L']</t>
  </si>
  <si>
    <t>U' r U L' U' r' U L</t>
  </si>
  <si>
    <t>[U' Lw': [r, U2 Lw U2 Lw' U2]]</t>
  </si>
  <si>
    <t>U' 4Lw' U2 Lw U2 Lw' U2 r' U2 Lw U2 Lw' U2 3Lw U</t>
  </si>
  <si>
    <t>[Uw': [r, U' R U]]</t>
  </si>
  <si>
    <t>Uw' r U' R U r' U' R' U Uw</t>
  </si>
  <si>
    <t>[3Lw': [U L U', r]]</t>
  </si>
  <si>
    <t>3Lw' U L U' r U L' U' 4Lw</t>
  </si>
  <si>
    <t>[U': [D R' D', r']]</t>
  </si>
  <si>
    <t>U' D R' D' r' D R D' r U</t>
  </si>
  <si>
    <t>[U': [r, U' R2 U]]</t>
  </si>
  <si>
    <t>U' r U' R2 U r' U' R2 U2</t>
  </si>
  <si>
    <t>[U': [r, U' R U]]</t>
  </si>
  <si>
    <t>U' r U' R U r' U' R' U2</t>
  </si>
  <si>
    <t>[R U': [r, U' R' U]]</t>
  </si>
  <si>
    <t>R U' r U' R' U r' U' R U2 R'</t>
  </si>
  <si>
    <t>[U': [r, U' R' U]]</t>
  </si>
  <si>
    <t>U' r U' R' U r' U' R U2</t>
  </si>
  <si>
    <t>[D L2 D', r']</t>
  </si>
  <si>
    <t>D L2 D' r' D L2 D' r</t>
  </si>
  <si>
    <t>[Uw': [r, U L U']]</t>
  </si>
  <si>
    <t>Uw' r U L U' r' U L' U' Uw</t>
  </si>
  <si>
    <t>[U, l' D2 l]</t>
  </si>
  <si>
    <t>U l' D2 l U' l' D2 l</t>
  </si>
  <si>
    <t>[4Uw': [r, U L' U']]</t>
  </si>
  <si>
    <t>4Uw' r U L' U' r' U L U' 4Uw</t>
  </si>
  <si>
    <t>[D2, r U' r']</t>
  </si>
  <si>
    <t>D2 r U' r' D2 r U r'</t>
  </si>
  <si>
    <t>[D, r U' r']</t>
  </si>
  <si>
    <t>D r U' r' D' r U r'</t>
  </si>
  <si>
    <t>[D', r U' r']</t>
  </si>
  <si>
    <t>D' r U' r' D r U r'</t>
  </si>
  <si>
    <t>[4Uw': [R, U' r2 U]]</t>
  </si>
  <si>
    <t>4Uw' R U' r2 U R' U' r2 U 4Uw</t>
  </si>
  <si>
    <t>[U r': [U L' U', r2]]</t>
  </si>
  <si>
    <t>U r' U L' U' r2 U L U' r' U'</t>
  </si>
  <si>
    <t>[r: [r2, U L' U']]</t>
  </si>
  <si>
    <t>r' U L' U' r2 U L U' r'</t>
  </si>
  <si>
    <t>[U' r': [U L' U', r2]]</t>
  </si>
  <si>
    <t>U' r' U L' U' r2 U L U' r' U</t>
  </si>
  <si>
    <t>[L': [U' r U, L']]</t>
  </si>
  <si>
    <t>L' U' r U L' U' r' U L2</t>
  </si>
  <si>
    <t>[L: [L2, U' r U]]</t>
  </si>
  <si>
    <t>L' U' r U L2 U' r' U L'</t>
  </si>
  <si>
    <t>[L', U' r U]</t>
  </si>
  <si>
    <t>L' U' r U L U' r' U</t>
  </si>
  <si>
    <t>[Lw2 U': [L, U' r U]]</t>
  </si>
  <si>
    <t>Lw2 U' L U' r U L' U' r' U2 Lw2</t>
  </si>
  <si>
    <t>[Uw L : [L2, U' r U]]</t>
  </si>
  <si>
    <t>Uw L' U' r U L2 U' r' U L' Uw'</t>
  </si>
  <si>
    <t>[U L' U', r]</t>
  </si>
  <si>
    <t>U L' U' r U L U' r'</t>
  </si>
  <si>
    <t>[z': [r, U' R U]]</t>
  </si>
  <si>
    <t>z' r U' R U r' U' R' U z</t>
  </si>
  <si>
    <t>[R2 U: [U L' U', r]]</t>
  </si>
  <si>
    <t>R2 U2 L' U' r U L U' r' U' R2</t>
  </si>
  <si>
    <t>[R U: [U L' U', r]]</t>
  </si>
  <si>
    <t>R U2 L' U' r U L U' r' U' R'</t>
  </si>
  <si>
    <t>[U: [U L' U', r]]</t>
  </si>
  <si>
    <t>U2 L' U' r U L U' r' U'</t>
  </si>
  <si>
    <t>[R' U: [U L' U', r]]</t>
  </si>
  <si>
    <t>R' U2 L' U' r U L U' r' U' R</t>
  </si>
  <si>
    <t>[D L D', r']</t>
  </si>
  <si>
    <t>D L D' r' D L' D' r</t>
  </si>
  <si>
    <t>[x: [r' D' r, U']]</t>
  </si>
  <si>
    <t>x r' D' r U' r' D r U x'</t>
  </si>
  <si>
    <t>[U': [L', U' r U]]</t>
  </si>
  <si>
    <t>U' L' U' r U L U' r' U2</t>
  </si>
  <si>
    <t>[z: [U' L' U, l']]</t>
  </si>
  <si>
    <t>z U' L' U l' U' L U l z'</t>
  </si>
  <si>
    <t>[L': [D2, r U' r']]</t>
  </si>
  <si>
    <t>L' D2 r U' r' D2 r U r' L</t>
  </si>
  <si>
    <t>[L' Uw': [r, U' R U]]</t>
  </si>
  <si>
    <t>L' Uw' r U' R U r' U' R' U Uw L</t>
  </si>
  <si>
    <t>[z': [U r U', R]]</t>
  </si>
  <si>
    <t>z' U r U' R U r' U' R' z</t>
  </si>
  <si>
    <t>[r': [r' U2 r, D2]]</t>
  </si>
  <si>
    <t>r2 U2 r D2 r' U2 r D2 r</t>
  </si>
  <si>
    <t>[r': [r' U r, D2]]</t>
  </si>
  <si>
    <t>r2 U r D2 r' U' r D2 r</t>
  </si>
  <si>
    <t>[Lw2 U2: [r, U2 Lw U2 Lw' U2]]</t>
  </si>
  <si>
    <t>Lw2 U2 r U2 Lw U2 Lw' U2 r' U2 Lw U2 Lw</t>
  </si>
  <si>
    <t>[Rw2 U: [R2, U l' U']]</t>
  </si>
  <si>
    <t>Rw2 U R2 U l' U' R2 U l U2 Rw2</t>
  </si>
  <si>
    <t>[Lw2: [l' D2 l, U]]</t>
  </si>
  <si>
    <t>Lw2 l' D2 l U l' D2 l U' Lw2</t>
  </si>
  <si>
    <t>[Lw2 U': [U' r U, L']]</t>
  </si>
  <si>
    <t>Lw2 U2 r U L' U' r' U L U Lw2</t>
  </si>
  <si>
    <t>[U' Lw': [U2 Lw U2 Lw' U2, r]]</t>
  </si>
  <si>
    <t>U' Lw' U2 Lw U2 Lw' U2 r U2 Lw U2 Lw' U2 4Lw U</t>
  </si>
  <si>
    <t>[Lw2 U': [U' r U, L]]</t>
  </si>
  <si>
    <t>Lw2 U2 r U L U' r' U L' U Lw2</t>
  </si>
  <si>
    <t>[l' U: [U r2 U', L']]</t>
  </si>
  <si>
    <t>l' U2 r2 U' L' U r2 U' L U' l</t>
  </si>
  <si>
    <t>[Lw': [U2 Lw U2 Lw' U2, r]]</t>
  </si>
  <si>
    <t>3Lw' U2 Lw U2 Lw' U2 r U2 Lw U2 Lw' U2 4Lw</t>
  </si>
  <si>
    <t>[Lw' U': [U' r2 U, R]]</t>
  </si>
  <si>
    <t>Lw' U2 r2 U R U' r2 U R' U Lw</t>
  </si>
  <si>
    <t>[Rw U': [R, U' l2 U]]</t>
  </si>
  <si>
    <t>Rw U' R U' l2 U R' U' l2 U2 Rw'</t>
  </si>
  <si>
    <t>[Lw2 U: [R, U r U']]</t>
  </si>
  <si>
    <t>Lw2 U R U r U' R' U r' U2 Lw2</t>
  </si>
  <si>
    <t>[Rw U': [R', U' l2 U]]</t>
  </si>
  <si>
    <t>Rw U' R' U' l2 U R U' l2 U2 Rw'</t>
  </si>
  <si>
    <t>[Rw U': [R2, U' l2 U]]</t>
  </si>
  <si>
    <t>Rw U' R2 U' l2 U R2 U' l2 U2 Rw'</t>
  </si>
  <si>
    <t>[r': [l' U2 l, D2]]</t>
  </si>
  <si>
    <t>r' l' U2 l D2 l' U2 l D2 r</t>
  </si>
  <si>
    <t>[Rw': [r' U' r, D2]]</t>
  </si>
  <si>
    <t>Rw2' R U' r D2 r' U r D2 Rw</t>
  </si>
  <si>
    <t>[U Lw: [r U r', D2]]</t>
  </si>
  <si>
    <t>U 3Lw2 4Lw' U r' D2 r U' r' D2 3Lw' U'</t>
  </si>
  <si>
    <t>[Lw' U: [U r2 U', L2]]</t>
  </si>
  <si>
    <t>Lw' U2 r2 U' L2 U r2 U' L2 U' Lw</t>
  </si>
  <si>
    <t>[l: [D2, r U2 r']]</t>
  </si>
  <si>
    <t>l D2 r U2 r' D2 r U2 r' l'</t>
  </si>
  <si>
    <t>[Lw' U: [U r2 U', L']]</t>
  </si>
  <si>
    <t>Lw' U2 r2 U' L' U r2 U' L U' Lw</t>
  </si>
  <si>
    <t>[Rw2: [U', r D2 r']]</t>
  </si>
  <si>
    <t>Rw2 U' r D2 r' U r D2 Rw R</t>
  </si>
  <si>
    <t>[U2: [U' L' U, r2]]</t>
  </si>
  <si>
    <t>U L' U r2 U' L U r2 U2</t>
  </si>
  <si>
    <t>[L', U r2 U']</t>
  </si>
  <si>
    <t>L' U r2 U' L U r2 U'</t>
  </si>
  <si>
    <t>[U' L' U, r2]</t>
  </si>
  <si>
    <t>U' L' U r2 U' L U r2</t>
  </si>
  <si>
    <t>[U': [U' L' U, r2]]</t>
  </si>
  <si>
    <t>U2 L' U r2 U' L U r2 U</t>
  </si>
  <si>
    <t>[D' L': [L', U r' U']]</t>
  </si>
  <si>
    <t>D' L2 U r' U' L U r U' L D</t>
  </si>
  <si>
    <t>[z: [U L' U', r']]</t>
  </si>
  <si>
    <t>z U L' U' r' U L U' r z'</t>
  </si>
  <si>
    <t>[Uw': [U' R U, r]]</t>
  </si>
  <si>
    <t>Uw' U' R U r U' R' U r' Uw</t>
  </si>
  <si>
    <t>[Uw L : [U' r U, L2]]</t>
  </si>
  <si>
    <t>Uw L U' r U L2 U' r' U L Uw'</t>
  </si>
  <si>
    <t>[l' U: [L', U r2 U']]</t>
  </si>
  <si>
    <t>l' U L' U r2 U' L U r2 U2 l</t>
  </si>
  <si>
    <t>[Uw': [R, U r U']]</t>
  </si>
  <si>
    <t>Uw' R U r U' R' U r' u</t>
  </si>
  <si>
    <t>[R U': [U' L' U, r2]]</t>
  </si>
  <si>
    <t>R U2 L' U r2 U' L U r2 U R'</t>
  </si>
  <si>
    <t>[R2 Uw: [U L U', r]]</t>
  </si>
  <si>
    <t>R2 Uw U L U' r U L' U' r' Uw' R2</t>
  </si>
  <si>
    <t>[z: [U L' U', r]]</t>
  </si>
  <si>
    <t>z U L' U' r U L U' r' z'</t>
  </si>
  <si>
    <t>[Uw: [U L U', r]]</t>
  </si>
  <si>
    <t>Uw U L U' r U L' U' r' Uw'</t>
  </si>
  <si>
    <t>[R' Uw: [U L U', r]]</t>
  </si>
  <si>
    <t>R' Uw U L U' r U L' U' r' Uw' R</t>
  </si>
  <si>
    <t>[D' L D, r]</t>
  </si>
  <si>
    <t>D' L D r D' L' D r'</t>
  </si>
  <si>
    <t>[z: [U L' U', r2]]</t>
  </si>
  <si>
    <t>z U L' U' r2 U L U' r2 z'</t>
  </si>
  <si>
    <t>[U2: [r', D' L D]]</t>
  </si>
  <si>
    <t>U2 r' D' L D r D' L' D U2</t>
  </si>
  <si>
    <t>[L': [U r2 U', L2]]</t>
  </si>
  <si>
    <t>L' U r2 U' L2 U r2 U' L'</t>
  </si>
  <si>
    <t>[Lw: [r U2 r', D]]</t>
  </si>
  <si>
    <t>3Lw2 4Lw' U2 r' D r U2 r' D' Lw'</t>
  </si>
  <si>
    <t>[L': [U r2 U', L']]</t>
  </si>
  <si>
    <t>L' U r2 U' L' U r2 U' L2</t>
  </si>
  <si>
    <t>[L' U: [r2, U R2 U']]</t>
  </si>
  <si>
    <t>L' U r2 U R2 U' r2 U R2 U2 L</t>
  </si>
  <si>
    <t>[r, U2 Lw U2 Lw' U2]</t>
  </si>
  <si>
    <t>r U2 Lw U2 Lw' U2 r' U2 Lw U2 Lw' U2</t>
  </si>
  <si>
    <t>[x: [r, U' L U]]</t>
  </si>
  <si>
    <t>x r U' L U r' U' L' U x'</t>
  </si>
  <si>
    <t>[D: [r, U R2 U']]</t>
  </si>
  <si>
    <t>D r U R2 U' r' U R2 U' D'</t>
  </si>
  <si>
    <t>[Rw: [r, U R' U']]</t>
  </si>
  <si>
    <t>R' Rw2 U R' U' r' U R U' Rw'</t>
  </si>
  <si>
    <t>[r, U L2 U']</t>
  </si>
  <si>
    <t>r U L2 U' r' U L2 U'</t>
  </si>
  <si>
    <t>[r, U L U']</t>
  </si>
  <si>
    <t>r U L U' r' U L' U'</t>
  </si>
  <si>
    <t>[3Lw': [r, U L U']]</t>
  </si>
  <si>
    <t>4Lw' U L U' r' U L' U' 3Lw</t>
  </si>
  <si>
    <t>[r, U L' U']</t>
  </si>
  <si>
    <t>r U L' U' r' U L U'</t>
  </si>
  <si>
    <t>[Lw': [r, U2 Lw U2 Lw' U2]]</t>
  </si>
  <si>
    <t>4Lw' U2 Lw U2 Lw' U2 r' U2 Lw U2 Lw' U2 3Lw</t>
  </si>
  <si>
    <t>[Uw': [U r U', R]]</t>
  </si>
  <si>
    <t>Uw' U r U' R U r' U' R' Uw</t>
  </si>
  <si>
    <t>[r: [r, U R U']]</t>
  </si>
  <si>
    <t>r2 U R U' r' U R' U' r'</t>
  </si>
  <si>
    <t>[r, U' R2 U]</t>
  </si>
  <si>
    <t>r U' R2 U r' U' R2 U</t>
  </si>
  <si>
    <t>[r, U' R U]</t>
  </si>
  <si>
    <t>r U' R U r' U' R' U</t>
  </si>
  <si>
    <t>[R: [r, U' R' U]]</t>
  </si>
  <si>
    <t>Rw U' R' U r' U' R U R'</t>
  </si>
  <si>
    <t>[r, U' R' U]</t>
  </si>
  <si>
    <t>r U' R' U r' U' R U</t>
  </si>
  <si>
    <t>[U' Rw: [U' R' U, r]]</t>
  </si>
  <si>
    <t>U' Rw U' R' U r U' R U Rw2' R U</t>
  </si>
  <si>
    <t>[r : [r, U R' U']]</t>
  </si>
  <si>
    <t>r2 U R' U' r' U R U' r'</t>
  </si>
  <si>
    <t>[U2, l' D2 l]</t>
  </si>
  <si>
    <t>U2 l' D2 l U2 l' D2 l</t>
  </si>
  <si>
    <t>[D' L' D, r']</t>
  </si>
  <si>
    <t>D' L' D r' D' L D r</t>
  </si>
  <si>
    <t>[l U2 l', D2]</t>
  </si>
  <si>
    <t>l U2 l' D2 l U2 l' D2</t>
  </si>
  <si>
    <t>[x: [r, U' L' U]]</t>
  </si>
  <si>
    <t>x r U' L' U r' U' L U x'</t>
  </si>
  <si>
    <t>[Rw: [r, U R U']]</t>
  </si>
  <si>
    <t>R' Rw2 U R U' r' U R' U' Rw'</t>
  </si>
  <si>
    <t>[U': [R, U' r2 U]]</t>
  </si>
  <si>
    <t>U' R U' r2 U R' U' r2 U2</t>
  </si>
  <si>
    <t>[U: [U R U', r2]]</t>
  </si>
  <si>
    <t>U2 R U' r2 U R' U' r2 U'</t>
  </si>
  <si>
    <t>[U R U', r2]</t>
  </si>
  <si>
    <t>U R U' r2 U R' U' r2</t>
  </si>
  <si>
    <t>[R, U' r2 U]</t>
  </si>
  <si>
    <t>R U' r2 U R' U' r2 U</t>
  </si>
  <si>
    <t>[D R: [R, U l' U']]</t>
  </si>
  <si>
    <t>D R2 U l' U' R' U l U' R' D'</t>
  </si>
  <si>
    <t>[R Uw': [r2, U' L' U]]</t>
  </si>
  <si>
    <t>R Uw' r2 U' L' U r2 U' L U Uw R'</t>
  </si>
  <si>
    <t>[U': [r', D R' D']]</t>
  </si>
  <si>
    <t>U' r' D R' D' r D R D' U</t>
  </si>
  <si>
    <t>[z': [U' R U, r]]</t>
  </si>
  <si>
    <t>z' U' R U r U' R' U r' z</t>
  </si>
  <si>
    <t>[Lw' U': [R, U' r2 U]]</t>
  </si>
  <si>
    <t>Lw' U' R U' r2 U R' U' r2 U2 Lw</t>
  </si>
  <si>
    <t>[R U': [r2, U' L' U]]</t>
  </si>
  <si>
    <t>R U' r2 U' L' U r2 U' L U2 R'</t>
  </si>
  <si>
    <t>[r: [U R U', r]]</t>
  </si>
  <si>
    <t>r U R U' r U R' U' r2</t>
  </si>
  <si>
    <t>[R Uw': [r2, U R' U']]</t>
  </si>
  <si>
    <t>R Uw' r2 U R' U' r2 U R U' Uw R'</t>
  </si>
  <si>
    <t>[Uw' R: [U' r2 U, R2]]</t>
  </si>
  <si>
    <t>Uw' R U' r2 U R2 U' r2 U R Uw</t>
  </si>
  <si>
    <t>[U r: [U R U', r]]</t>
  </si>
  <si>
    <t>U r U R U' r U R' U' r2 U'</t>
  </si>
  <si>
    <t>[z': [U' R U, r']]</t>
  </si>
  <si>
    <t>z' U' R U r' U' R' U r z</t>
  </si>
  <si>
    <t>[D R' D', r]</t>
  </si>
  <si>
    <t>D R' D' r D R D' r'</t>
  </si>
  <si>
    <t>[Rw': [U' r' U, R2]]</t>
  </si>
  <si>
    <t>Rw' U' r' U R2 U' r U R2' Rw</t>
  </si>
  <si>
    <t>[R': [r U2 r', D']]</t>
  </si>
  <si>
    <t>R2' Rw U2 r' D' r U2 r' D R</t>
  </si>
  <si>
    <t>[z': [U' R U, r2]]</t>
  </si>
  <si>
    <t>z' U' R U r2 U' R' U r2 z</t>
  </si>
  <si>
    <t>[Rw2 U: [U l2 U', R']]</t>
  </si>
  <si>
    <t>Rw2 U2 l2 U' R' U l2 U' R U' Rw2</t>
  </si>
  <si>
    <t>[R U': [r2, U' L2 U]]</t>
  </si>
  <si>
    <t>R U' r2 U' L2 U r2 U' L2 U2 R'</t>
  </si>
  <si>
    <t>[R: [U' r2 U, R]]</t>
  </si>
  <si>
    <t>R U' r2 U R U' r2 U R2</t>
  </si>
  <si>
    <t>[D': [l', U L2 U']]</t>
  </si>
  <si>
    <t>D' l' U L2 U' l U L2 U' D</t>
  </si>
  <si>
    <t>[D': [U' l' U, L2]]</t>
  </si>
  <si>
    <t>D' U' l' U L2 U' l U L2 D</t>
  </si>
  <si>
    <t>[D: [r', U R2 U']]</t>
  </si>
  <si>
    <t>D r' U R2 U' r U R2 U' D'</t>
  </si>
  <si>
    <t>[D: [U' r' U, R2]]</t>
  </si>
  <si>
    <t>D U' r' U R2 U' r U R2 D'</t>
  </si>
  <si>
    <t>[R2 U: [r, U L2 U']]</t>
  </si>
  <si>
    <t>R2 U r U L2 U' r' U L2 U2 R2</t>
  </si>
  <si>
    <t>[L U': [U' R2 U, r]]</t>
  </si>
  <si>
    <t>L U2 R2 U r U' R2 U r' U L'</t>
  </si>
  <si>
    <t>[U': [U' R2 U, r]]</t>
  </si>
  <si>
    <t>U2 R2 U r U' R2 U r' U</t>
  </si>
  <si>
    <t>[R2 U: [r, U L' U']]</t>
  </si>
  <si>
    <t>R2 U r U L' U' r' U L U2 R2</t>
  </si>
  <si>
    <t>[Rw U': [U' l2 U, R]]</t>
  </si>
  <si>
    <t>Rw U2 l2 U R U' l2 U R' U Rw'</t>
  </si>
  <si>
    <t>[R2 Uw: [r, U L U']]</t>
  </si>
  <si>
    <t>R2 Uw r U L U' r' U L' U' Uw' R2</t>
  </si>
  <si>
    <t>[U' R2 U, r]</t>
  </si>
  <si>
    <t>U' R2 U r U' R2 U r'</t>
  </si>
  <si>
    <t>[R Uw': [U R' U', r2]]</t>
  </si>
  <si>
    <t>R Uw' U R' U' r2 U R U' r2 Uw R'</t>
  </si>
  <si>
    <t>[R: [R, U r U']]</t>
  </si>
  <si>
    <t>R2 U r U' R' U r' U' R'</t>
  </si>
  <si>
    <t>[R2, U r U']</t>
  </si>
  <si>
    <t>R2 U r U' R2 U r' U'</t>
  </si>
  <si>
    <t>[R': [R', U r U']]</t>
  </si>
  <si>
    <t>R2 U r U' R U r' U' R</t>
  </si>
  <si>
    <t>[x: [U' R U, r]]</t>
  </si>
  <si>
    <t>x U' R U r U' R' U r' x'</t>
  </si>
  <si>
    <t>[D R': [U' r' U, R']]</t>
  </si>
  <si>
    <t>D R' U' r' U R' U' r U R2 D'</t>
  </si>
  <si>
    <t>[U: [R2, U r U']]</t>
  </si>
  <si>
    <t>U R2 U r U' R2 U r' U2</t>
  </si>
  <si>
    <t>[D' L: [U' l' U, L]]</t>
  </si>
  <si>
    <t>D' L U' l' U L U' l U L2 D</t>
  </si>
  <si>
    <t>[R2: [D2, r U r']]</t>
  </si>
  <si>
    <t>R2 D2 r U r' D2 r U' Rw' R'</t>
  </si>
  <si>
    <t>[R2: [D, r U r']]</t>
  </si>
  <si>
    <t>R2 D r U r' D' r U' Rw' R'</t>
  </si>
  <si>
    <t>[R Uw' R': [U' r2 U, R2]]</t>
  </si>
  <si>
    <t>R Uw' R' U' r2 U R2 U' r2 U R' Uw R'</t>
  </si>
  <si>
    <t>[Uw': [R', U' r2 U]]</t>
  </si>
  <si>
    <t>Uw' R' U' r2 U R U' r2 U Uw</t>
  </si>
  <si>
    <t>[Uw: [U' L' U, r2]]</t>
  </si>
  <si>
    <t>Uw U' L' U r2 U' L U r2 Uw'</t>
  </si>
  <si>
    <t>[r: [r2, U' R U]]</t>
  </si>
  <si>
    <t>r' U' R U r2 U' R' U r'</t>
  </si>
  <si>
    <t>[Uw': [U R' U', r2]]</t>
  </si>
  <si>
    <t>Uw' U R' U' r2 U R U' r2 Uw</t>
  </si>
  <si>
    <t>[R U: [r, U L2 U']]</t>
  </si>
  <si>
    <t>R U r U L2 U' r' U L2 U2 R'</t>
  </si>
  <si>
    <t>[L U': [U' R U, r]]</t>
  </si>
  <si>
    <t>L U2 R U r U' R' U r' U L'</t>
  </si>
  <si>
    <t>[U': [U' R U, r]]</t>
  </si>
  <si>
    <t>U2 R U r U' R' U r' U</t>
  </si>
  <si>
    <t>[R U: [r, U L' U']]</t>
  </si>
  <si>
    <t>R U r U L' U' r' U L U2 R'</t>
  </si>
  <si>
    <t>[Lw2 U: [U r U', R]]</t>
  </si>
  <si>
    <t>Lw2 U2 r U' R U r' U' R' U' Lw2</t>
  </si>
  <si>
    <t>[z: [r, U L' U']]</t>
  </si>
  <si>
    <t>z r U L' U' r' U L U' z'</t>
  </si>
  <si>
    <t>[U' R U, r]</t>
  </si>
  <si>
    <t>U' R U r U' R' U r'</t>
  </si>
  <si>
    <t>[Uw' R: [R2, U' r2 U]]</t>
  </si>
  <si>
    <t>Uw' R' U' r2 U R2 U' r2 U R' Uw</t>
  </si>
  <si>
    <t>[R: [U r U', R]]</t>
  </si>
  <si>
    <t>R U r U' R U r' U' R2</t>
  </si>
  <si>
    <t>[R, U r U']</t>
  </si>
  <si>
    <t>R U r U' R' U r' U'</t>
  </si>
  <si>
    <t>[R': [R2, U r U']]</t>
  </si>
  <si>
    <t>R U r U' R2 U r' U' R</t>
  </si>
  <si>
    <t>[D' R' D, r']</t>
  </si>
  <si>
    <t>D' R' D r' D' R D r</t>
  </si>
  <si>
    <t>[z': [l', U R U']]</t>
  </si>
  <si>
    <t>z' l' U R U' l U R' U' z</t>
  </si>
  <si>
    <t>[U: [R, U r U']]</t>
  </si>
  <si>
    <t>U R U r U' R' U r' U2</t>
  </si>
  <si>
    <t>[x: [r' D r, U]]</t>
  </si>
  <si>
    <t>x r' D r U r' D' r U' x'</t>
  </si>
  <si>
    <t>[R: [D2, r U r']]</t>
  </si>
  <si>
    <t>R D2 r U r' D2 r U' Rw'</t>
  </si>
  <si>
    <t>[R: [D, r U r']]</t>
  </si>
  <si>
    <t>R D r U r' D' r U' Rw'</t>
  </si>
  <si>
    <t>[R U r: [r, U R U']]</t>
  </si>
  <si>
    <t>R U r2 U R U' r' U R' U' r' U' R'</t>
  </si>
  <si>
    <t>[Lw' U R: [r, U' R' U]]</t>
  </si>
  <si>
    <t>Lw' U Rw U' R' U r' U' R U R' U' Lw</t>
  </si>
  <si>
    <t>[D': [U r U', L2]]</t>
  </si>
  <si>
    <t>D' U r U' L2 U r' U' L2 D</t>
  </si>
  <si>
    <t>[Rw: [r2, U' R' U]]</t>
  </si>
  <si>
    <t>Rw' R2 U' R' U r2 U' R U Rw'</t>
  </si>
  <si>
    <t>[U: [r, U2 Lw U2 Lw' U2]]</t>
  </si>
  <si>
    <t>U r U2 Lw U2 Lw' U2 r' U2 Lw U2 Lw' U</t>
  </si>
  <si>
    <t>[U: [r, U L2 U']]</t>
  </si>
  <si>
    <t>U r U L2 U' r' U L2 U2</t>
  </si>
  <si>
    <t>[U: [r, U L U']]</t>
  </si>
  <si>
    <t>U r U L U' r' U L' U2</t>
  </si>
  <si>
    <t>[R U': [U' R' U, r]]</t>
  </si>
  <si>
    <t>R U2 R' U r U' R U r' U R'</t>
  </si>
  <si>
    <t>[U: [r, U L' U']]</t>
  </si>
  <si>
    <t>U r U L' U' r' U L U2</t>
  </si>
  <si>
    <t>[Rw U': [U' l2 U, R']]</t>
  </si>
  <si>
    <t>Rw U2 l2 U R' U' l2 U R U Rw'</t>
  </si>
  <si>
    <t>[Uw: [r, U L U']]</t>
  </si>
  <si>
    <t>Uw r U L U' r' U L' U' Uw'</t>
  </si>
  <si>
    <t>[R: [U' R' U, r]]</t>
  </si>
  <si>
    <t>R U' R' U r U' R U Rw'</t>
  </si>
  <si>
    <t>[U r: [r, U R U']]</t>
  </si>
  <si>
    <t>U r2 U R U' r' U R' U' r' U'</t>
  </si>
  <si>
    <t>[U r U', R2]</t>
  </si>
  <si>
    <t>U r U' R2 U r' U' R2</t>
  </si>
  <si>
    <t>[U r U', R]</t>
  </si>
  <si>
    <t>U r U' R U r' U' R'</t>
  </si>
  <si>
    <t>[U r U', R']</t>
  </si>
  <si>
    <t>U r U' R' U r' U' R</t>
  </si>
  <si>
    <t>[Rw: [U' R' U, r]]</t>
  </si>
  <si>
    <t>Rw U' R' U r U' R U Rw2' R</t>
  </si>
  <si>
    <t>[Uw: [r, U' R U]]</t>
  </si>
  <si>
    <t>Uw r U' R U r' U' R' U Uw'</t>
  </si>
  <si>
    <t>[U', l' D2 l]</t>
  </si>
  <si>
    <t>U' l' D2 l U l' D2 l</t>
  </si>
  <si>
    <t>[4Uw: [r, U' R' U]]</t>
  </si>
  <si>
    <t>4Uw r U' R' U r' U' R U 4Uw'</t>
  </si>
  <si>
    <t>[D2, r U r']</t>
  </si>
  <si>
    <t>D2 r U r' D2 r U' r'</t>
  </si>
  <si>
    <t>[D, r U r']</t>
  </si>
  <si>
    <t>D r U r' D' r U' r'</t>
  </si>
  <si>
    <t>[D', r U r']</t>
  </si>
  <si>
    <t>D' r U r' D r U' r'</t>
  </si>
  <si>
    <t>[Lw' U: [R', U r U']]</t>
  </si>
  <si>
    <t>Lw' U R' U r U' R U r' U2 Lw</t>
  </si>
  <si>
    <t>[4Uw: [U R U', r2]]</t>
  </si>
  <si>
    <t>4Uw U R U' r2 U R' U' r2 4Uw'</t>
  </si>
  <si>
    <t>[r: [r2, U' R' U]]</t>
  </si>
  <si>
    <t>r' U' R' U r2 U' R U r'</t>
  </si>
  <si>
    <t>[U' r: [r2, U' R' U]]</t>
  </si>
  <si>
    <t>U' r' U' R' U r2 U' R U r' U</t>
  </si>
  <si>
    <t>[R' U: [r, U L2 U']]</t>
  </si>
  <si>
    <t>R' U r U L2 U' r' U L2 U2 R</t>
  </si>
  <si>
    <t>[L U': [U' R' U, r]]</t>
  </si>
  <si>
    <t>L U2 R' U r U' R U r' U L'</t>
  </si>
  <si>
    <t>[U': [U' R' U, r]]</t>
  </si>
  <si>
    <t>U2 R' U r U' R U r' U</t>
  </si>
  <si>
    <t>[R' U: [r, U L' U']]</t>
  </si>
  <si>
    <t>R' U r U L' U' r' U L U2 R</t>
  </si>
  <si>
    <t>[Rw U': [U' l2 U, R2]]</t>
  </si>
  <si>
    <t>Rw U2 l2 U R2 U' l2 U R2 U Rw'</t>
  </si>
  <si>
    <t>[R' Uw: [r, U L U']]</t>
  </si>
  <si>
    <t>R' Uw r U L U' r' U L' U' Uw' R</t>
  </si>
  <si>
    <t>[U' R' U, r]</t>
  </si>
  <si>
    <t>U' R' U r U' R U r'</t>
  </si>
  <si>
    <t>[z': [r', U' R U]]</t>
  </si>
  <si>
    <t>z' r' U' R U r U' R' U z</t>
  </si>
  <si>
    <t>[R': [U r U', R']]</t>
  </si>
  <si>
    <t>R' U r U' R' U r' U' R2</t>
  </si>
  <si>
    <t>[R': [U r U', R2]]</t>
  </si>
  <si>
    <t>R' U r U' R2 U r' U' R'</t>
  </si>
  <si>
    <t>[R', U r U']</t>
  </si>
  <si>
    <t>R' U r U' R U r' U'</t>
  </si>
  <si>
    <t>[D' R D, r']</t>
  </si>
  <si>
    <t>D' R D r' D' R' D r</t>
  </si>
  <si>
    <t>[Uw R': [U r U', R2]]</t>
  </si>
  <si>
    <t>Uw R' U r U' R2 U r' U' R' Uw'</t>
  </si>
  <si>
    <t>[U: [R', U r U']]</t>
  </si>
  <si>
    <t>U R' U r U' R U r' U2</t>
  </si>
  <si>
    <t>[z: [l, U' L' U]]</t>
  </si>
  <si>
    <t>z l U' L' U l' U' L U z'</t>
  </si>
  <si>
    <t>[R': [D2, r U r']]</t>
  </si>
  <si>
    <t>R' D2 r U r' D2 r U' Rw' R2</t>
  </si>
  <si>
    <t>[R': [D, r U r']]</t>
  </si>
  <si>
    <t>R' D r U r' D' r U' Rw' R2</t>
  </si>
  <si>
    <t>[R' Uw: [r, U' R U]]</t>
  </si>
  <si>
    <t>R' Uw r U' R U r' U' R' U Uw' R</t>
  </si>
  <si>
    <t>[U' Rw': [r', U R U']]</t>
  </si>
  <si>
    <t>U' Rw2' R U R U' r U R' U' Rw U</t>
  </si>
  <si>
    <t>[D' L2 D, r]</t>
  </si>
  <si>
    <t>D' L2 D r D' L2 D r'</t>
  </si>
  <si>
    <t>[U Rw': [r', U R U']]</t>
  </si>
  <si>
    <t>U Rw2' R U R U' r U R' U' Rw U'</t>
  </si>
  <si>
    <t>[D R2 D', r]</t>
  </si>
  <si>
    <t>D R2 D' r D R2 D' r'</t>
  </si>
  <si>
    <t>[x: [r, U L' U']]</t>
  </si>
  <si>
    <t>x r U L' U' r' U L U' x'</t>
  </si>
  <si>
    <t>[r', D L' D']</t>
  </si>
  <si>
    <t>r' D L' D' r D L D'</t>
  </si>
  <si>
    <t>[r', D L2 D']</t>
  </si>
  <si>
    <t>r' D L2 D' r D L2 D'</t>
  </si>
  <si>
    <t>[r', D L D']</t>
  </si>
  <si>
    <t>r' D L D' r D L' D'</t>
  </si>
  <si>
    <t>[r': [D2, l' U2 l]]</t>
  </si>
  <si>
    <t>r' D2 l' U2 l D2 l' U2 l r</t>
  </si>
  <si>
    <t>[r, D' L D]</t>
  </si>
  <si>
    <t>r D' L D r' D' L' D</t>
  </si>
  <si>
    <t>[U' Rw: [r, U' R' U]]</t>
  </si>
  <si>
    <t>U' R' Rw2 U' R' U r' U' R U Rw' U</t>
  </si>
  <si>
    <t>[r, D R' D']</t>
  </si>
  <si>
    <t>r D R' D' r' D R D'</t>
  </si>
  <si>
    <t>[x: [r, U' R U]]</t>
  </si>
  <si>
    <t>x r U' R U r' U' R' U x'</t>
  </si>
  <si>
    <t>[r', D' R' D]</t>
  </si>
  <si>
    <t>r' D' R' D r D' R D</t>
  </si>
  <si>
    <t>[Rw: [r, U' R' U]]</t>
  </si>
  <si>
    <t>R' Rw2 U' R' U r' U' R U Rw'</t>
  </si>
  <si>
    <t>[r', D' R D]</t>
  </si>
  <si>
    <t>r' D' R D r D' R' D</t>
  </si>
  <si>
    <t>[r' : [r', U R' U']]</t>
  </si>
  <si>
    <t>r2 U R' U' r U R U' r</t>
  </si>
  <si>
    <t>[U: [r', D' R2 D]]</t>
  </si>
  <si>
    <t>U r' D' R2 D r D' R2 D U'</t>
  </si>
  <si>
    <t>[r' : [r', U' L U]]</t>
  </si>
  <si>
    <t>r2 U' L U r U' L' U r</t>
  </si>
  <si>
    <t>[r: [D2, l U2 l']]</t>
  </si>
  <si>
    <t>r D2 l U2 l' D2 l U2 l' r'</t>
  </si>
  <si>
    <t>[r': [r', U' L2 U]]</t>
  </si>
  <si>
    <t>r2 U' L2 U r U' L2 U r</t>
  </si>
  <si>
    <t>[r': [r', U R2 U']]</t>
  </si>
  <si>
    <t>r2 U R2 U' r U R2 U' r</t>
  </si>
  <si>
    <t>[U': [R', U' r2 U]]</t>
  </si>
  <si>
    <t>U' R' U' r2 U R U' r2 U2</t>
  </si>
  <si>
    <t>[U: [U R' U', r2]]</t>
  </si>
  <si>
    <t>U2 R' U' r2 U R U' r2 U'</t>
  </si>
  <si>
    <t>[U R' U', r2]</t>
  </si>
  <si>
    <t>U R' U' r2 U R U' r2</t>
  </si>
  <si>
    <t>[R', U' r2 U]</t>
  </si>
  <si>
    <t>R' U' r2 U R U' r2 U</t>
  </si>
  <si>
    <t>[Rw': [D', r' U' r]]</t>
  </si>
  <si>
    <t>Rw' D' r' U' r D r' U Rw2 R'</t>
  </si>
  <si>
    <t>[z': [U R U', l]]</t>
  </si>
  <si>
    <t>z' U R U' l U R' U' l' z</t>
  </si>
  <si>
    <t>[Uw': [U L U', r]]</t>
  </si>
  <si>
    <t>Uw' U L U' r U L' U' r' Uw</t>
  </si>
  <si>
    <t>[x: [U', r' D' r]]</t>
  </si>
  <si>
    <t>x U' r' D' r U r' D r x'</t>
  </si>
  <si>
    <t>[l u' l', U']</t>
  </si>
  <si>
    <t>l u' l' U' l u l' U</t>
  </si>
  <si>
    <t>[Rw': [D2, r' U' r]]</t>
  </si>
  <si>
    <t>Rw' D2 r' U' r D2 r' U Rw2 R'</t>
  </si>
  <si>
    <t>[z: [r2, U L' U']]</t>
  </si>
  <si>
    <t>z r2 U L' U' r2 U L U' z'</t>
  </si>
  <si>
    <t>[r: [U R' U', r]]</t>
  </si>
  <si>
    <t>r U R' U' r U R U' r2</t>
  </si>
  <si>
    <t>[Rw': [R2, U' r' U]]</t>
  </si>
  <si>
    <t>Rw' R2 U' r' U R2 U' r U Rw</t>
  </si>
  <si>
    <t>[U, r' u' r]</t>
  </si>
  <si>
    <t>U r' u' r U' r' u r</t>
  </si>
  <si>
    <t>[D R': [R', U' r' U]]</t>
  </si>
  <si>
    <t>D R2 U' r' U R U' r U R D'</t>
  </si>
  <si>
    <t>[l' d' l, U']</t>
  </si>
  <si>
    <t>l' d' l U' l' d l U</t>
  </si>
  <si>
    <t>[z': [U R U', l']]</t>
  </si>
  <si>
    <t>z' U R U' l' U R' U' l z</t>
  </si>
  <si>
    <t>[U, r d' r']</t>
  </si>
  <si>
    <t>U r d' r' U' r d r'</t>
  </si>
  <si>
    <t>[Uw: [U' R U, r]]</t>
  </si>
  <si>
    <t>Uw U' R U r U' R' U r' Uw'</t>
  </si>
  <si>
    <t>[M u' M', U']</t>
  </si>
  <si>
    <t>M u' M' U' M u M' U</t>
  </si>
  <si>
    <t>[Rw': [U r U', l']]</t>
  </si>
  <si>
    <t>Rw' U r U' l' U r' U' l Rw</t>
  </si>
  <si>
    <t>[Uw R': [R2, U r U']]</t>
  </si>
  <si>
    <t>Uw R U r U' R2 U r' U' R Uw'</t>
  </si>
  <si>
    <t>[Lw: [r, U' l' U]</t>
  </si>
  <si>
    <t>Lw r U' l' U r' U' l U Lw'</t>
  </si>
  <si>
    <t>[l' d2 l, U']</t>
  </si>
  <si>
    <t>[r': [U R' U', r']]</t>
  </si>
  <si>
    <t>l' d2 l U' l' d2 l U</t>
  </si>
  <si>
    <t>r' U R' U' r' U R U' r2</t>
  </si>
  <si>
    <t>[U, r d2 r']</t>
  </si>
  <si>
    <t>U r d2 r' U' r d2 r'</t>
  </si>
  <si>
    <t>[Uw: [R, U r U']]</t>
  </si>
  <si>
    <t>Uw R U r U' R' U r' U' Uw'</t>
  </si>
  <si>
    <t>[l u l', U']</t>
  </si>
  <si>
    <t>l u l' U' l u' l' U</t>
  </si>
  <si>
    <t>[Rw' U': [r', U' L U]]</t>
  </si>
  <si>
    <t>Rw' U' r' U' L U r U' L' U2 Rw</t>
  </si>
  <si>
    <t>[U, r' u r]</t>
  </si>
  <si>
    <t>U r' u r U' r' u' r</t>
  </si>
  <si>
    <t>[Rw: [D, l U2 l']]</t>
  </si>
  <si>
    <t>Rw D l U2 l' D' l U2 l' Rw'</t>
  </si>
  <si>
    <t>[l' d l, U']</t>
  </si>
  <si>
    <t>l' d l U' l' d' l U</t>
  </si>
  <si>
    <t>[U, r' E r]</t>
  </si>
  <si>
    <t>U r' E r U' r' E' r</t>
  </si>
  <si>
    <t>[z: [L', U' r2 U]]</t>
  </si>
  <si>
    <t>z L' U' r2 U L U' r2 U z'</t>
  </si>
  <si>
    <t>[U, r d r']</t>
  </si>
  <si>
    <t>U r d r' U' r d' r'</t>
  </si>
  <si>
    <t>[M' d' M, U']</t>
  </si>
  <si>
    <t>M' d' M U' M' d M U</t>
  </si>
  <si>
    <t>[Rw': [U' r' U, R']]</t>
  </si>
  <si>
    <t>Rw' U' r' U R' U' r U R Rw</t>
  </si>
  <si>
    <t>[l u2 l', U']</t>
  </si>
  <si>
    <t>l u2 l' U' l u2 l' U</t>
  </si>
  <si>
    <t>[U, r' u2 r]</t>
  </si>
  <si>
    <t>U r' u2 r U' r' u2 r</t>
  </si>
  <si>
    <t>[D': [l, U L2 U']]</t>
  </si>
  <si>
    <t>D' l U L2 U' l' U L2 U' D</t>
  </si>
  <si>
    <t>[U, r E' r']</t>
  </si>
  <si>
    <t>U r E' r' U' r E r'</t>
  </si>
  <si>
    <t>[x': [U r U', l']]</t>
  </si>
  <si>
    <t>x' U r U' l' U r' U' l x</t>
  </si>
  <si>
    <t>[Rw': [M', U r U']]</t>
  </si>
  <si>
    <t>Rw' M' U r U' M U r' U' Rw</t>
  </si>
  <si>
    <t>[x': [r, U' l' U]]</t>
  </si>
  <si>
    <t>x' r U' l' U r' U' l U x</t>
  </si>
  <si>
    <t>[3Lw: [U' M' U, r]]</t>
  </si>
  <si>
    <t>3Lw U' M' U r U' M U r' 3Lw'</t>
  </si>
  <si>
    <t>[Rw': [l2, U r U']]</t>
  </si>
  <si>
    <t>4Rw2' 3Rw U r U' l2 U r' U' 3Rw</t>
  </si>
  <si>
    <t>[Rw' U2: [M', U' r U]]</t>
  </si>
  <si>
    <t>Rw' U2 M' U' r U M U' r' U' Rw</t>
  </si>
  <si>
    <t>[U2 Rw: [r, U R' U']]</t>
  </si>
  <si>
    <t>U2 R' Rw2 U R' U' r' U R U' Rw' U2</t>
  </si>
  <si>
    <t>[Lw: [r2, U' l' U]]</t>
  </si>
  <si>
    <t>4Lw2 3Lw' U' l' U r2 U' l U 3Lw'</t>
  </si>
  <si>
    <t>[U, r E2 r']</t>
  </si>
  <si>
    <t>[U2 Lw: [r2, U l' U']]</t>
  </si>
  <si>
    <t>U2 4Lw2 3Lw' U l' U' r2 U l U' Lw' U2</t>
  </si>
  <si>
    <t>U r E2 r' U' r E2 r'</t>
  </si>
  <si>
    <t>[U2: [r, U2 Lw U2 Lw' U2]]</t>
  </si>
  <si>
    <t>U2 r U2 Lw U2 Lw' U2 r' U2 Lw U2 Lw'</t>
  </si>
  <si>
    <t>[M u M', U']</t>
  </si>
  <si>
    <t>[U2 Rw': [U' r U, l2]]</t>
  </si>
  <si>
    <t>M u M' U' M u' M' U</t>
  </si>
  <si>
    <t>U2 3Rw' U' r U l2 U' r' U 4Rw2 3Rw' U2</t>
  </si>
  <si>
    <t>[U, r' E' r]</t>
  </si>
  <si>
    <t>U r' E' r U' r' E r</t>
  </si>
  <si>
    <t>[R2: [D', r U2 r']]</t>
  </si>
  <si>
    <t>R2 D' r U2 r' D r U2 Rw' R'</t>
  </si>
  <si>
    <t>[U2, r u r']</t>
  </si>
  <si>
    <t>U2 r u r' U2 r u' r'</t>
  </si>
  <si>
    <t>[M' d M, U']</t>
  </si>
  <si>
    <t>M' d M U' M' d' M U</t>
  </si>
  <si>
    <t>[U': [U' r U, L2]]</t>
  </si>
  <si>
    <t>U2 r U L2 U' r' U L2 U</t>
  </si>
  <si>
    <t>[U, r E r']</t>
  </si>
  <si>
    <t>U r E r' U' r E' r'</t>
  </si>
  <si>
    <t>[x' U2: [U r U', M']]</t>
  </si>
  <si>
    <t>x' U' r U' M' U r' U' M U2 x</t>
  </si>
  <si>
    <t>[U': [U' r U, L]]</t>
  </si>
  <si>
    <t>U2 r U L U' r' U L' U</t>
  </si>
  <si>
    <t>[U: [r' u' r, U2]]</t>
  </si>
  <si>
    <t>U r' u' r U2 r' u r U</t>
  </si>
  <si>
    <t>[U2, r' d r]</t>
  </si>
  <si>
    <t>U2 r' d r U2 r' d' r</t>
  </si>
  <si>
    <t>[U, r' E2 r]</t>
  </si>
  <si>
    <t>U r' E2 r U' r' E2 r</t>
  </si>
  <si>
    <t>[l' D2 l, U]</t>
  </si>
  <si>
    <t>l' D2 l U l' D2 l U'</t>
  </si>
  <si>
    <t>[U: [r d' r', U2]]</t>
  </si>
  <si>
    <t>U r d' r' U2 r d r' U</t>
  </si>
  <si>
    <t>[x': [U r U', M']]</t>
  </si>
  <si>
    <t>x' U r U' M' U r' U' M x</t>
  </si>
  <si>
    <t>[U2, r u2 r']</t>
  </si>
  <si>
    <t>[U': [U' r U, L']]</t>
  </si>
  <si>
    <t>U2 r u2 r' U2 r u2 r'</t>
  </si>
  <si>
    <t>U2 r U L' U' r' U L U</t>
  </si>
  <si>
    <t>[x': [r, U' M' U]]</t>
  </si>
  <si>
    <t>x' r U' M' U r' U' M U x</t>
  </si>
  <si>
    <t>[U': [l' u2 l, U2]]</t>
  </si>
  <si>
    <t>U' l' u2 l U2 l' u2 l U'</t>
  </si>
  <si>
    <t>[U Lw: [D2, r U r']]</t>
  </si>
  <si>
    <t>U Lw D2 r U r' D2 r U' r' Lw' U'</t>
  </si>
  <si>
    <t>[l' d2 l, U2]</t>
  </si>
  <si>
    <t>l' d2 l U2 l' d2 l U2</t>
  </si>
  <si>
    <t>[Rw': [M2, U r U']]</t>
  </si>
  <si>
    <t>3Rw2' Rw U r U' M2 U r' U' Rw</t>
  </si>
  <si>
    <t>[U: [r d2 r', U2]]</t>
  </si>
  <si>
    <t>U r d2 r' U2 r d2 r' U</t>
  </si>
  <si>
    <t>[U2: [D' L D, r']]</t>
  </si>
  <si>
    <t>U2 D' L D r' D' L' D r U2</t>
  </si>
  <si>
    <t>[l u l', U2]</t>
  </si>
  <si>
    <t>l u l' U2 l u' l' U2</t>
  </si>
  <si>
    <t>[3Lw: [U' M' U, r2]]</t>
  </si>
  <si>
    <t>3Lw U' M' U' r2 U' M U 4Lw2' 3Lw</t>
  </si>
  <si>
    <t>[U: [r' u r, U2]]</t>
  </si>
  <si>
    <t>U r' u r U2 r' u' r U</t>
  </si>
  <si>
    <t>[l' D2 l, U2]</t>
  </si>
  <si>
    <t>l' D2 l U2 l' D2 l U2</t>
  </si>
  <si>
    <t>[M u2 M', U']</t>
  </si>
  <si>
    <t>M u2 M' U' M u2 M' U</t>
  </si>
  <si>
    <t>[U2, r' d' r]</t>
  </si>
  <si>
    <t>U2 r' d' r U2 r' d r</t>
  </si>
  <si>
    <t>[U' 3Rw': [l2, U M' U']]</t>
  </si>
  <si>
    <t>U' 4Rw2' 3Rw U M' U' l2 U M U' 3Rw U</t>
  </si>
  <si>
    <t>[U: [r d r', U2]]</t>
  </si>
  <si>
    <t>U r d r' U2 r d' r' U</t>
  </si>
  <si>
    <t>[R' U: [D', r U r']]</t>
  </si>
  <si>
    <t>R' D' U r U r' D r U' r' U' R</t>
  </si>
  <si>
    <t>[l u2 l', U2]</t>
  </si>
  <si>
    <t>l u2 l' U2 l u2 l' U2</t>
  </si>
  <si>
    <t>[M u' M', U2]</t>
  </si>
  <si>
    <t>M u' M' U2 M u M' U2</t>
  </si>
  <si>
    <t>[U: [U r U', R2]]</t>
  </si>
  <si>
    <t>U2 r U' R2 U r' U' R2 U'</t>
  </si>
  <si>
    <t>[U: [r' u2 r, U2]]</t>
  </si>
  <si>
    <t>U r' u2 r U2 r' u2 r U</t>
  </si>
  <si>
    <t>[U: [U r U', R]]</t>
  </si>
  <si>
    <t>U2 r U' R U r' U' R' U'</t>
  </si>
  <si>
    <t>[U2, r' d2 r]</t>
  </si>
  <si>
    <t>U2 r' d2 r U2 r' d2 r</t>
  </si>
  <si>
    <t>[l' D2 l, U']</t>
  </si>
  <si>
    <t>l' D2 l U' l' D2 l U</t>
  </si>
  <si>
    <t>[U': [l d2 l', U2]</t>
  </si>
  <si>
    <t>U' l d2 l' U2 l d2 l' U'</t>
  </si>
  <si>
    <t>[U: [U r U', R']]</t>
  </si>
  <si>
    <t>U2 r U' R' U r' U' R U'</t>
  </si>
  <si>
    <t>[U: [D' R2 D, r']]</t>
  </si>
  <si>
    <t>U D' R2 D r' D' R2 D r U'</t>
  </si>
  <si>
    <t>[U' Rw' U: [l2, U r U']]</t>
  </si>
  <si>
    <t>U' Rw' U l2 U r U' l2 U r' U2 Rw U</t>
  </si>
  <si>
    <t>[U: [r' E r, U2]]</t>
  </si>
  <si>
    <t>U r' E r U2 r' E' r U</t>
  </si>
  <si>
    <t>[Uw: [U r U', R]]</t>
  </si>
  <si>
    <t>Uw U r U' R U r' U' R' Uw'</t>
  </si>
  <si>
    <t>[Lw U': [r2, U' l' U]]</t>
  </si>
  <si>
    <t>Lw U' r2 U' l' U r2 U' l U2 Lw'</t>
  </si>
  <si>
    <t>[L' U': [r U' r', D]]</t>
  </si>
  <si>
    <t>L' U' r U' r' D r U r' D' U L</t>
  </si>
  <si>
    <t>[U2, M d M']</t>
  </si>
  <si>
    <t>U2 M d M' U2 M d' M'</t>
  </si>
  <si>
    <t>[U' Lw U: [U l' U', r2]]</t>
  </si>
  <si>
    <t>U' Lw U2 l' U' r2 U l U' r2 U' Lw' U</t>
  </si>
  <si>
    <t>[D2, r U2 r']</t>
  </si>
  <si>
    <t>D2 r U2 r' D2 r U2 r'</t>
  </si>
  <si>
    <t>[U: [r E' r', U2]]</t>
  </si>
  <si>
    <t>U r E' r' U2 r E r' U</t>
  </si>
  <si>
    <t>[Rw' U': [l2, U' r U]]</t>
  </si>
  <si>
    <t>Rw' U' l2 U' r U l2 U' r' U2 Rw</t>
  </si>
  <si>
    <t>[D, r U2 r']</t>
  </si>
  <si>
    <t>D r U2 r' D' r U2 r'</t>
  </si>
  <si>
    <t>[D', r U2 r']</t>
  </si>
  <si>
    <t>[U' Rw' U: [M', U r U']]</t>
  </si>
  <si>
    <t>D' r U2 r' D r U2 r'</t>
  </si>
  <si>
    <t>U' Rw' U M' U r U' M U r' U2 Rw U</t>
  </si>
  <si>
    <t>[r' u' r, U]</t>
  </si>
  <si>
    <t>r' u' r U r' u r U'</t>
  </si>
  <si>
    <t>[U: [L, U r2 U']]</t>
  </si>
  <si>
    <t>U L U r2 U' L' U r2 U2</t>
  </si>
  <si>
    <t>[U': [l' E2 l, U2]]</t>
  </si>
  <si>
    <t>U' l' E2 l U2 l' E2 l U'</t>
  </si>
  <si>
    <t>[U Rw' U': [U' r U, M']]</t>
  </si>
  <si>
    <t>U Rw' U2 r U M' U' r' U M U Rw U'</t>
  </si>
  <si>
    <t>[U', r u r']</t>
  </si>
  <si>
    <t>U' r u r' U r u' r'</t>
  </si>
  <si>
    <t>[U: [r E2 r', U2]]</t>
  </si>
  <si>
    <t>U r E2 r' U2 r E2 r' U</t>
  </si>
  <si>
    <t>[L, U r2 U']</t>
  </si>
  <si>
    <t>L U r2 U' L' U r2 U'</t>
  </si>
  <si>
    <t>[r d' r', U]</t>
  </si>
  <si>
    <t>r d' r' U r d r' U'</t>
  </si>
  <si>
    <t>[M u M', U2]</t>
  </si>
  <si>
    <t>M u M' U2 M u' M' U2</t>
  </si>
  <si>
    <t>[U', r' d r]</t>
  </si>
  <si>
    <t>U' r' d r U r' d' r</t>
  </si>
  <si>
    <t>[U' L U, r2]</t>
  </si>
  <si>
    <t>U' L U r2 U' L' U r2</t>
  </si>
  <si>
    <t>[U': [r u2 r', U']]</t>
  </si>
  <si>
    <t>U' r u2 r' U' r u2 r' U2</t>
  </si>
  <si>
    <t>[U': [U' L U, r2]]</t>
  </si>
  <si>
    <t>U2 L U r2 U' L' U r2 U</t>
  </si>
  <si>
    <t>[U: [r' E' r, U2]]</t>
  </si>
  <si>
    <t>U r' E' r U2 r' E r U</t>
  </si>
  <si>
    <t>[U', l' u2 l]</t>
  </si>
  <si>
    <t>U' l' u2 l U l' u2 l</t>
  </si>
  <si>
    <t>[D' L: [L, U r' U']]</t>
  </si>
  <si>
    <t>D' L2 U r' U' L' U r U' L' D</t>
  </si>
  <si>
    <t>[l' d2 l, U]</t>
  </si>
  <si>
    <t>l' d2 l U l' d2 l U'</t>
  </si>
  <si>
    <t>[Uw' L' : [L2, U r2 U']]</t>
  </si>
  <si>
    <t>Uw' L U r2 U' L2 U r2 U' L Uw</t>
  </si>
  <si>
    <t>[U2, M d' M']</t>
  </si>
  <si>
    <t>U2 M d' M' U2 M d M'</t>
  </si>
  <si>
    <t>[U: [r d2 r', U]]</t>
  </si>
  <si>
    <t>U r d2 r' U r d2 r' U2</t>
  </si>
  <si>
    <t>[4Uw': [U L' U', r]]</t>
  </si>
  <si>
    <t>4Uw' U L' U' r U L U' r' 4Uw</t>
  </si>
  <si>
    <t>[U: [r E r', U2]]</t>
  </si>
  <si>
    <t>U r E r' U2 r E' r' U</t>
  </si>
  <si>
    <t>[l u l', U]</t>
  </si>
  <si>
    <t>l u l' U l u' l' U'</t>
  </si>
  <si>
    <t>[U', l' u' l]</t>
  </si>
  <si>
    <t>U' l' u' l U l' u l</t>
  </si>
  <si>
    <t>[z: [l', U' L' U]]</t>
  </si>
  <si>
    <t>z l' U' L' U l U' L U z</t>
  </si>
  <si>
    <t>[U Rw U': [U' r' U, M]]</t>
  </si>
  <si>
    <t>[l' d l, U]</t>
  </si>
  <si>
    <t>l' d l U l' d' l U'</t>
  </si>
  <si>
    <t>U Rw U2 r' U M U' r U M' U Rw' U'</t>
  </si>
  <si>
    <t>[U', l d' l']</t>
  </si>
  <si>
    <t>U' l d' l' U l d l'</t>
  </si>
  <si>
    <t>[U: [r' E2 r, U2]]</t>
  </si>
  <si>
    <t>U r' E2 r U2 r' E2 r U</t>
  </si>
  <si>
    <t>[Lw' U: [L2, U r2 U']]</t>
  </si>
  <si>
    <t>Lw' U L2 U r2 U' L2 U r2 U2 Lw</t>
  </si>
  <si>
    <t>[l u2 l', U]</t>
  </si>
  <si>
    <t>l u2 l' U l u2 l' U'</t>
  </si>
  <si>
    <t>[U' Rw U: [M, U r' U']</t>
  </si>
  <si>
    <t>U' Rw U M U r' U' M' U r U2 Rw' U</t>
  </si>
  <si>
    <t>[U: [r' u2 r, U]]</t>
  </si>
  <si>
    <t>U r' u2 r U r' u2 r U2</t>
  </si>
  <si>
    <t>[U': [l E2 l', U2]]</t>
  </si>
  <si>
    <t>[L': [L2, U r2 U']]</t>
  </si>
  <si>
    <t>L U r2 U' L2 U r2 U' L</t>
  </si>
  <si>
    <t>[U': [U', r' d2 r]]</t>
  </si>
  <si>
    <t>U2 r' d2 r U r' d2 r U</t>
  </si>
  <si>
    <t>[M' u2 M, U2]</t>
  </si>
  <si>
    <t>M' u2 M U2 M' u2 M U2</t>
  </si>
  <si>
    <t>[U', l d2 l']</t>
  </si>
  <si>
    <t>U' l d2 l' U l d2 l'</t>
  </si>
  <si>
    <t>[D': [U2, M' u2 M]</t>
  </si>
  <si>
    <t>[r', D' L' D]</t>
  </si>
  <si>
    <t>D' U2 M' u2 M U2 M' u2 M D</t>
  </si>
  <si>
    <t>r' D' L' D r D' L D</t>
  </si>
  <si>
    <t>[U Rw': [U r U', l2]]</t>
  </si>
  <si>
    <t>U 3Rw' U r U' l2 U r' U' 3Rw' 4Rw2 U'</t>
  </si>
  <si>
    <t>[z': [r2, U' R U]]</t>
  </si>
  <si>
    <t>[M u2 M', U2]</t>
  </si>
  <si>
    <t>z' r2 U' R U r2 U' R' U z</t>
  </si>
  <si>
    <t>M u2 M' U2 M u2 M' U2</t>
  </si>
  <si>
    <t>[U Lw: [r2, U' l' U]]</t>
  </si>
  <si>
    <t>U 4Lw2 3Lw' U' l' U r2 U' l U 3Lw' U'</t>
  </si>
  <si>
    <t>[D: [U2, M' u2 M]</t>
  </si>
  <si>
    <t>D U2 M' u2 M U2 M' u2 M D'</t>
  </si>
  <si>
    <t>[D' L: [L, U' l' U]]</t>
  </si>
  <si>
    <t>D' L2 U' l' U L' U' l U L' D</t>
  </si>
  <si>
    <t>[U' Lw: [U l' U', r2]]</t>
  </si>
  <si>
    <t>U' 3Lw U l' U' r2 U l U' 3Lw 4Lw2' U</t>
  </si>
  <si>
    <t>[U' Rw': [l2, U' r U]]</t>
  </si>
  <si>
    <t>U' 4Rw2' 3Rw U' r U l2 U' r' U 3Rw U</t>
  </si>
  <si>
    <t>[x: [U, r' D r]]</t>
  </si>
  <si>
    <t>x U r' D r U' r' D' r x'</t>
  </si>
  <si>
    <t>[M u' M', U]</t>
  </si>
  <si>
    <t>M u' M' U M u M' U'</t>
  </si>
  <si>
    <t>[4Uw: [U' R' U, r]]</t>
  </si>
  <si>
    <t>4Uw U' R' U r U' R U r' 4Uw'</t>
  </si>
  <si>
    <t>[U', l u' l']</t>
  </si>
  <si>
    <t xml:space="preserve">U' l u' l' U l u l' </t>
  </si>
  <si>
    <t>[z: [U' L' U, l]]</t>
  </si>
  <si>
    <t>z U' L' U l U' L U l' z'</t>
  </si>
  <si>
    <t>[r': [U' L U, r']]</t>
  </si>
  <si>
    <t>r' U' L U r' U' L' U r2</t>
  </si>
  <si>
    <t>[Rw' U': [U' L U, r']]</t>
  </si>
  <si>
    <t>Rw' U2 L U r' U' L' U r U Rw</t>
  </si>
  <si>
    <t>[r u r', U2]</t>
  </si>
  <si>
    <t>r u r' U2 r u' r' U2</t>
  </si>
  <si>
    <t>[L' U': [D, r U' r']]</t>
  </si>
  <si>
    <t>L' U' D  r U' r' D' r U r' U L</t>
  </si>
  <si>
    <t>[U', l' E' l]</t>
  </si>
  <si>
    <t>U' l' E' l U l' E l</t>
  </si>
  <si>
    <t>[Lw2 U : [L', U r2 U']]</t>
  </si>
  <si>
    <t>Lw2 U L' U r2 U' L U r2 U2 Lw2</t>
  </si>
  <si>
    <t>[U: [u', l' U' l]]</t>
  </si>
  <si>
    <t>U2 Uw' l' U' l u l' U l U'</t>
  </si>
  <si>
    <t>[M' d' M, U]</t>
  </si>
  <si>
    <t>M' d' M U M' d M U'</t>
  </si>
  <si>
    <t>[L: [u', r U r']]</t>
  </si>
  <si>
    <t>L u' r U r' u r U' r' L'</t>
  </si>
  <si>
    <t>[U', l E l']</t>
  </si>
  <si>
    <t>U' l E l' U l E' l'</t>
  </si>
  <si>
    <t>[L: [U r2 U', L]]</t>
  </si>
  <si>
    <t>L U r2 U' L U r2 U' L2</t>
  </si>
  <si>
    <t>[r: [r u r', U2]]</t>
  </si>
  <si>
    <t>r2 u r' U2 r u' r' U2 r'</t>
  </si>
  <si>
    <t>[Lw: [U' l' U, M']]</t>
  </si>
  <si>
    <t>Lw U' l' U M' U' l U M Lw'</t>
  </si>
  <si>
    <t>[R d2 R', D]</t>
  </si>
  <si>
    <t>R d2 R' D R d2 R' D'</t>
  </si>
  <si>
    <t>[U2 L': [d, l' U l]]</t>
  </si>
  <si>
    <t>U2 L' d l' U l d' l' U' Lw U2</t>
  </si>
  <si>
    <t>[U', l' E2 l]</t>
  </si>
  <si>
    <t>U' l' E2 l U l' E2 l</t>
  </si>
  <si>
    <t>[Lw' U Lw: [r U r', D2]]</t>
  </si>
  <si>
    <t>Lw' U Lw r U r' D2 r U' r' D2 Lw' U' Lw</t>
  </si>
  <si>
    <t>[u: [r' U2 r, u2]]</t>
  </si>
  <si>
    <t>u r' U2 r u2 r' U2 r u</t>
  </si>
  <si>
    <t>[U2 Rw': [M', U' r U]]</t>
  </si>
  <si>
    <t>U2 Rw2' 3Rw U' r U M U' r' U Rw U2</t>
  </si>
  <si>
    <t>[3Rw': [U M' U', l']]</t>
  </si>
  <si>
    <t>3Rw' U M' U' l' U M U' 4Rw' 3Rw2</t>
  </si>
  <si>
    <t>[R' u: [r' U2 r, u2]]</t>
  </si>
  <si>
    <t>R' u r' U2 r u2 r' U2 r u R</t>
  </si>
  <si>
    <t>[M u M', U]</t>
  </si>
  <si>
    <t>M u M' U M u' M' U'</t>
  </si>
  <si>
    <t>[R2 u: [r' U2 r, u2]]</t>
  </si>
  <si>
    <t>R2 u r' U2 r u2 r' U2 r u R2</t>
  </si>
  <si>
    <t>[Lw U2: [D' L D, r']]</t>
  </si>
  <si>
    <t>[R u: [r' U2 r, u2]]</t>
  </si>
  <si>
    <t>Lw U2 D' L D r' D' L' D r U2 Lw'</t>
  </si>
  <si>
    <t>R u r' U2 r u2 r' U2 r u R'</t>
  </si>
  <si>
    <t>[U', l' E l]</t>
  </si>
  <si>
    <t>U' l' E l U l' E' l</t>
  </si>
  <si>
    <t>[u, r' U2 r]</t>
  </si>
  <si>
    <t>u r' U2 r u' r' U2 r</t>
  </si>
  <si>
    <t>[D' R D: [U R U', r2]]</t>
  </si>
  <si>
    <t>D' R D U R U' r2 U R' U' r2 D' R' D</t>
  </si>
  <si>
    <t>[3Rw' U': [l' U2 l, u']]</t>
  </si>
  <si>
    <t>[M' d M, U]</t>
  </si>
  <si>
    <t>4Rw' U' l' U2 l u' l' U2 l Uw 4Rw</t>
  </si>
  <si>
    <t>M' d M U M' d' M U'</t>
  </si>
  <si>
    <t>[Rw2 D' [r2, U R2 U']]</t>
  </si>
  <si>
    <t>Rw2 D' r2 U R2 U' r2 U R2 U' D Rw2</t>
  </si>
  <si>
    <t>[z: [l U2 l', u']]</t>
  </si>
  <si>
    <t>z l U2 l' u' l U2 l' u z'</t>
  </si>
  <si>
    <t>[U', l E' l']</t>
  </si>
  <si>
    <t>U' l E' l' U l E l'</t>
  </si>
  <si>
    <t>[L2: [r U' r', D2]]</t>
  </si>
  <si>
    <t>L2 r U' r' D2 r U r' D2 L2</t>
  </si>
  <si>
    <t>[4Rw': [l' U' l, u']]</t>
  </si>
  <si>
    <t>3Rw' U' l u' l' U l u 4Rw</t>
  </si>
  <si>
    <t>[U l': [u', l' U' l]]</t>
  </si>
  <si>
    <t>U l' u' l' U' l u l' U l2 U'</t>
  </si>
  <si>
    <t>[L: [r U' r', D2]]</t>
  </si>
  <si>
    <t>L r U' r' D2 r U r' D2 L'</t>
  </si>
  <si>
    <t>[x' U2: [U' l' U, M']]</t>
  </si>
  <si>
    <t>x' U l' U M' U' l U M U2 x</t>
  </si>
  <si>
    <t>[U: [r2, Uw' l' Uw]]</t>
  </si>
  <si>
    <t>[r U' r', D2]</t>
  </si>
  <si>
    <t>U r2 Uw' l' Uw r2 Uw' l Uw U'</t>
  </si>
  <si>
    <t>r U' r' D2 r U r' D2</t>
  </si>
  <si>
    <t>[x': [l', U M' U']]</t>
  </si>
  <si>
    <t>x' l' U M' U' l U M U' x</t>
  </si>
  <si>
    <t>[L': [r U' r', D2]]</t>
  </si>
  <si>
    <t>L' r U' r' D2 r U r' D2 L</t>
  </si>
  <si>
    <t>[r': [u, r' U2 r]]</t>
  </si>
  <si>
    <t>r' u r' U2 r u' r' U2 r2</t>
  </si>
  <si>
    <t>[x': [U' l' U, M']]</t>
  </si>
  <si>
    <t>x' U' l' U M' U' l U M x</t>
  </si>
  <si>
    <t>[l: [r U2 r', D2]]</t>
  </si>
  <si>
    <t>l r U2 r' D2 r U2 r' D2 l'</t>
  </si>
  <si>
    <t>[D' r': [u, r' U2 r]]</t>
  </si>
  <si>
    <t>D' r' u r' U2 r u' r' U2 r2 D</t>
  </si>
  <si>
    <t>[Lw: [D, r U2 r']]</t>
  </si>
  <si>
    <t>Lw D r U2 r' D' r U2 r' Lw'</t>
  </si>
  <si>
    <t>[U', l E2 l']</t>
  </si>
  <si>
    <t>U' l E2 l' U l E2 l'</t>
  </si>
  <si>
    <t>[D2, l U2 l']</t>
  </si>
  <si>
    <t>D2 l U2 l' D2 l U2 l'</t>
  </si>
  <si>
    <t>[Lw: [M2, U' l' U]]</t>
  </si>
  <si>
    <t>3Lw2 Lw' U' l' U M2 U' l U Lw'</t>
  </si>
  <si>
    <t>[Rw2 U: [R', U l2 U']]</t>
  </si>
  <si>
    <t>Rw2 U R' U l2 U' R U l2 U2 Rw2</t>
  </si>
  <si>
    <t>[U 3Lw: [r2, U' M' U]]</t>
  </si>
  <si>
    <t>U 4Lw2 3Lw2 U' M' U r2 U' M U 3Lw' U'</t>
  </si>
  <si>
    <t>[R2: [r U r', D2]]</t>
  </si>
  <si>
    <t>R Rw U r' D2 r U' r' D2 R2</t>
  </si>
  <si>
    <t>[M u2 M', U]</t>
  </si>
  <si>
    <t>[R: [r U r', D2]]</t>
  </si>
  <si>
    <t>Rw U r' D2 r U' r' D2 R'</t>
  </si>
  <si>
    <t>M u2 M' U M u2 M' U'</t>
  </si>
  <si>
    <t>[U: [U2, r' u' r]]</t>
  </si>
  <si>
    <t>U' r' u' r U2 r' u r U'</t>
  </si>
  <si>
    <t>[r U r', D2]</t>
  </si>
  <si>
    <t>r U r' D2 r U' r' D2</t>
  </si>
  <si>
    <t>[3Rw': [U M' U', l2]]</t>
  </si>
  <si>
    <t>3Rw' U M' U' l2 U M U' 3Rw' 4Rw2</t>
  </si>
  <si>
    <t>[R': [r U r', D2]]</t>
  </si>
  <si>
    <t>R2' Rw U r' D2 r U' r' D2 R</t>
  </si>
  <si>
    <t>[r u r', U']</t>
  </si>
  <si>
    <t>r u r' U' r u' r' U</t>
  </si>
  <si>
    <t>[r: [l U2 l', D2]]</t>
  </si>
  <si>
    <t>r l U2 l' D2 l U2 l' D2 r'</t>
  </si>
  <si>
    <t>[U', M u' M']</t>
  </si>
  <si>
    <t>U' M u' M' U M u M'</t>
  </si>
  <si>
    <t>[F: [u', r U r']]</t>
  </si>
  <si>
    <t>F u' r U r' u r U' r' F'</t>
  </si>
  <si>
    <t>[Rw: [l U2 l', D]]</t>
  </si>
  <si>
    <t>Rw l U2 l' D l U2 l' D' Rw'</t>
  </si>
  <si>
    <t>[r U2 r', D2]</t>
  </si>
  <si>
    <t>r U2 r' D2 r U2 r' D2</t>
  </si>
  <si>
    <t>[u', r U r']</t>
  </si>
  <si>
    <t>u' r U r' u r U' r'</t>
  </si>
  <si>
    <t>[Lw2 U: [U r2 U', L']]</t>
  </si>
  <si>
    <t>Lw2 U2 r2 U' L' U r2 U' L U' Lw2</t>
  </si>
  <si>
    <t>[F', [u', r U r']]</t>
  </si>
  <si>
    <t>F' u' r U r' u r U' r' F</t>
  </si>
  <si>
    <t>[U2, M u' M']</t>
  </si>
  <si>
    <t>U2 M u' M' U2 M u M'</t>
  </si>
  <si>
    <t>[Rw U': [l U' l', D']]</t>
  </si>
  <si>
    <t>Rw U' l U' l' D' l U l' D U Rw'</t>
  </si>
  <si>
    <t>[F2: [u', r U r']]</t>
  </si>
  <si>
    <t>F2 u' r U r' u r U' r' F2</t>
  </si>
  <si>
    <t>[U, M u' M']</t>
  </si>
  <si>
    <t>U M u' M' U' M u M'</t>
  </si>
  <si>
    <t>[l: [D', r U2 r']]</t>
  </si>
  <si>
    <t>l D' r U2 r' D r U2 r' l'</t>
  </si>
  <si>
    <t>[R u: [u2, r U r']]</t>
  </si>
  <si>
    <t>R u' r U r' u2 r U' r' u' R'</t>
  </si>
  <si>
    <t>[U': [u', M' U M]]</t>
  </si>
  <si>
    <t>Uw' M' U M u M' U' M U</t>
  </si>
  <si>
    <t>[U: [L2, U r2 U']]</t>
  </si>
  <si>
    <t>U L2 U r2 U' L2 U r2 U2</t>
  </si>
  <si>
    <t>[u: [u2, r U r']]</t>
  </si>
  <si>
    <t>u' r U r' u2 r U' r' u'</t>
  </si>
  <si>
    <t>[L: [E, r U r']]</t>
  </si>
  <si>
    <t>L E r U r' E' r U' r' L'</t>
  </si>
  <si>
    <t>[R' u: [u2, r U r']]</t>
  </si>
  <si>
    <t>R' u' r U r' u2 r U' r' u' R</t>
  </si>
  <si>
    <t>[U' 3Rw: [M' u M, U']]</t>
  </si>
  <si>
    <t>U' 3Rw2 Rw' u M U' M' u' M U 3Rw' U</t>
  </si>
  <si>
    <t>[R2 u: [u2, r U r']]</t>
  </si>
  <si>
    <t>R2 u' r U r' u2 r U' r' u' R2</t>
  </si>
  <si>
    <t>[L': [E, l' U' l]]</t>
  </si>
  <si>
    <t>L' E l' U' l E' l' U Lw</t>
  </si>
  <si>
    <t>[L': [u, r' U2 r]</t>
  </si>
  <si>
    <t>L' u r' U2 r u' r' U2 r L</t>
  </si>
  <si>
    <t>[Uw': [M' U M, u2]]</t>
  </si>
  <si>
    <t>Uw' M' U M u2 M' U' M Uw' U2</t>
  </si>
  <si>
    <t>[u': [r U r', u']]</t>
  </si>
  <si>
    <t>u' r U r' u' r U r' u2</t>
  </si>
  <si>
    <t>[L2, U r2 U']</t>
  </si>
  <si>
    <t>[R' Uw': [M' U M, u2]]</t>
  </si>
  <si>
    <t>L2 U r2 U' L2 U r2 U'</t>
  </si>
  <si>
    <t>R' Uw' M' U M u2 M' U' M Uw' U2 R</t>
  </si>
  <si>
    <t>[z: [r' U r, u']]</t>
  </si>
  <si>
    <t>z r' U r u' r' U' r u z'</t>
  </si>
  <si>
    <t>[R2 Uw': [M' U M, u2]]</t>
  </si>
  <si>
    <t>R2 Uw' M' U M u2 M' U' M Uw' U2 R2</t>
  </si>
  <si>
    <t>[r': [r' u' r, U]]</t>
  </si>
  <si>
    <t>r2' u' r U r' u r U' r</t>
  </si>
  <si>
    <t>[U' L2 U, r2]</t>
  </si>
  <si>
    <t>U' L2 U r2 U' L2 U r2</t>
  </si>
  <si>
    <t>[D r: [u', r U r']]</t>
  </si>
  <si>
    <t>D r u' r U r' u r U' r2 D'</t>
  </si>
  <si>
    <t>[R Uw': [M' U M, u2]]</t>
  </si>
  <si>
    <t>R Uw' M' U M u2 M' U' M Uw' U2 R'</t>
  </si>
  <si>
    <t>[U': [U' L2 U, r2]]</t>
  </si>
  <si>
    <t>U2 L2 U r2 U' L2 U r2 U</t>
  </si>
  <si>
    <t>[r: [u', r U r']]</t>
  </si>
  <si>
    <t>r u' r U r' u r U' r2</t>
  </si>
  <si>
    <t>[U: [u, M U M']]</t>
  </si>
  <si>
    <t>Uw M U M' u' M U' M' U'</t>
  </si>
  <si>
    <t>[L' Uw L: [U' r U, L2]]</t>
  </si>
  <si>
    <t>L' Uw L U' r U L2 U' r' U L Uw' L</t>
  </si>
  <si>
    <t>[D' r: [u', r U r']]</t>
  </si>
  <si>
    <t>D' r u' r U r' u r U' r2 D</t>
  </si>
  <si>
    <t>[L: [E', l U' l']]</t>
  </si>
  <si>
    <t>L E' l U' l' E l U Lw'</t>
  </si>
  <si>
    <t>[Uw' L': [L', U r2 U']]</t>
  </si>
  <si>
    <t>Uw' L2 U r2 U' L U r2 U' L Uw</t>
  </si>
  <si>
    <t>[3Rw' U': [M' U M, u']]</t>
  </si>
  <si>
    <t>3Rw' U' M' U M u' M' U' M Uw 3Rw</t>
  </si>
  <si>
    <t>[D2 r: [u', r U r']]</t>
  </si>
  <si>
    <t>D2 r u' r U r' u r U' r2 D2</t>
  </si>
  <si>
    <t>[r U' r', D]</t>
  </si>
  <si>
    <t>r U' r' D r U r' D'</t>
  </si>
  <si>
    <t>[U', l' d' l]</t>
  </si>
  <si>
    <t>U' l' d' l U l' d l</t>
  </si>
  <si>
    <t>[L': [E', r' U r]]</t>
  </si>
  <si>
    <t>L' E' r' U r E r' U' r L</t>
  </si>
  <si>
    <t>[U' M': [u', M' U M]]</t>
  </si>
  <si>
    <t>U' M' u' M' U M u M' U' M2 U</t>
  </si>
  <si>
    <t>[L' Uw': [U' R U, r]]</t>
  </si>
  <si>
    <t>L' Uw' U' R U r U' R' U r' Uw L</t>
  </si>
  <si>
    <t>[Uw: [r2, U M U']]</t>
  </si>
  <si>
    <t>Uw r2 U M U' r2 U M' U' Uw'</t>
  </si>
  <si>
    <t>[Lw' U: [L', U r2 U']]</t>
  </si>
  <si>
    <t>Lw' U L' U r2 U' L U r2 U2 Lw</t>
  </si>
  <si>
    <t>[r' d r, U2]</t>
  </si>
  <si>
    <t>r' d r U2 r' d' r U2</t>
  </si>
  <si>
    <t>[U' M: [u, M U' M']]</t>
  </si>
  <si>
    <t>U' M u M U' M' u' M U M2 U</t>
  </si>
  <si>
    <t>[L': [L', U r2 U']]</t>
  </si>
  <si>
    <t>L2 U r2 U' L U r2 U' L</t>
  </si>
  <si>
    <t>[Lw': [E, l' U' l]]</t>
  </si>
  <si>
    <t>Lw' E l' U' l E' l' U Lw2 L'</t>
  </si>
  <si>
    <t>[z: [r U2 r', u]]</t>
  </si>
  <si>
    <t>[x: [U' L' U, r]]</t>
  </si>
  <si>
    <t>z r U2 r' u r U2 r' u' z'</t>
  </si>
  <si>
    <t>x U' L' U r U' L U r' x'</t>
  </si>
  <si>
    <t>[r' E r, U]</t>
  </si>
  <si>
    <t>r' E r U r' E' r U'</t>
  </si>
  <si>
    <t>[L': [u', r U r']]</t>
  </si>
  <si>
    <t>L' u' r U r' u r U' r' L</t>
  </si>
  <si>
    <t>[R U': [U' L2 U, r2]]</t>
  </si>
  <si>
    <t>R U2 L2 U r2 U' L2 U r2 U R'</t>
  </si>
  <si>
    <t>[d, r U2 r']</t>
  </si>
  <si>
    <t>d r U2 r' d' r U2 r'</t>
  </si>
  <si>
    <t>[F': [d, r U2 r']]</t>
  </si>
  <si>
    <t>F' d r U2 r' d' r U2 r' F</t>
  </si>
  <si>
    <t>[R2: [r U r', D]]</t>
  </si>
  <si>
    <t>R Rw U r' D r U' r' D' R2</t>
  </si>
  <si>
    <t>[x' z': [r2, U l' U']]</t>
  </si>
  <si>
    <t>x' z' r2 U l' U' r2 U l U' z x</t>
  </si>
  <si>
    <t>[R: [r U r', D]]</t>
  </si>
  <si>
    <t>Rw U r' D r U' r' D' R'</t>
  </si>
  <si>
    <t>[y: [r, U' l U]]</t>
  </si>
  <si>
    <t>y r U' l U r' U' l' U y'</t>
  </si>
  <si>
    <t>[U: [U2, r' E r]]</t>
  </si>
  <si>
    <t>U' r' E r U2 r' E' r U'</t>
  </si>
  <si>
    <t>[d: [d, r U2 r']]</t>
  </si>
  <si>
    <t>d2 r U2 r' d' r U2 r' d'</t>
  </si>
  <si>
    <t>[r U r', D]</t>
  </si>
  <si>
    <t>r U r' D r U' r' D'</t>
  </si>
  <si>
    <t>[l' E' l, U']</t>
  </si>
  <si>
    <t>l' E' l U' l' E l U</t>
  </si>
  <si>
    <t>[z U: [Uw r Uw', l2]]</t>
  </si>
  <si>
    <t>z U Uw r Uw' l2 Uw r' Uw' l2 U' z'</t>
  </si>
  <si>
    <t>[R': [r U r', D]]</t>
  </si>
  <si>
    <t>R2' Rw U r' D r U' r' D' R</t>
  </si>
  <si>
    <t>[r': [r' d r, U2]]</t>
  </si>
  <si>
    <t>r2' d r U2 r' d' r U2 r</t>
  </si>
  <si>
    <t>[r': [U' L2 U, r']]</t>
  </si>
  <si>
    <t>r' U' L2 U r' U' L2 U r2</t>
  </si>
  <si>
    <t>[F: [E, r U r']]</t>
  </si>
  <si>
    <t>[L' U: [u, l U2 l']]</t>
  </si>
  <si>
    <t>F E r U r' E' r U' r' F'</t>
  </si>
  <si>
    <t>L' Uw l U2 l' u' l U2 l' U' L</t>
  </si>
  <si>
    <t>[z: [U' r2 U, L']]</t>
  </si>
  <si>
    <t>z U' r2 U L' U' r2 U L</t>
  </si>
  <si>
    <t>[E, r U r']</t>
  </si>
  <si>
    <t>E r U r' E' r U' r'</t>
  </si>
  <si>
    <t>[d: [r U2 r', d]]</t>
  </si>
  <si>
    <t>d r U2 r' d r U2 r' d2</t>
  </si>
  <si>
    <t>[L: [d, r' U r]]</t>
  </si>
  <si>
    <t>L d r' U r d' r' U' r L'</t>
  </si>
  <si>
    <t>[F': [E, r U r']]</t>
  </si>
  <si>
    <t>F' E r U r' E' r U' r' F</t>
  </si>
  <si>
    <t>[r U2 r', D]</t>
  </si>
  <si>
    <t>r U2 r' D r U2 r' D'</t>
  </si>
  <si>
    <t>[D2 r: [d, r U2 r']]</t>
  </si>
  <si>
    <t>D2 r d r U2 r' d' r u2 r2 D2</t>
  </si>
  <si>
    <t>[F2: [E, r U r']]</t>
  </si>
  <si>
    <t>F2 E r U r' E' r U' r' F2</t>
  </si>
  <si>
    <t>[L: [L, U r2 U']]</t>
  </si>
  <si>
    <t>L2 U r2 U' L' U r2 U' L'</t>
  </si>
  <si>
    <t>[D r: [d, r U2 r']]</t>
  </si>
  <si>
    <t>D r d r U2 r' d' r u2 r2 D'</t>
  </si>
  <si>
    <t>[R E: [r U r', E2]]</t>
  </si>
  <si>
    <t>R E r U r' E2 r U r' E R'</t>
  </si>
  <si>
    <t>[Rw U': [D', l U' l']]</t>
  </si>
  <si>
    <t>Rw U' D' l U' l' D l U l' U Rw'</t>
  </si>
  <si>
    <t>[r: [d, r U2 r']]</t>
  </si>
  <si>
    <t>r d r U2 r' d' r u2 r2</t>
  </si>
  <si>
    <t>[E: [r U r', E2]]</t>
  </si>
  <si>
    <t>E r U r' E2 r U r' E</t>
  </si>
  <si>
    <t>[R2 D: [U' r2 U, R2]]</t>
  </si>
  <si>
    <t>R2 D U' r2 U R2 U' r2 U R2 D' R2</t>
  </si>
  <si>
    <t>[3Uw': [l2, U' r U]]</t>
  </si>
  <si>
    <t>4Uw' l2 U' r U l2 U' r' U 4Uw</t>
  </si>
  <si>
    <t>[R' E: [r U r', E2]]</t>
  </si>
  <si>
    <t>R' E r U r' E2 r U r' E R</t>
  </si>
  <si>
    <t>[U': [R2, U' r2 U]]</t>
  </si>
  <si>
    <t>U' R2 U' r2 U R2 U' r2 U2</t>
  </si>
  <si>
    <t>[R2 E: [r U r', E2]]</t>
  </si>
  <si>
    <t>R2 E r U r' E2 r U r' E R2</t>
  </si>
  <si>
    <t>[U 3Rw': [r U' r', E]]</t>
  </si>
  <si>
    <t>U 3Rw' r U' r' E r U r' E' 3Rw U'</t>
  </si>
  <si>
    <t>[E', l' U' l]</t>
  </si>
  <si>
    <t>E' l' U' l E l' U l</t>
  </si>
  <si>
    <t>[U: [U2, r d' r']]</t>
  </si>
  <si>
    <t>U' r d' r' U2 r d r' U'</t>
  </si>
  <si>
    <t>[R U: [U R U', r2]]</t>
  </si>
  <si>
    <t>[r' d r, U]</t>
  </si>
  <si>
    <t>r' d r U r' d' r U'</t>
  </si>
  <si>
    <t>R U2 R U' r2 U R' U' r2 U' R'</t>
  </si>
  <si>
    <t>[U 3Rw': [r U r', E]]</t>
  </si>
  <si>
    <t>U 3Rw' r U r' E r U' r' E' 3Rw U'</t>
  </si>
  <si>
    <t>[z: [r U r', u]]</t>
  </si>
  <si>
    <t>z r U r' u r U' r' u' z'</t>
  </si>
  <si>
    <t>[r': [r' E r, U]]</t>
  </si>
  <si>
    <t>r2' E r U r' E' r U' r</t>
  </si>
  <si>
    <t>[U R2 U', r2]</t>
  </si>
  <si>
    <t>U R2 U' r2 U R2 U' r2</t>
  </si>
  <si>
    <t>[L2: [u', r U r']]</t>
  </si>
  <si>
    <t>L2 u' r U r' u r U' r' L2</t>
  </si>
  <si>
    <t>[D r: [E, r U r']]</t>
  </si>
  <si>
    <t>D r E r U r' E' r U' r2' D'</t>
  </si>
  <si>
    <t>[R2, U' r2 U]</t>
  </si>
  <si>
    <t>R2 U' r2 U R2 U' r2 U</t>
  </si>
  <si>
    <t>[L': [d, r U2 r']]</t>
  </si>
  <si>
    <t>L' d r U2 r' d' r U2 r' L</t>
  </si>
  <si>
    <t>[r: [E, r U r']]</t>
  </si>
  <si>
    <t>r E r U r' E' r U' r2'</t>
  </si>
  <si>
    <t>[U2: [d, l' U l]]</t>
  </si>
  <si>
    <t>U2 d l' U l d' l' U' l U2</t>
  </si>
  <si>
    <t>[L2: [r U' r', D']]</t>
  </si>
  <si>
    <t>L2 r U' r' D' r U r' D L2</t>
  </si>
  <si>
    <t>[D' r: [E, r U r']]</t>
  </si>
  <si>
    <t>D' r E r U r' E' r U' r2' D</t>
  </si>
  <si>
    <t>[y: [U' l' U, r']]</t>
  </si>
  <si>
    <t>y U' l' U r' U' l U r y'</t>
  </si>
  <si>
    <t>[z': [R, U' l U]]</t>
  </si>
  <si>
    <t>z' R U' l U R' U' l' U z'</t>
  </si>
  <si>
    <t>[l: [E', l U' l']]</t>
  </si>
  <si>
    <t>l E' l U' l' E l U l2</t>
  </si>
  <si>
    <t>[R y: [U' l' U, r']]</t>
  </si>
  <si>
    <t>R y U' l' U r' U' l U r y' R'</t>
  </si>
  <si>
    <t>[r U' r', D']</t>
  </si>
  <si>
    <t>r U' r' D' r U r' D</t>
  </si>
  <si>
    <t>[R2 y: [U' l' U, r']]</t>
  </si>
  <si>
    <t>R2 y U' l' U r' U' l U r y' R2</t>
  </si>
  <si>
    <t>[U', M' d' M]</t>
  </si>
  <si>
    <t>U' M' d' M U M' d M</t>
  </si>
  <si>
    <t>[d': [r' U r, d2]]</t>
  </si>
  <si>
    <t>d' r' U r d2 r' U' r d'</t>
  </si>
  <si>
    <t>[z': [R, U r U']]</t>
  </si>
  <si>
    <t>z' R U r U' R' U r' U' z</t>
  </si>
  <si>
    <t>[L: [u, r' U2 r]]</t>
  </si>
  <si>
    <t>L u r' U2 r u' r' U2 r L'</t>
  </si>
  <si>
    <t>[Rw2: [r D2 r', U']]</t>
  </si>
  <si>
    <t>Rw' R' D2 r' U' r D2 r' U Rw2</t>
  </si>
  <si>
    <t>[L2 U: [u, l U2 l']]</t>
  </si>
  <si>
    <t>L2 Uw l U2 l' u' l U2 l' U' L2</t>
  </si>
  <si>
    <t>[L' U: [U R2 U', r2]]</t>
  </si>
  <si>
    <t>L' U2 R2 U' r2 U' R2 U' r2 U' L</t>
  </si>
  <si>
    <t>[M d M', U2]</t>
  </si>
  <si>
    <t>M d M' U2 M d' M' U2</t>
  </si>
  <si>
    <t>[l, 3Uw r' 3Uw']</t>
  </si>
  <si>
    <t>l 4Uw r' 4Uw' l' 4Uw r 4Uw'</t>
  </si>
  <si>
    <t>[U, M' d' M]</t>
  </si>
  <si>
    <t>[Rw: [U R U', r]]</t>
  </si>
  <si>
    <t>U M' d' M U' M' d M</t>
  </si>
  <si>
    <t>Rw U R U' r U R' U' Rw2 R</t>
  </si>
  <si>
    <t>[d', r' U r]</t>
  </si>
  <si>
    <t>d' r' U r d r' U' r</t>
  </si>
  <si>
    <t>[L2 U': [u', M' U M]]</t>
  </si>
  <si>
    <t>[D r': [d', r' U r]]</t>
  </si>
  <si>
    <t>D r' d' r' U r d r' U' r2 D'</t>
  </si>
  <si>
    <t>[R: [R, U' r2 U]]</t>
  </si>
  <si>
    <t>R2 U' r2 U R' U' r2 U R'</t>
  </si>
  <si>
    <t>[L': [E, r U r']]</t>
  </si>
  <si>
    <t>[r': [d', r' U r]]</t>
  </si>
  <si>
    <t>r' d' r' U r d r' U' r2</t>
  </si>
  <si>
    <t>[R Uw' R': [R2, U' r2 U]]</t>
  </si>
  <si>
    <t>R Uw' R U' r2 U R2 U' r2 U R Uw R'</t>
  </si>
  <si>
    <t>[U': [d, M' U' M]]</t>
  </si>
  <si>
    <t>[3Uw': [U' r2 U, l']]</t>
  </si>
  <si>
    <t>4Uw' U' r2 U l' U' r2 U l 4Uw</t>
  </si>
  <si>
    <t>[R U r: [U R U', r]]</t>
  </si>
  <si>
    <t>R U r U R U' r U R' U' r2 U' R'</t>
  </si>
  <si>
    <t>[L: [E, l' U' l]]</t>
  </si>
  <si>
    <t>[D2 r': [d', r' U r]]</t>
  </si>
  <si>
    <t>D2 r' d' r' U r d r' U' r2 D2</t>
  </si>
  <si>
    <t>[r U r', D']</t>
  </si>
  <si>
    <t>r U r' D' r U' r' D</t>
  </si>
  <si>
    <t>[Rw': [l', U r U']]</t>
  </si>
  <si>
    <t>3Rw2' 4Rw U r U' l U r' U' Rw</t>
  </si>
  <si>
    <t>[R' Uw: [U' R U, r]]</t>
  </si>
  <si>
    <t>R' Uw U' R U r U' R' U r' Uw' R</t>
  </si>
  <si>
    <t>[R y: [r, U M U']]</t>
  </si>
  <si>
    <t>[r': [U R2 U', r']]</t>
  </si>
  <si>
    <t>r' U R2 U' r' U R2 U' r2</t>
  </si>
  <si>
    <t>[y: [r, U M U']]</t>
  </si>
  <si>
    <t>[Rw': [R', U' r' U]]</t>
  </si>
  <si>
    <t>Rw' R' U' r' U R U' r U Rw</t>
  </si>
  <si>
    <t>[R' y: [r, U M U']]</t>
  </si>
  <si>
    <t>[r u2 r', U2]</t>
  </si>
  <si>
    <t>r u2 r' U2 r u2 r' U2</t>
  </si>
  <si>
    <t>[R2 y: [r, U M U']]</t>
  </si>
  <si>
    <t>[U': [U', r u2 r']]</t>
  </si>
  <si>
    <t>U2 r u2 r' U r u2 r' U</t>
  </si>
  <si>
    <t>[r U2 r', D']</t>
  </si>
  <si>
    <t>r U2 r' D' r U2 r' D</t>
  </si>
  <si>
    <t>[U: [l' U' l, u']]</t>
  </si>
  <si>
    <t>[L2 U: [u, M U M']]</t>
  </si>
  <si>
    <t>U l' U' l u' l' U l u U'</t>
  </si>
  <si>
    <t>[D, R d2 R']</t>
  </si>
  <si>
    <t>D R d2 R' D' R d2 R'</t>
  </si>
  <si>
    <t>[F: [r U r', u']]</t>
  </si>
  <si>
    <t>F r U r' u' r U' r' u F'</t>
  </si>
  <si>
    <t>[L': [E', l U' l']]</t>
  </si>
  <si>
    <t>[l: [r U2 r', D']]</t>
  </si>
  <si>
    <t>[z: [u, r U2 r']]</t>
  </si>
  <si>
    <t>z u r U2 r' u' r U2 r' z'</t>
  </si>
  <si>
    <t>l r U2 r' D' r U2 r' D l'</t>
  </si>
  <si>
    <t>[U': [d', M U M']]</t>
  </si>
  <si>
    <t>[z: [u, r U r']]</t>
  </si>
  <si>
    <t>z u r U r' u' r U' r' z'</t>
  </si>
  <si>
    <t>[R2 D: [R2, U' r2 U]]</t>
  </si>
  <si>
    <t>R2 D R2 U' r2 U R2 U' r2 U D' R2</t>
  </si>
  <si>
    <t>[3Rw': [M' U' M, u']]</t>
  </si>
  <si>
    <t>Rw' U' M u' M' U M u 3Rw</t>
  </si>
  <si>
    <t>[U: [l' U' l, u]]</t>
  </si>
  <si>
    <t>U l' U' l u l' U l Uw'</t>
  </si>
  <si>
    <t>[U' M: [d', M U M']]</t>
  </si>
  <si>
    <t>[Uw r Uw', l']</t>
  </si>
  <si>
    <t>Uw r Uw' l' Uw r' Uw' l</t>
  </si>
  <si>
    <t>[4Uw: [r2, U' M U]]</t>
  </si>
  <si>
    <t>[z': [d, l' U2 l]]</t>
  </si>
  <si>
    <t>z' d l' U2 l d' l' U2 l z'</t>
  </si>
  <si>
    <t>[U' M': [d, M' U' M]]</t>
  </si>
  <si>
    <t>[z': [d, l' U l]]</t>
  </si>
  <si>
    <t>z' d l' U l d' l' U' l z'</t>
  </si>
  <si>
    <t>[u2, r' U2 r]</t>
  </si>
  <si>
    <t>u2 r' U2 r u2 r' U2 r</t>
  </si>
  <si>
    <t>[4Uw': [l2, U' M' U]]</t>
  </si>
  <si>
    <t>[F: [r U r', u2]]</t>
  </si>
  <si>
    <t>F r U r' u2 r U' r' u2 F'</t>
  </si>
  <si>
    <t>[r E' r', U]</t>
  </si>
  <si>
    <t>r E' r' U r E r' U'</t>
  </si>
  <si>
    <t>[F: [l, U r U']]</t>
  </si>
  <si>
    <t>F l U r U' l' U r' U' F'</t>
  </si>
  <si>
    <t>[U r' U', l']</t>
  </si>
  <si>
    <t>U r' U' l' U r U' l</t>
  </si>
  <si>
    <t>[D: [U r2 U', l']]</t>
  </si>
  <si>
    <t>D U r2 U' l' U r2 U' l D'</t>
  </si>
  <si>
    <t>[U r2 U', l']</t>
  </si>
  <si>
    <t>U r2 U' l' U r2 U' l</t>
  </si>
  <si>
    <t>[U: [U2, r E' r']]</t>
  </si>
  <si>
    <t>U' r E' r' U2 r E r' U'</t>
  </si>
  <si>
    <t>[D': [U r2 U', l']]</t>
  </si>
  <si>
    <t>D' U r2 U' l' U r2 U' l D</t>
  </si>
  <si>
    <t>[l E l', U']</t>
  </si>
  <si>
    <t>l E l' U' l E' l' U</t>
  </si>
  <si>
    <t>[M', 3Uw r' 3Uw']</t>
  </si>
  <si>
    <t>[D2: [U r2 U', l']]</t>
  </si>
  <si>
    <t>D2 U r2 U' l' U r2 U' l D2</t>
  </si>
  <si>
    <t>[L2: [E, r U r']]</t>
  </si>
  <si>
    <t>[Lw: [r, U' l' U]]</t>
  </si>
  <si>
    <t>[F: [E, l' U' l]]</t>
  </si>
  <si>
    <t>[E, l' U' l]</t>
  </si>
  <si>
    <t>[y: [U' M' U, r']]</t>
  </si>
  <si>
    <t>[U': [U2, l' u2 l]]</t>
  </si>
  <si>
    <t>U l' u2 l U2 l' u2 l U</t>
  </si>
  <si>
    <t>[R' y: [U' M' U, r']]</t>
  </si>
  <si>
    <t>[l' u2 l, U']</t>
  </si>
  <si>
    <t>l' u2 l U' l' u2 l U</t>
  </si>
  <si>
    <t>[R E': [r' U r, E2]]</t>
  </si>
  <si>
    <t>[L: [r U r', u']]</t>
  </si>
  <si>
    <t>L r U r' u' r U' r' u L'</t>
  </si>
  <si>
    <t>[E': [r' U r, E2]]</t>
  </si>
  <si>
    <t>[r U r', u']</t>
  </si>
  <si>
    <t>r U r' u' r U' r' u</t>
  </si>
  <si>
    <t>[3Rw: [d', l U' l']]</t>
  </si>
  <si>
    <t>4Rw d' l U' l' d l U 3Rw'</t>
  </si>
  <si>
    <t>[L2: [r U r', u']]</t>
  </si>
  <si>
    <t>L2 r U r' u' r U' r' u L2</t>
  </si>
  <si>
    <t>[3Lw: [M' U M, u']]</t>
  </si>
  <si>
    <t>Lw U M u' M' U' M u 3Lw'</t>
  </si>
  <si>
    <t>[R: [r U r', u]]</t>
  </si>
  <si>
    <t>Rw U r' u r U' r' u' R'</t>
  </si>
  <si>
    <t>[M, 3Uw r' 3Uw']</t>
  </si>
  <si>
    <t>[r U r', u]</t>
  </si>
  <si>
    <t>r U r' u r U' r' u'</t>
  </si>
  <si>
    <t>[R': [r U r', u]]</t>
  </si>
  <si>
    <t>R2' Rw U r' u r U' r' u' R</t>
  </si>
  <si>
    <t>[E', r' U r]</t>
  </si>
  <si>
    <t>[R2: [r U r', u]]</t>
  </si>
  <si>
    <t>R Rw U r' u r U' r' u' R2</t>
  </si>
  <si>
    <t>[M2, 3Uw r' 3Uw']</t>
  </si>
  <si>
    <t>[x' U': [r2, U' l' U]]</t>
  </si>
  <si>
    <t>x' U' r2 U' l' U r2 U' l U2 x</t>
  </si>
  <si>
    <t>[r': [E', r' U r]]</t>
  </si>
  <si>
    <t>[r U r', u2]</t>
  </si>
  <si>
    <t>r U r' u2 r U' r' u2</t>
  </si>
  <si>
    <t>[4Uw': [U M2 U', l']]</t>
  </si>
  <si>
    <t>[l, U r U']</t>
  </si>
  <si>
    <t>l U r U' l' U r' U'</t>
  </si>
  <si>
    <t>[x': [r2, U' l' U]]</t>
  </si>
  <si>
    <t>x' r2 U' l' U r2 U' l U' x</t>
  </si>
  <si>
    <t>[l': [E, l' U' l]]</t>
  </si>
  <si>
    <t>[l2, U r U']</t>
  </si>
  <si>
    <t>l2 U r U' l2 U r' U'</t>
  </si>
  <si>
    <t>[Rw': [U r U', M']]</t>
  </si>
  <si>
    <t>[D': [l2, U r U']]</t>
  </si>
  <si>
    <t>D' l2 U r U' l2 U r' U' D</t>
  </si>
  <si>
    <t>Rw' U r U' M' U r' U' 3Rw' Rw2</t>
  </si>
  <si>
    <t>[D2: [l2, U r U']]</t>
  </si>
  <si>
    <t>D2 l2 U r U' l2 U r' U' D2</t>
  </si>
  <si>
    <t>[D: [l2, U r U']]</t>
  </si>
  <si>
    <t>D l2 U r U' l2 U r' U' D'</t>
  </si>
  <si>
    <t>[U', l' d2 l]</t>
  </si>
  <si>
    <t>U' l' d2 l U l' d2 l</t>
  </si>
  <si>
    <t>[U' Rw' U: [U r U', M']]</t>
  </si>
  <si>
    <t>U' Rw' U2 r U' M' U r' U' M U' Rw U</t>
  </si>
  <si>
    <t>[Lw: [M', U' l' U]]</t>
  </si>
  <si>
    <t>Lw2 3Lw' U' l' U M U' l U Lw'</t>
  </si>
  <si>
    <t>[U2, l' d2 l]</t>
  </si>
  <si>
    <t>U2 l' d2 l U2 l' d2 l</t>
  </si>
  <si>
    <t>[U': [M' U M, u']]</t>
  </si>
  <si>
    <t>U' M' U M u' M' U' M Uw</t>
  </si>
  <si>
    <t>[U, l' d2 l]</t>
  </si>
  <si>
    <t>U l' d2 l U' l' d2 l</t>
  </si>
  <si>
    <t>[F: [r U r', E]]</t>
  </si>
  <si>
    <t>F r U r' E r U' r' E' F'</t>
  </si>
  <si>
    <t>[r: [U2, r u r']]</t>
  </si>
  <si>
    <t>r U2 r u r' U2 r u' r2</t>
  </si>
  <si>
    <t>[F', [r U r', u']]</t>
  </si>
  <si>
    <t>F' r U r' u' r U' r' u F</t>
  </si>
  <si>
    <t>[3Uw r' 3Uw', M']</t>
  </si>
  <si>
    <t>[r U2 r', d]</t>
  </si>
  <si>
    <t>r U2 r' d r U2 r' d'</t>
  </si>
  <si>
    <t>[U: [M' U' M, u]]</t>
  </si>
  <si>
    <t>U M' U' M u M' U M Uw'</t>
  </si>
  <si>
    <t>[L': [r U2 r', d]]</t>
  </si>
  <si>
    <t>L' r U2 r' d r U2 r' d' L</t>
  </si>
  <si>
    <t>[3Uw r 3Uw', M']</t>
  </si>
  <si>
    <t>[r: [U2, r u' r']]</t>
  </si>
  <si>
    <t>r U2 r u' r' U2 r u r2</t>
  </si>
  <si>
    <t>[R: [r U2 r', d']]</t>
  </si>
  <si>
    <t>Rw U2 r' d' r U2 r' d R'</t>
  </si>
  <si>
    <t>[R U: [M' U' M, u]]</t>
  </si>
  <si>
    <t>R U M' U' M u M' U M Uw' R'</t>
  </si>
  <si>
    <t>[r U2 r', d']</t>
  </si>
  <si>
    <t>r U2 r' d' r U2 r' d</t>
  </si>
  <si>
    <t>[U': [M' U M, u2]]</t>
  </si>
  <si>
    <t>U' M' U M u2 M' U' M Uw2 U'</t>
  </si>
  <si>
    <t>[R': [r U2 r', d']]</t>
  </si>
  <si>
    <t>R2' Rw U2 r' d' r U2 r' d R</t>
  </si>
  <si>
    <t>[U' l U, M']</t>
  </si>
  <si>
    <t>[U' x': [r2, U l' U']]</t>
  </si>
  <si>
    <t>U' x' r2 U l' U' r2 U l U' x U</t>
  </si>
  <si>
    <t>[F: [M, U r U']]</t>
  </si>
  <si>
    <t>[U': [l, U' r U]]</t>
  </si>
  <si>
    <t>U' l U' r U l' U' r' U2</t>
  </si>
  <si>
    <t>[U r' U', M']</t>
  </si>
  <si>
    <t>[r U2 r', d2]</t>
  </si>
  <si>
    <t>r U2 r' d2 r U2 r' d2</t>
  </si>
  <si>
    <t>[x U': [U' l U, r2]]</t>
  </si>
  <si>
    <t>[D: [U r2 U', M']]</t>
  </si>
  <si>
    <t>x U2 l U r2 U' l' U r2 U x'</t>
  </si>
  <si>
    <t>[U r2 U', M']</t>
  </si>
  <si>
    <t>[F': [l2, U r U']]</t>
  </si>
  <si>
    <t>F' l2 U r U' l2 U r' U' F</t>
  </si>
  <si>
    <t>[D': [U r2 U', M']]</t>
  </si>
  <si>
    <t>[F2: [U r2 U', l']]</t>
  </si>
  <si>
    <t>F2 U r2 U' l' U r2 U' l F2</t>
  </si>
  <si>
    <t>[U' l2 U, M']</t>
  </si>
  <si>
    <t>[D U': [l2, U' r U]]</t>
  </si>
  <si>
    <t>D U' l2 U' r U l2 U' r' U2 D'</t>
  </si>
  <si>
    <t>[3Lw: [r, U' M' U]]</t>
  </si>
  <si>
    <t>3Lw2 4Lw' U' M' U r' U' M U 3Lw'</t>
  </si>
  <si>
    <t>[U': [l2, U' r U]]</t>
  </si>
  <si>
    <t>U' l2 U' r U l2 U' r' U2</t>
  </si>
  <si>
    <t>[r d2 r', U]</t>
  </si>
  <si>
    <t>r d2 r' U r d2 r' U'</t>
  </si>
  <si>
    <t>[U': [U2, l' E2 l]]</t>
  </si>
  <si>
    <t>U l' E2 l U'2 l' E2 l U</t>
  </si>
  <si>
    <t>[l' E2 l, U']</t>
  </si>
  <si>
    <t>l' E2 l U' l' E2 l U</t>
  </si>
  <si>
    <t>[L: [r U r', E]]</t>
  </si>
  <si>
    <t>L r U r' E r U' r' E' L'</t>
  </si>
  <si>
    <t>[U: [U2, r d2 r']]</t>
  </si>
  <si>
    <t>U' r d2 r' U2 r d2 r' U'</t>
  </si>
  <si>
    <t>[r U r', E]</t>
  </si>
  <si>
    <t>r U r' E r U' r' E'</t>
  </si>
  <si>
    <t>[U: [U, r d2 r']]</t>
  </si>
  <si>
    <t>U2 r d2 r' U' r d2 r' U'</t>
  </si>
  <si>
    <t>[z' R': [u, l' U' l]]</t>
  </si>
  <si>
    <t>z R' u l' U' l u' l' U l R z'</t>
  </si>
  <si>
    <t>[R: [r U r', E']]</t>
  </si>
  <si>
    <t>[F2: [r U r', u']]</t>
  </si>
  <si>
    <t>F2 r U r' u'  r U' r' u F2</t>
  </si>
  <si>
    <t>[r U r', E']</t>
  </si>
  <si>
    <t>[F': [r U2 r', d]]</t>
  </si>
  <si>
    <t>F' r U2 r' d r U2 r' d' F</t>
  </si>
  <si>
    <t>[R': [r U r', E']]</t>
  </si>
  <si>
    <t>[d': [d', r' U r]]</t>
  </si>
  <si>
    <t>d2 r' U r d r' U' r d</t>
  </si>
  <si>
    <t>[Uw': [U' r' U, l']]</t>
  </si>
  <si>
    <t>Uw' U' r' U l' U' r U l Uw</t>
  </si>
  <si>
    <t>[R2: [r U r', E']]</t>
  </si>
  <si>
    <t>[U: [U M U', r]]</t>
  </si>
  <si>
    <t>[F2: [r U2 r', u]]</t>
  </si>
  <si>
    <t>F2 r U2 r' u  r U2 r' u' F2</t>
  </si>
  <si>
    <t>[r U r', E2]</t>
  </si>
  <si>
    <t>[F': [r U2 r', d']]</t>
  </si>
  <si>
    <t>F' r U2 r' d' r U2 r' d F</t>
  </si>
  <si>
    <t>[M, U r U']</t>
  </si>
  <si>
    <t>[d: [d, r' U r]]</t>
  </si>
  <si>
    <t>d2 r' U r d' r' U r d'</t>
  </si>
  <si>
    <t>[x': [r2, U' M' U]]</t>
  </si>
  <si>
    <t>[U': [U' r' U, l']]</t>
  </si>
  <si>
    <t>U2 r' U l' U' r U l U</t>
  </si>
  <si>
    <t>[M2, U r U']</t>
  </si>
  <si>
    <t>[F2: [r U r', u2]]</t>
  </si>
  <si>
    <t>F2 r U r' u2 r U' r' u2 F2</t>
  </si>
  <si>
    <t>[D': [M2, U r U']]</t>
  </si>
  <si>
    <t>[F': [r U2 r', d2]]</t>
  </si>
  <si>
    <t>F' r U2 r' d2 r U2 r' d2 F</t>
  </si>
  <si>
    <t>[U2: [M2, U' r U]]</t>
  </si>
  <si>
    <t>[d2, r' U r]]</t>
  </si>
  <si>
    <t>d2 r' U r d2 r' U' r</t>
  </si>
  <si>
    <t>[D: [M2, U r U']]</t>
  </si>
  <si>
    <t>[F2: [l2, U r U']]</t>
  </si>
  <si>
    <t>F2 l2 U r U' l2 U r' U'</t>
  </si>
  <si>
    <t>[Rw' U2: [U' r U, M']]</t>
  </si>
  <si>
    <t>[F: [U r2 U', l']]</t>
  </si>
  <si>
    <t>Rw' U r U M' U' r' U M U2 Rw</t>
  </si>
  <si>
    <t>F U r2 U' l' U r2 U' l F'</t>
  </si>
  <si>
    <t>[U': [U' r2 U, l']]</t>
  </si>
  <si>
    <t>U2 r2 U l' U' r2 U l U</t>
  </si>
  <si>
    <t>[D' U': [U' r2 U, l']]</t>
  </si>
  <si>
    <t>D' U2 r2 U l' U' r2 U l U D</t>
  </si>
  <si>
    <t>[U', l u l']</t>
  </si>
  <si>
    <t>U' l u l' U l u' l'</t>
  </si>
  <si>
    <t>[U Rw' U': [M', U' r U]]</t>
  </si>
  <si>
    <t>U Rw' U' M' U' r U M U' r' U2 Rw U'</t>
  </si>
  <si>
    <t>[U2 Rw': [U' r U, M']]</t>
  </si>
  <si>
    <t>U2 Rw' U' r U M' U' r' U 3Rw' Rw2 U2</t>
  </si>
  <si>
    <t>[U' 3Rw: [U', M' u M]]</t>
  </si>
  <si>
    <t>U' 3Rw U' M' u M U M' u' 3Rw2' Rw U</t>
  </si>
  <si>
    <t>[U2, l u l']</t>
  </si>
  <si>
    <t>U2 l u l' U2 l u' l'</t>
  </si>
  <si>
    <t>[F': [r U r', E]]</t>
  </si>
  <si>
    <t>F' r U r' E r U' r' E' F</t>
  </si>
  <si>
    <t>[U, l u l']</t>
  </si>
  <si>
    <t>U l u l' U' l u' l'</t>
  </si>
  <si>
    <t>[u: [u2, r' U2 r]]</t>
  </si>
  <si>
    <t>u' r' U2 r u2 r' U2 r u'</t>
  </si>
  <si>
    <t>[R u: [r U r', u2]]</t>
  </si>
  <si>
    <t>R u r U r' u2 r U' r' u R'</t>
  </si>
  <si>
    <t>[x' z': [U l' U', r2]]</t>
  </si>
  <si>
    <t>x' z' U l' U' r2 U l U' r2 z x</t>
  </si>
  <si>
    <t>[F': [r U r', E']]</t>
  </si>
  <si>
    <t>[y: [r', U' l' U]]</t>
  </si>
  <si>
    <t>y r' U' l' U r U' l U y'</t>
  </si>
  <si>
    <t>[U: [M' U M, d']]</t>
  </si>
  <si>
    <t>[U: [u, l' U' l]]</t>
  </si>
  <si>
    <t>Uw l' U' l u' l' U l U'</t>
  </si>
  <si>
    <t>[F: [l' U' l, E']]</t>
  </si>
  <si>
    <t>[R: [u, r U r']]</t>
  </si>
  <si>
    <t>R u r U r' u' r U' Rw'</t>
  </si>
  <si>
    <t>[U' 3Rw': [M2, U' r U]]</t>
  </si>
  <si>
    <t>U' 3Rw Rw2' U' r U M2 U' r' U 3Rw U</t>
  </si>
  <si>
    <t>[r: [r u' r', U2]]</t>
  </si>
  <si>
    <t>r2 u' r' U2 r u r' U2 r'</t>
  </si>
  <si>
    <t>[U': [l, U' M' U]]</t>
  </si>
  <si>
    <t>[Uw': [l', U' r' U]]</t>
  </si>
  <si>
    <t>Uw' l' U' r' U r U' r U Uw</t>
  </si>
  <si>
    <t>[U: [M' U M, d2]]</t>
  </si>
  <si>
    <t>[u', r' U2 r]</t>
  </si>
  <si>
    <t>u' r' U2 r u r' U2 r</t>
  </si>
  <si>
    <t>[U: [r', U M' U']]</t>
  </si>
  <si>
    <t>[R u: [r U r', u]]</t>
  </si>
  <si>
    <t>R u r U r' u r U' r' u2 R'</t>
  </si>
  <si>
    <t>[F': [M2, U r U']]</t>
  </si>
  <si>
    <t>[Rw: [l, Uw r Uw']]</t>
  </si>
  <si>
    <t>3Rw2 4Rw' Uw r Uw' l' Uw r' Uw' 3Rw'</t>
  </si>
  <si>
    <t>[U: [r2, U M' U']]</t>
  </si>
  <si>
    <t>[u: [U r' U', l']]</t>
  </si>
  <si>
    <t>Uw r' U' l' U r U' l u'</t>
  </si>
  <si>
    <t>[D' U: [r2, U M' U']]</t>
  </si>
  <si>
    <t>[Rw: [l2, Uw r Uw']]</t>
  </si>
  <si>
    <t>3Rw' 4Rw2 Uw r Uw' l2 Uw r' Uw' 3Rw'</t>
  </si>
  <si>
    <t>[U': [l2, U' M' U]]</t>
  </si>
  <si>
    <t>[Rw: [u, r U r']]</t>
  </si>
  <si>
    <t>Rw u r U r' u' r U' Rw2' R</t>
  </si>
  <si>
    <t>[r E2 r', U]</t>
  </si>
  <si>
    <t>r E2 r' U r E2 r' U'</t>
  </si>
  <si>
    <t>[r': [u', r' U2 r]]</t>
  </si>
  <si>
    <t>r' u' r' U2 r u r' U2 r2</t>
  </si>
  <si>
    <t>[Uw': [l2, U' r' U]]</t>
  </si>
  <si>
    <t>Uw' l2 U' r' U l2 U' r U Uw</t>
  </si>
  <si>
    <t>[r' u r, U]</t>
  </si>
  <si>
    <t>r' u r U r' u' r U'</t>
  </si>
  <si>
    <t>[U: [U2, r E2 r']]</t>
  </si>
  <si>
    <t>U' r E2 r' U2 r E2 r' U'</t>
  </si>
  <si>
    <t>[3Rw': [l', U M' U']]</t>
  </si>
  <si>
    <t>3Rw2' 4Rw U M' U' l U M U' 3Rw</t>
  </si>
  <si>
    <t>[U: [U2, r' u r]]</t>
  </si>
  <si>
    <t>U' r' u r U2 r' u' r U'</t>
  </si>
  <si>
    <t>[L': [l' U' l, E]]</t>
  </si>
  <si>
    <t>Lw' U' l E l' U l E' L</t>
  </si>
  <si>
    <t>[l' u' l, U']</t>
  </si>
  <si>
    <t>l' u' l U' l' u l U</t>
  </si>
  <si>
    <t>[F2: [r U r', E]]</t>
  </si>
  <si>
    <t>F2 r U r' E r U' r' E' F2</t>
  </si>
  <si>
    <t>[R' u: [u2, r' U2 r]]</t>
  </si>
  <si>
    <t>R' u' r' U2 r u2 r' U2 r u' R</t>
  </si>
  <si>
    <t>[u: [r U r', u2]]</t>
  </si>
  <si>
    <t>u r U r' u2 r U' r' u</t>
  </si>
  <si>
    <t>[y: [U' l U, r]]</t>
  </si>
  <si>
    <t>y U' l U r U' l' U r' y'</t>
  </si>
  <si>
    <t>[R y: [r', U' l' U]]</t>
  </si>
  <si>
    <t>R y r' U' l' U r U' l U y' R'</t>
  </si>
  <si>
    <t>[R': [l' U' l, E']]</t>
  </si>
  <si>
    <t>[l', Uw r Uw']</t>
  </si>
  <si>
    <t>l' Uw r Uw' l Uw r' Uw'</t>
  </si>
  <si>
    <t>[R2: [l' U' l, E']]</t>
  </si>
  <si>
    <t>[u, r U r']</t>
  </si>
  <si>
    <t>u r U r' u' r U' r'</t>
  </si>
  <si>
    <t>[R: [d', r U2 r']]</t>
  </si>
  <si>
    <t>R d' r U2 r' d r U2 Rw'</t>
  </si>
  <si>
    <t>[F2: [u, r U2 r']]</t>
  </si>
  <si>
    <t>F2 u r U2 r' u' r U2 r' F2</t>
  </si>
  <si>
    <t>[R: [l' U' l, E']]</t>
  </si>
  <si>
    <t>[R': [u', r' U2 r]]</t>
  </si>
  <si>
    <t>R' u' r' U2 r u r' U2 Rw</t>
  </si>
  <si>
    <t>[l' U' l, E']</t>
  </si>
  <si>
    <t>[u: [r U r', u]]</t>
  </si>
  <si>
    <t>u r U r' u r U' r' u2</t>
  </si>
  <si>
    <t>[U': [U' M U, l']]</t>
  </si>
  <si>
    <t>[l, Uw r Uw']</t>
  </si>
  <si>
    <t>l Uw r Uw' l' Uw r' Uw'</t>
  </si>
  <si>
    <t>[x': [l2, U M' U']]</t>
  </si>
  <si>
    <t>[r': [r' u r, U]]</t>
  </si>
  <si>
    <t>r2' u r U r' u' r U' r</t>
  </si>
  <si>
    <t>[M, U' l' U]</t>
  </si>
  <si>
    <t>[l2, Uw r Uw']</t>
  </si>
  <si>
    <t>l2 Uw r Uw' l2 Uw r' Uw'</t>
  </si>
  <si>
    <t>[l' U' l, E2]</t>
  </si>
  <si>
    <t>[r: [u, r U2 r']]</t>
  </si>
  <si>
    <t>r u r U2 r' u' r U2 r2</t>
  </si>
  <si>
    <t>[M2, U' l' U]</t>
  </si>
  <si>
    <t>[Uw': [U' r2 U, l]]</t>
  </si>
  <si>
    <t>Uw' U' r2 U l U' r2 U l' Uw</t>
  </si>
  <si>
    <t>[D: [l2, Uw r Uw']]</t>
  </si>
  <si>
    <t>D l2 Uw R Uw' l2 Uw r' Uw' D'</t>
  </si>
  <si>
    <t>[D': [M2, U' l' U]]</t>
  </si>
  <si>
    <t>[U', l' d l]</t>
  </si>
  <si>
    <t>U' l' d l U l' d' l</t>
  </si>
  <si>
    <t>[U': [U' M2 U, l']]</t>
  </si>
  <si>
    <t>[D: [M2, U' l' U]]</t>
  </si>
  <si>
    <t>[r' d' r, U2]</t>
  </si>
  <si>
    <t>r' d' r U2 r' d r U2</t>
  </si>
  <si>
    <t>[U', M u M']</t>
  </si>
  <si>
    <t>U' M u M' U M u' M'</t>
  </si>
  <si>
    <t>[U, l' d l]</t>
  </si>
  <si>
    <t>U l' d l U' l' d' l</t>
  </si>
  <si>
    <t>[R2 u: [u2, r' U2 r]]</t>
  </si>
  <si>
    <t>R2 u' r' U2 r u2 r' U2 r u' R2</t>
  </si>
  <si>
    <t>[R' u: [r U r', u2]]</t>
  </si>
  <si>
    <t>R' u r U r' u2 r U' r' u R</t>
  </si>
  <si>
    <t>[U2, M u M']</t>
  </si>
  <si>
    <t>U2 M u M' U2 M u' M'</t>
  </si>
  <si>
    <t>[R2 y: [r', U' l' U]]</t>
  </si>
  <si>
    <t>R2 y r' U' l' U r U' l U y' R2</t>
  </si>
  <si>
    <t>[U, M u M']</t>
  </si>
  <si>
    <t>U M u M' U' M u' M'</t>
  </si>
  <si>
    <t>[z': [l' U2 l, d]]</t>
  </si>
  <si>
    <t>z' l' U2 l d l' U2 l d' z</t>
  </si>
  <si>
    <t>[Uw': [u2, M' U M]]</t>
  </si>
  <si>
    <t>U2 Uw M' U M u2 M' U' M Uw</t>
  </si>
  <si>
    <t>[R': [u, r U r']]</t>
  </si>
  <si>
    <t>R' u r U r' u' r U' Rw' R2</t>
  </si>
  <si>
    <t>[R E: [E2, r U r']]</t>
  </si>
  <si>
    <t>R E' r U r' E2 r U' r' E' R'</t>
  </si>
  <si>
    <t>[d', r U2 r']</t>
  </si>
  <si>
    <t>d' r U2 r' d r U2 r'</t>
  </si>
  <si>
    <t>[F': [d', r U2 r']]</t>
  </si>
  <si>
    <t>F' d' r U2 r' d r U2 r' F</t>
  </si>
  <si>
    <t>[r': [r' d' r, U2]]</t>
  </si>
  <si>
    <t>r2' d' r U2 r' d r U2 r</t>
  </si>
  <si>
    <t>[R' u: [r U r', u]]</t>
  </si>
  <si>
    <t>R' u r U r' u r U' r' u2 R</t>
  </si>
  <si>
    <t>[Rw': [l, Uw r Uw']]</t>
  </si>
  <si>
    <t>4Rw' Uw r Uw' l' Uw r' Uw' 3Rw</t>
  </si>
  <si>
    <t>[Rw': [r' u r, U]]</t>
  </si>
  <si>
    <t>Rw2' R u r U r' u' r U' Rw</t>
  </si>
  <si>
    <t>[Rw': [l2, Uw r Uw']]</t>
  </si>
  <si>
    <t>4Rw2' 3Rw Uw r Uw' l2 Uw r' Uw' 3Rw</t>
  </si>
  <si>
    <t>[D r: [d', r U2 r']]</t>
  </si>
  <si>
    <t>D r d' r U2 r' d r U2 r2 D'</t>
  </si>
  <si>
    <t>[U': [u', M U' M']]</t>
  </si>
  <si>
    <t>[r: [d', r U2 r']]</t>
  </si>
  <si>
    <t>r d' r U2 r' d r U2 r2</t>
  </si>
  <si>
    <t>[R: [E, l U' l']]</t>
  </si>
  <si>
    <t>[D' r: [d', r U2 r']]</t>
  </si>
  <si>
    <t>D' r d' r U2 r' d r U2 r2 D</t>
  </si>
  <si>
    <t>[Rw: [M, 3Uw r 3Uw']]</t>
  </si>
  <si>
    <t>Rw' 3Rw2 3Uw r 3Uw' M' 3Uw r' 3Uw' Rw'</t>
  </si>
  <si>
    <t>[r d r', U]</t>
  </si>
  <si>
    <t>r d r' U r d' r' U'</t>
  </si>
  <si>
    <t>[R': [E, r' U r]]</t>
  </si>
  <si>
    <t>[U' M': [u, M' U M]]</t>
  </si>
  <si>
    <t>[Uw: [r2, U' M' U]]</t>
  </si>
  <si>
    <t>[U: [U2, r d r']]</t>
  </si>
  <si>
    <t>U' r d r' U2 r d' r' U'</t>
  </si>
  <si>
    <t>[U' M: [u', M U' M']]</t>
  </si>
  <si>
    <t>[l d' l', U']</t>
  </si>
  <si>
    <t>l d' l' U' l d l' U</t>
  </si>
  <si>
    <t>[Uw': [l2, U' M U]]</t>
  </si>
  <si>
    <t>[R u: [u2, r' U2 r]]</t>
  </si>
  <si>
    <t>R u' r' U2 r u2 r' U2 r u' R'</t>
  </si>
  <si>
    <t>[r' E' r, U]</t>
  </si>
  <si>
    <t>r' E' r U r' E r U'</t>
  </si>
  <si>
    <t>[R2 u: [r U r', u2]]</t>
  </si>
  <si>
    <t>R2 u r U r' u2 r U' r' u R2</t>
  </si>
  <si>
    <t>[z U: [l2, Uw r Uw']]</t>
  </si>
  <si>
    <t>z U l2 Uw r Uw' l2 Uw r' Uw' U' z'</t>
  </si>
  <si>
    <t>[U: [U2, r' E' r]]</t>
  </si>
  <si>
    <t>U' r' E' r U2 r' E r U'</t>
  </si>
  <si>
    <t>[d': [d2, r' U r]]</t>
  </si>
  <si>
    <t>d r' U r d2 r' U r d</t>
  </si>
  <si>
    <t>[l' E l, U']</t>
  </si>
  <si>
    <t>l' E l U' l' E' l U</t>
  </si>
  <si>
    <t>[z': [l' U l, d]]</t>
  </si>
  <si>
    <t>z' l' U l d l' U' l d' z</t>
  </si>
  <si>
    <t>[R' [Uw': [u2, M' U M]]</t>
  </si>
  <si>
    <t xml:space="preserve">R' U2 Uw M' U M u2 M' U' M UwR </t>
  </si>
  <si>
    <t>[R2: [u, r U r']]</t>
  </si>
  <si>
    <t>R2 u r U r' u' r U' Rw' R'</t>
  </si>
  <si>
    <t>[E: [E2, r U r']]</t>
  </si>
  <si>
    <t>E' r U r' E2 r U' r' E'</t>
  </si>
  <si>
    <t>[R': [d', r U2 r']]</t>
  </si>
  <si>
    <t>R' d' r U2 r' d r U2 Rw' R2</t>
  </si>
  <si>
    <t>[d: [r' U r, d]]</t>
  </si>
  <si>
    <t>d r' U r d r' U r d2</t>
  </si>
  <si>
    <t>[Rw': [r' d' r, U2]]</t>
  </si>
  <si>
    <t>Rw2' R d' r U2 r' d r U2 Rw</t>
  </si>
  <si>
    <t>[R2 u: [r U r', u]]</t>
  </si>
  <si>
    <t>R2 u r U r' u r U' r' u2 R2</t>
  </si>
  <si>
    <t>[R2: [l, Uw r Uw']]</t>
  </si>
  <si>
    <t>R2 l Uw r Uw' l' Uw r' Uw' R2</t>
  </si>
  <si>
    <t>[R' U': [u', M U' M']]</t>
  </si>
  <si>
    <t>[d, r' U r]</t>
  </si>
  <si>
    <t>d r' U r d' r' U' r</t>
  </si>
  <si>
    <t>[E, l U' l']</t>
  </si>
  <si>
    <t>[Rw2: [l2, Uw r Uw']]</t>
  </si>
  <si>
    <t>4Rw2 Uw r Uw' l2 Uw r' Uw' 3Rw2</t>
  </si>
  <si>
    <t>[M, 3Uw r 3Uw']</t>
  </si>
  <si>
    <t>[r': [d, r' U r]]</t>
  </si>
  <si>
    <t>r' d r' U r d' r' U' r2</t>
  </si>
  <si>
    <t>[3Rw': [M' U' M, u]]</t>
  </si>
  <si>
    <t>Rw' U' M u M' U M u' 3Rw</t>
  </si>
  <si>
    <t>[3Uw U: [r2, U l' U']]</t>
  </si>
  <si>
    <t>4Uw U r2 U l' U' r2 U l U2 4Uw'</t>
  </si>
  <si>
    <t>[M2, 3Uw r 3Uw']</t>
  </si>
  <si>
    <t>[r: [E', r U r']]</t>
  </si>
  <si>
    <t>[Dw: [l2, U r' U']]</t>
  </si>
  <si>
    <t>Dw l2 U r' U' l2 U r U' Dw'</t>
  </si>
  <si>
    <t>[3Uw: [U M2 U', r]]</t>
  </si>
  <si>
    <t>[U', l u2 l']</t>
  </si>
  <si>
    <t>U' l u2 l' U l u2 l'</t>
  </si>
  <si>
    <t>[l: [E, l U' l']]</t>
  </si>
  <si>
    <t>[U', M' d M]</t>
  </si>
  <si>
    <t>U' M' d M U M' d' M</t>
  </si>
  <si>
    <t>[U2, l u2 l']</t>
  </si>
  <si>
    <t>U2 l u2 l' U2 l u2 l'</t>
  </si>
  <si>
    <t>[U, l u2 l']</t>
  </si>
  <si>
    <t>U l u2 l' U' l u2 l'</t>
  </si>
  <si>
    <t>[M d' M', U2]</t>
  </si>
  <si>
    <t>M d' M' U2 M d M' U2</t>
  </si>
  <si>
    <t>[r' U2 r, u]</t>
  </si>
  <si>
    <t>r' U2 r u r' U2 r u'</t>
  </si>
  <si>
    <t>[R2 [Uw': [u2, M' U M]]</t>
  </si>
  <si>
    <t>R2 U2 Uw M' U M u2 M' U' M Uw R2</t>
  </si>
  <si>
    <t>[L': [r' U2 r, u]</t>
  </si>
  <si>
    <t>L' r' U2 r u r' U2 r u' L</t>
  </si>
  <si>
    <t>[R' E: [E2, r U r']]</t>
  </si>
  <si>
    <t>R' E' r U r' E2 r U' r' E' R</t>
  </si>
  <si>
    <t>[r': [U2, r' d r]]</t>
  </si>
  <si>
    <t>r' U2 r' d r U2 r' d' r2</t>
  </si>
  <si>
    <t>[L: [r' U2 r, u]]</t>
  </si>
  <si>
    <t>L r' U2 r u r' U2 r u' L'</t>
  </si>
  <si>
    <t>[r' U2 r, u2]</t>
  </si>
  <si>
    <t>r' U2 r u2 r' U2 r u2</t>
  </si>
  <si>
    <t>[x' U': [U' l' U, r2]]</t>
  </si>
  <si>
    <t>x' U2 l' U r2 U' l U r2 U x</t>
  </si>
  <si>
    <t>[U' x': [U l' U', r2]]</t>
  </si>
  <si>
    <t>U' x' U l' U' r2 U l U' r2 x U</t>
  </si>
  <si>
    <t>[U': [l', U' r' U]]</t>
  </si>
  <si>
    <t>U' l' U' r' U l U' r' U2</t>
  </si>
  <si>
    <t>[U x':</t>
  </si>
  <si>
    <t>[r' U2 r, u']</t>
  </si>
  <si>
    <t>r' U2 r u' r' U2 r u</t>
  </si>
  <si>
    <t>[R': [r' U2 r, u']]</t>
  </si>
  <si>
    <t>Rw' U2 r u' r' U2 r u R</t>
  </si>
  <si>
    <t>[R': [E, l U' l']]</t>
  </si>
  <si>
    <t>[r': [U2, r' d' r]]</t>
  </si>
  <si>
    <t>r' U2 r' d' r U2 r' d r2</t>
  </si>
  <si>
    <t>[Rw': [U2, r' d' r]]</t>
  </si>
  <si>
    <t>Rw' U2 r' d' r U2 r' d Rw2 R'</t>
  </si>
  <si>
    <t>[R: [E, r' U r]]</t>
  </si>
  <si>
    <t>[D' U': [l2, U' r' U]]</t>
  </si>
  <si>
    <t>D' U' l2 U' r' U l2 U' r U2 D</t>
  </si>
  <si>
    <t>[U' M: [d, M U M']]</t>
  </si>
  <si>
    <t>[x' U': [U' l' U, r']]</t>
  </si>
  <si>
    <t>x' U2 l' U r' U' l U r U x</t>
  </si>
  <si>
    <t>[4Uw: [r2, U M' U']]</t>
  </si>
  <si>
    <t>[D U': [l2, U' r' U]]</t>
  </si>
  <si>
    <t>D U' l2 U' r' U l2 U' r U2 D'</t>
  </si>
  <si>
    <t>[U' M': [d', M' U' M']]</t>
  </si>
  <si>
    <t>[U': [l2, U' r' U]]</t>
  </si>
  <si>
    <t>U' l2 U' r' U l2 U' r U2</t>
  </si>
  <si>
    <t>[4Uw': [l2, U M U']]</t>
  </si>
  <si>
    <t>[r' u2 r, U]</t>
  </si>
  <si>
    <t>r' u2 r U r' u2 r U'</t>
  </si>
  <si>
    <t>[r E r', U]</t>
  </si>
  <si>
    <t>r E r' U r E' r' U'</t>
  </si>
  <si>
    <t>[U: [U2, r E r']]</t>
  </si>
  <si>
    <t>U' r E r' U2 r E' r' U'</t>
  </si>
  <si>
    <t>[U: [U2, r' u2 r]]</t>
  </si>
  <si>
    <t>U' r' u2 r U2 r' u2 r U'</t>
  </si>
  <si>
    <t>[U: [U, r' u2 r]]</t>
  </si>
  <si>
    <t>[R [Uw': [u2, M' U M]]</t>
  </si>
  <si>
    <t>U2 r' u2 r U' r' u2 r U'</t>
  </si>
  <si>
    <t>R U2 Uw M' U M u2 M' U' M Uw R'</t>
  </si>
  <si>
    <t>[R2 E: [E2, r U r']]</t>
  </si>
  <si>
    <t>R2 E' r U r' E2 r U' r' E' R2</t>
  </si>
  <si>
    <t>[3Rw' U': [u', l' U' l]]</t>
  </si>
  <si>
    <t>4Rw' Uw' l' U' l u l' U l U 4Rw</t>
  </si>
  <si>
    <t>[u': [u', r U r']]</t>
  </si>
  <si>
    <t>u2 r U r' u r U' r' u</t>
  </si>
  <si>
    <t>[L' U: [l U2 l', u]]</t>
  </si>
  <si>
    <t>L' U l U2 l' u l' U2 l Uw' L</t>
  </si>
  <si>
    <t>[L2 U: [l U2 l', u]]</t>
  </si>
  <si>
    <t>L2 U l U2 l' u l' U2 l Uw' L2</t>
  </si>
  <si>
    <t>[F: [u2, r U r']]</t>
  </si>
  <si>
    <t>F u2 r U r' u2 r U' r' F'</t>
  </si>
  <si>
    <t>[R U': [u', M U' M']]</t>
  </si>
  <si>
    <t>[u2, r U r']</t>
  </si>
  <si>
    <t>u2 r U r' u2 r U' r'</t>
  </si>
  <si>
    <t>[l: [l E' l', U']]</t>
  </si>
  <si>
    <t>[U': [U' r U, l]]</t>
  </si>
  <si>
    <t>U2 r U l U' r' U l' U</t>
  </si>
  <si>
    <t>[U 3Rw': [r U r', E']]</t>
  </si>
  <si>
    <t>[E, r' U r]</t>
  </si>
  <si>
    <t>[F2: [u2, r U r']]</t>
  </si>
  <si>
    <t>F2 u2 r U r' u2 r U' r' F2</t>
  </si>
  <si>
    <t>[D r': [E, r' U r]]</t>
  </si>
  <si>
    <t>[R u: [u, r U r']]</t>
  </si>
  <si>
    <t>R u2 r U r' u' r U' r' u' R'</t>
  </si>
  <si>
    <t>[r': [E, r' U r]]</t>
  </si>
  <si>
    <t>[D' r': [E, r' U r]]</t>
  </si>
  <si>
    <t>[u: [u, r U r']]</t>
  </si>
  <si>
    <t>u2 r U r' u' r U' r' u'</t>
  </si>
  <si>
    <t>[l': [E', l' U' l]]</t>
  </si>
  <si>
    <t>[R' u: [u, r U r']]</t>
  </si>
  <si>
    <t>R' u2 r U r' u' r U' r' u' R</t>
  </si>
  <si>
    <t>[x' U2: [M', U r U']]</t>
  </si>
  <si>
    <t>x' U2 M' U r U' M U r' U x</t>
  </si>
  <si>
    <t>[R2 u: [u, r U r']]</t>
  </si>
  <si>
    <t>R2 u2 r U r' u' r U' r' u' R2</t>
  </si>
  <si>
    <t>[D r: [u2, r U r']]</t>
  </si>
  <si>
    <t>D r u2 r U r' u2 r U' r2' D'</t>
  </si>
  <si>
    <t>[r: [u2, r U r']]</t>
  </si>
  <si>
    <t>r u2 r U r' u2 r U' r2'</t>
  </si>
  <si>
    <t>[U Rw U': [M, U' r' U]]</t>
  </si>
  <si>
    <t>U Rw U' M U' r' U M' U' r U2 Rw' U'</t>
  </si>
  <si>
    <t>[U': [U' r2 U, l]]</t>
  </si>
  <si>
    <t>U2 r2 U l U' r2 U l' U</t>
  </si>
  <si>
    <t>[x' U2: [M', U' l' U]]</t>
  </si>
  <si>
    <t>x' U2 M' U' l' U M U' l U' x</t>
  </si>
  <si>
    <t>[D' U': [U' r2 U, l]]</t>
  </si>
  <si>
    <t>D' U2 r2 U l U' r2 U l' U D</t>
  </si>
  <si>
    <t>[U: [M U M', u]]</t>
  </si>
  <si>
    <t>U M U M' u M U' M' Uw'</t>
  </si>
  <si>
    <t>[x': [l', U r U']]</t>
  </si>
  <si>
    <t>x' l' U r U' l U r' U' x</t>
  </si>
  <si>
    <t>Avg</t>
  </si>
  <si>
    <t>[r' d2 r, U2]</t>
  </si>
  <si>
    <t>r' d2 r U2 r' d2 r U2</t>
  </si>
  <si>
    <t>[U': [r' d2 r, U']]</t>
  </si>
  <si>
    <t>U' r' d2 r U' r' d2 r U2</t>
  </si>
  <si>
    <t>[z: [u', l U2 l']]</t>
  </si>
  <si>
    <t>z u' l U2 l' u l' U l z'</t>
  </si>
  <si>
    <t>[z: [u', r' U r]]</t>
  </si>
  <si>
    <t>z u' r' U r u r' U' r z'</t>
  </si>
  <si>
    <t>[3Uw r' 3Uw', l]</t>
  </si>
  <si>
    <t>4Uw r' 4Uw' l 4Uw r 4Uw' l'</t>
  </si>
  <si>
    <t>[U 3Rw' U': [r, U' M U]]</t>
  </si>
  <si>
    <t>U 3Rw' U' r U' M U r' U' M' U2 3Rw U'</t>
  </si>
  <si>
    <t>[F: [U r U', l]]</t>
  </si>
  <si>
    <t>F U r U' l U r' U' l' F'</t>
  </si>
  <si>
    <t>[U: [r2, U M U']]</t>
  </si>
  <si>
    <t>[U r U', l]</t>
  </si>
  <si>
    <t>U r U' l U r' U' l'</t>
  </si>
  <si>
    <t>[U 3Rw': [U' r U, M]]</t>
  </si>
  <si>
    <t>[d2, r U2 r']</t>
  </si>
  <si>
    <t>[U': [l2, U' M U]]</t>
  </si>
  <si>
    <t>d2 r U2 r' d2 r U2 r'</t>
  </si>
  <si>
    <t>[r' E2 r, U]</t>
  </si>
  <si>
    <t>r' E2 r U r' E2 r U'</t>
  </si>
  <si>
    <t>[F': [d2, r U2 r']]</t>
  </si>
  <si>
    <t>F' d2 r U2 r' d2 r U2 r' F</t>
  </si>
  <si>
    <t>[Rw: [Uw r Uw', l]]</t>
  </si>
  <si>
    <t>3Rw Uw r Uw' l Uw r' Uw' 4Rw 3Rw2'</t>
  </si>
  <si>
    <t>[Uw r Uw', l]</t>
  </si>
  <si>
    <t>Uw r Uw' l Uw r' Uw' l'</t>
  </si>
  <si>
    <t>[Rw': [Uw r Uw', l']]</t>
  </si>
  <si>
    <t>3Rw' Uw r Uw' l Uw r' Uw' 4Rw</t>
  </si>
  <si>
    <t>[U: [U2, r' E2 r]]</t>
  </si>
  <si>
    <t>U' r' E2 r U2 r' E2 r U'</t>
  </si>
  <si>
    <t>[R2: [Uw r Uw', l]]</t>
  </si>
  <si>
    <t>R2 Uw r Uw' l Uw r' Uw' l' R2</t>
  </si>
  <si>
    <t>[x': [U M' U', l']]</t>
  </si>
  <si>
    <t>x' U M' U' l' U M U' l x</t>
  </si>
  <si>
    <t>[D: [U r2 U', l]]</t>
  </si>
  <si>
    <t>D U r2 U' l U r2 U' l' D'</t>
  </si>
  <si>
    <t>[L: [l U' l', E']]</t>
  </si>
  <si>
    <t>Lw U' l' E' l U l' E L'</t>
  </si>
  <si>
    <t>[U r2 U', l]</t>
  </si>
  <si>
    <t>U r2 U' l U r2 U' l'</t>
  </si>
  <si>
    <t>[D': [U r2 U', l]]</t>
  </si>
  <si>
    <t>D' U r2 U' l U r2 U' l' D</t>
  </si>
  <si>
    <t>[D2: [U r2 U', l]]</t>
  </si>
  <si>
    <t>D2 U r2 U' l U r2 U' l' D2</t>
  </si>
  <si>
    <t>[x': [U' l' U, r]]</t>
  </si>
  <si>
    <t>x' U' l' U r U' l U r' x</t>
  </si>
  <si>
    <t>[U': [U2, l d2 l']</t>
  </si>
  <si>
    <t>U l d2 l' U2 l d2 l' U</t>
  </si>
  <si>
    <t>[M2, U' l U]</t>
  </si>
  <si>
    <t>[l d2 l', U']</t>
  </si>
  <si>
    <t>l d2 l' U' l d2 l' U</t>
  </si>
  <si>
    <t>[D': [M2, U' l U]]</t>
  </si>
  <si>
    <t>[4Rw': [u', l' U' l]]</t>
  </si>
  <si>
    <t>4Rw' u' l' U' l u l' U 3Rw</t>
  </si>
  <si>
    <t>[U': [U' M2 U, l]]</t>
  </si>
  <si>
    <t>[r': [U, r' u' r]]</t>
  </si>
  <si>
    <t>r' U r' u' r U' r' u r2</t>
  </si>
  <si>
    <t>[3Lw: [U' M' U, l]]</t>
  </si>
  <si>
    <t>[L: [r' U r, d]]</t>
  </si>
  <si>
    <t>L r' U r d r' U' r d' L'</t>
  </si>
  <si>
    <t>[x': [M', U r U']]</t>
  </si>
  <si>
    <t>x' M' U r U' M U r' U' x</t>
  </si>
  <si>
    <t>[r' U r, d']</t>
  </si>
  <si>
    <t>r' U r d' r' U' r d</t>
  </si>
  <si>
    <t>[l', U r' U']</t>
  </si>
  <si>
    <t>l' U r' U' l U r U'</t>
  </si>
  <si>
    <t>[x': [U' l' U, r2]]</t>
  </si>
  <si>
    <t>x' U' l' U r2 U' l U r2 x</t>
  </si>
  <si>
    <t>[U' Rw U: [U r' U', M]</t>
  </si>
  <si>
    <t>U' Rw U2 r' U' M U r U' M' U' Rw' U</t>
  </si>
  <si>
    <t>[x U': [r2, U' l U]]</t>
  </si>
  <si>
    <t>x U' r2 U' l U r2 U' l' U2 x'</t>
  </si>
  <si>
    <t>[x': [M', U' l' U]]</t>
  </si>
  <si>
    <t>x' M' U' l' U M U' l U x'</t>
  </si>
  <si>
    <t>[r' U r, d2]</t>
  </si>
  <si>
    <t>r' U r d2 r' U' r d2</t>
  </si>
  <si>
    <t>[3Rw' U': [u', M' U M]]</t>
  </si>
  <si>
    <t>3Rw' Uw' M' U M u M' U' M U 3Rw</t>
  </si>
  <si>
    <t>[u: [l', U r' U']]</t>
  </si>
  <si>
    <t>u l' U r' U' l U r Uw'</t>
  </si>
  <si>
    <t>[r': [U, r' u r]]</t>
  </si>
  <si>
    <t>r' U r' u r U' r' u' r2</t>
  </si>
  <si>
    <t>[Rw': [U, r' u r]]</t>
  </si>
  <si>
    <t>Rw' U r' u r U' r' u' Rw2 R'</t>
  </si>
  <si>
    <t>[r' U r, d]</t>
  </si>
  <si>
    <t>r' U r d r' U' r d'</t>
  </si>
  <si>
    <t>[l2, U r' U']</t>
  </si>
  <si>
    <t>l2 U r' U' l2 U r U'</t>
  </si>
  <si>
    <t>[D: [l2, U r' U']]</t>
  </si>
  <si>
    <t>D l2 U r' U' l2 U r U' D'</t>
  </si>
  <si>
    <t>[D2: [l2, U r' U']]</t>
  </si>
  <si>
    <t>D2 l2 U r' U' l2 U r U' D2</t>
  </si>
  <si>
    <t>[D': [l2, U r' U']]</t>
  </si>
  <si>
    <t>D' l2 U r' U' l2 U r U' D</t>
  </si>
  <si>
    <t>[Rw': [U r U', l2]]</t>
  </si>
  <si>
    <t>3Rw' U r U' l2 U r' U' 3Rw' 4Rw2</t>
  </si>
  <si>
    <t>[D: [U r2 U', M]]</t>
  </si>
  <si>
    <t>[U r2 U', M]</t>
  </si>
  <si>
    <t>[D': [U r2 U', M]]</t>
  </si>
  <si>
    <t>[U' Rw' U: [U r U', l2]]</t>
  </si>
  <si>
    <t>U' Rw' U2 r U' l2 U r' U' l2 U' Rw U</t>
  </si>
  <si>
    <t>[U' l2 U, M]</t>
  </si>
  <si>
    <t>[U Rw': [l2, U r U']]</t>
  </si>
  <si>
    <t>U 4Rw2' 3Rw U r U' l2 U r' U' 3Rw U'</t>
  </si>
  <si>
    <t>[x': [U' M' U, r]]</t>
  </si>
  <si>
    <t>x' U' M' U r U' M U r' x</t>
  </si>
  <si>
    <t>[U l': [l' U' l, u']]</t>
  </si>
  <si>
    <t>U l2 U' l u' l' U l u l U'</t>
  </si>
  <si>
    <t>[D r: [r U r', u']]</t>
  </si>
  <si>
    <t>D r2 U r' u' r U' r' u r' D'</t>
  </si>
  <si>
    <t>[D2 r: [r U2 r', d]]</t>
  </si>
  <si>
    <t>D2 r2 U2 r' d r U2 r' d' r' D2</t>
  </si>
  <si>
    <t>[U': [U2, l E2 l']]</t>
  </si>
  <si>
    <t>U l E2 l' U2 l E2 l' U</t>
  </si>
  <si>
    <t>[D r': [r' U r, d']]</t>
  </si>
  <si>
    <t>D r2' U r d' r' U' r d r D'</t>
  </si>
  <si>
    <t>[l E2 l', U']</t>
  </si>
  <si>
    <t>l E2 l' U' l E2 l' U</t>
  </si>
  <si>
    <t>[D: [l', U r2 U']]</t>
  </si>
  <si>
    <t>D l' U r2 U' l U r2 U' D'</t>
  </si>
  <si>
    <t>[L': [r' U r, E']]</t>
  </si>
  <si>
    <t>L' r' U r E' r' U' r E L</t>
  </si>
  <si>
    <t>[U r U', l2]</t>
  </si>
  <si>
    <t>U r U' l2 U r' U' l2</t>
  </si>
  <si>
    <t>[F': [U r U', l2]]</t>
  </si>
  <si>
    <t>F' U r U' l2 U r' U' l2 F</t>
  </si>
  <si>
    <t>[F2: [U r U', l2]]</t>
  </si>
  <si>
    <t>F2 U r U' l2 U r' U' l2 F2</t>
  </si>
  <si>
    <t>[Rw: [Uw r Uw', l2]]</t>
  </si>
  <si>
    <t>3Rw Uw r Uw' l2 Uw r' Uw' 4Rw2 3Rw</t>
  </si>
  <si>
    <t>[Uw r Uw', l2]</t>
  </si>
  <si>
    <t>Uw r Uw' l2 Uw r' Uw' l2</t>
  </si>
  <si>
    <t>[Rw': [Uw r Uw', l2]]</t>
  </si>
  <si>
    <t>3Rw' Uw r Uw' l2 Uw r' Uw' 4Rw2 3Rw'</t>
  </si>
  <si>
    <t>[Rw2: [Uw r Uw', l2]]</t>
  </si>
  <si>
    <t>3Rw2 U2 r Uw' l2 Uw r' Uw' 4Rw2</t>
  </si>
  <si>
    <t>[D' U': [U' r' U, l2]]</t>
  </si>
  <si>
    <t>D' U2 r' U l2 U' r U l2 U D</t>
  </si>
  <si>
    <t>[D r: [r U r', u2]]</t>
  </si>
  <si>
    <t>D r2 U r' u2 r U' r' u2 r' D'</t>
  </si>
  <si>
    <t>[M2, U r' U']</t>
  </si>
  <si>
    <t>X-Centres</t>
  </si>
  <si>
    <t>[D: [l, U r2 U']]</t>
  </si>
  <si>
    <t>D l U r2 U' l' U r2 U' D'</t>
  </si>
  <si>
    <t>[3Rw': [U M' U', r']]</t>
  </si>
  <si>
    <t>[U r' U', l2]</t>
  </si>
  <si>
    <t>U r' U' l2 U r U' l2</t>
  </si>
  <si>
    <t>[U: [U M2 U', r']</t>
  </si>
  <si>
    <t>[D: [M2, U r' U']]</t>
  </si>
  <si>
    <t>[Lw: [U' l' U, r2]]</t>
  </si>
  <si>
    <t>3Lw U' l' U r2 U' l U 3Lw 4Lw2'</t>
  </si>
  <si>
    <t>[Rw': [U r U', M2]]</t>
  </si>
  <si>
    <t>Rw' U r U' M2 U r' U' Rw' 3Rw2</t>
  </si>
  <si>
    <t>[U2, M' u2 M]</t>
  </si>
  <si>
    <t>U2 M' u2 M U2 M' u2 M</t>
  </si>
  <si>
    <t>[Lw U': [U' l' U, r2]]</t>
  </si>
  <si>
    <t>Lw U2 l' U r2 U' l U r2 U Lw</t>
  </si>
  <si>
    <t>[Lw: [U' l' U, M2]]</t>
  </si>
  <si>
    <t>Lw U' l' U M2 U' l U Lw 3Lw2'</t>
  </si>
  <si>
    <t>[U' M': [M' U M, u']]</t>
  </si>
  <si>
    <t>U' M2 U M u' M' U' M u M U</t>
  </si>
  <si>
    <t>[U Lw: [U' l' U, r2]]</t>
  </si>
  <si>
    <t>U 3Lw U' l' U r2 U' l U 3Lw 4Lw2' U'</t>
  </si>
  <si>
    <t>[U: [Uw' l' Uw, r2]]</t>
  </si>
  <si>
    <t>U Uw' l' Uw r2 Uw' l Uw r2 U'</t>
  </si>
  <si>
    <t>[r: [r U r', u']]</t>
  </si>
  <si>
    <t>r2 U r' u' r U' r' u r'</t>
  </si>
  <si>
    <t>[D r: [r U2 r', d]]</t>
  </si>
  <si>
    <t>D r2 U2 r' d r U2 r' d' r' D'</t>
  </si>
  <si>
    <t>[r': [r' U r, d']]</t>
  </si>
  <si>
    <t>r2' U r d' r' U' r d r</t>
  </si>
  <si>
    <t>[l', U r2 U']</t>
  </si>
  <si>
    <t>l' U r2 U' l U r2 U'</t>
  </si>
  <si>
    <t>[D': [U r U', l2]]</t>
  </si>
  <si>
    <t>D' U r U' l2 U r' U' l2 D</t>
  </si>
  <si>
    <t>[F2: [l', U r2 U']]</t>
  </si>
  <si>
    <t>F2 l' U r2 U' l U r2 U' F2</t>
  </si>
  <si>
    <t>[F: [l', U r2 U']]</t>
  </si>
  <si>
    <t>F l' U r2 U' l U r2 U' F'</t>
  </si>
  <si>
    <t>[Rw: [r U r', u]]</t>
  </si>
  <si>
    <t>Uw U' l' U r2 U' l U r2 Uw'</t>
  </si>
  <si>
    <t>[r: [r U2 r', u]]</t>
  </si>
  <si>
    <t>r2 U2 r' u r U2 r' u' r'</t>
  </si>
  <si>
    <t>[D r: [r U2 r', d']]</t>
  </si>
  <si>
    <t>D r2 U2 r' d' r U2 r' d r' D'</t>
  </si>
  <si>
    <t>+-Centres</t>
  </si>
  <si>
    <t>[r': [r' U r, d]]</t>
  </si>
  <si>
    <t>r2' U r d r' U' r d' r</t>
  </si>
  <si>
    <t>[x' U': [r', U' l' U]]</t>
  </si>
  <si>
    <t>x' U' r' U' l' U r U' l U2 x</t>
  </si>
  <si>
    <t>[r: [r U r', u2]]</t>
  </si>
  <si>
    <t>r2 U r' u2 r U' r' u2 r'</t>
  </si>
  <si>
    <t>[3Lw: [r2, U' M' U]]</t>
  </si>
  <si>
    <t>4Lw2 3Lw' U' M' U r2 U' M U 3Lw'</t>
  </si>
  <si>
    <t>[l, U r2 U']</t>
  </si>
  <si>
    <t>l U r2 U' l' U r2 U'</t>
  </si>
  <si>
    <t>[D: [U r' U', l2]]</t>
  </si>
  <si>
    <t>D U r' U' l2 U r U' l2 D'</t>
  </si>
  <si>
    <t>[U2 Lw: [U l' U', r2]]</t>
  </si>
  <si>
    <t>U2 3Lw U l' U' r2 U l U' 3Lw 4Lw2' U2</t>
  </si>
  <si>
    <t>[D': [M' u2 M, U2]</t>
  </si>
  <si>
    <t>D' M' u2 M U2 M' u2 M U2 D</t>
  </si>
  <si>
    <t>[U' Lw U: [r2, U l' U']]</t>
  </si>
  <si>
    <t>U' Lw U r2 U l' U' r2 U l U2 Lw' U</t>
  </si>
  <si>
    <t>[U 3Lw: [U' M' U, r2]]</t>
  </si>
  <si>
    <t>U 3Lw U' M' U r2 U' M U 3Lw 4Lw2' U'</t>
  </si>
  <si>
    <t>[U' Lw: [r2, U l' U']]</t>
  </si>
  <si>
    <t>U' 4Lw2 3Lw' U l' U' r2 U l U' 3Lw' U</t>
  </si>
  <si>
    <t>[Uw: [U M U', r2]]</t>
  </si>
  <si>
    <t>Uw U M U' r2 U M' U' r2 Uw'</t>
  </si>
  <si>
    <t>[r': [r' U2 r, u]]</t>
  </si>
  <si>
    <t>r2' U2 r u r' U2 r u' r</t>
  </si>
  <si>
    <t>[D' r: [r U r', u']]</t>
  </si>
  <si>
    <t>D' r2 U r' u' r U' r' u r' D</t>
  </si>
  <si>
    <t>[r: [r U2 r', d]]</t>
  </si>
  <si>
    <t>r2 U2 r' d r U2 r' d' r'</t>
  </si>
  <si>
    <t>[3Uw': [l', U' r2 U]]</t>
  </si>
  <si>
    <t>4Uw' l' U' r2 U l U' r2 U 4Uw</t>
  </si>
  <si>
    <t>[D': [l', U r2 U']]</t>
  </si>
  <si>
    <t>D' l' U r2 U' l U r2 U' D</t>
  </si>
  <si>
    <t>[D2: [U r U', l2]]</t>
  </si>
  <si>
    <t>D2 U r U' l2 U r' U' l2 D2</t>
  </si>
  <si>
    <t>[D U': [U' r U, l2]]</t>
  </si>
  <si>
    <t>D U2 r U l2 U' r' U l2 U D'</t>
  </si>
  <si>
    <t>[U': [l', U' r2 U]]</t>
  </si>
  <si>
    <t>U' l' U' r2 U l U' r2 U2</t>
  </si>
  <si>
    <t>[r': [r' U2 r, u']]</t>
  </si>
  <si>
    <t>r2' U2 r u' r' U2 r u r</t>
  </si>
  <si>
    <t>[Uw': [l, U' r2 U]]</t>
  </si>
  <si>
    <t>Uw' l U' r2 U l' U' r2 U Uw</t>
  </si>
  <si>
    <t>[r: [r U2 r', d']]</t>
  </si>
  <si>
    <t>r2 U2 r' d' r U2 r' d r'</t>
  </si>
  <si>
    <t>[3Uw U: [U l' U', r2]]</t>
  </si>
  <si>
    <t>4Uw U2 l' U' r2 U l U' r2 U' 4Uw'</t>
  </si>
  <si>
    <t>[D U': [U' r' U, l2]]</t>
  </si>
  <si>
    <t>D U2 r' U l2 U' r U l2 U D'</t>
  </si>
  <si>
    <t>[U': [l, U' r2 U]]</t>
  </si>
  <si>
    <t>U' l U' r2 U l' U' r2 U2</t>
  </si>
  <si>
    <t>[D': [l, U r2 U']]</t>
  </si>
  <si>
    <t>D' l U r2 U' l' U r2 U' D</t>
  </si>
  <si>
    <t>[D2: [U r' U', l2]]</t>
  </si>
  <si>
    <t>D2 U r' U' l2 U r U' l2 D2</t>
  </si>
  <si>
    <t>[U', M u2 M']</t>
  </si>
  <si>
    <t>U' M u2 M' U M u2 M'</t>
  </si>
  <si>
    <t>[U2 Rw': [l2, U' r U]]</t>
  </si>
  <si>
    <t>U2 4Rw2' 3Rw U' r U l2 U' r' U 3Rw U2</t>
  </si>
  <si>
    <t>[U2, M u2 M']</t>
  </si>
  <si>
    <t>U2 M u2 M' U2 M u2 M'</t>
  </si>
  <si>
    <t>[Rw' U': [U' r U, l2]]</t>
  </si>
  <si>
    <t>Rw' U2 r U l2 U' r' U l2 U Rw</t>
  </si>
  <si>
    <t>[U, M u2 M']</t>
  </si>
  <si>
    <t>U M u2 M' U' M u2 M'</t>
  </si>
  <si>
    <t>[D Uw': [U M' U', l2]]</t>
  </si>
  <si>
    <t>[U' Rw': [U' r U, l2]]</t>
  </si>
  <si>
    <t>Uw' D U M' U' l2 U M U' l2 Uw D'</t>
  </si>
  <si>
    <t>U' 3Rw U' r U l2 U' r' U 3Rw' 4Rw2 U</t>
  </si>
  <si>
    <t>[D' r': [r' U2 r, u]]</t>
  </si>
  <si>
    <t>D' r2' U2 r u r' U2 r u' r D</t>
  </si>
  <si>
    <t>[D2 r: [r U r', u']]</t>
  </si>
  <si>
    <t>D2 r2 U r' u' r U' r' u r' D2</t>
  </si>
  <si>
    <t>[3Uw': [U' r U, l2]]</t>
  </si>
  <si>
    <t>3Uw' U' r U l2 U' r' U l2 3Uw</t>
  </si>
  <si>
    <t>[D2 r': [r' U r, d']]</t>
  </si>
  <si>
    <t>D2 r2' U r d' r' U' r d r D2</t>
  </si>
  <si>
    <t>[D2: [l', U r2 U']]</t>
  </si>
  <si>
    <t>D2 l' U r2 U' l U r2 U' D2</t>
  </si>
  <si>
    <t>[D: [U r U', l2]]</t>
  </si>
  <si>
    <t>D U r U' l2 U r' U' l2 D'</t>
  </si>
  <si>
    <t>[U': [U' r U, l2]]</t>
  </si>
  <si>
    <t>U2 r U l2 U' r' U l2 U</t>
  </si>
  <si>
    <t>[D' U': [l', U' r2 U]]</t>
  </si>
  <si>
    <t>D' U' l' U' r2 U l U' r2 U2 D</t>
  </si>
  <si>
    <t>[Uw': [U' r' U, l2]]</t>
  </si>
  <si>
    <t>Uw' U' r' U l2 U' r U l2 Uw</t>
  </si>
  <si>
    <t>[D: [Uw r Uw', l2]]</t>
  </si>
  <si>
    <t>D Uw r Uw' l2 Uw r' Uw' l2 D'</t>
  </si>
  <si>
    <t>[D' r: [r U2 r', d']]</t>
  </si>
  <si>
    <t>D' r2 U2 r' d' r U2 r' d r' D</t>
  </si>
  <si>
    <t>[Dw: [U r' U', l2]]</t>
  </si>
  <si>
    <t>Dw U r' U' l2 U r U' l2 Dw'</t>
  </si>
  <si>
    <t>[U': [U' r' U, l2]]</t>
  </si>
  <si>
    <t>U2 r' U l2 U' r U l2 U</t>
  </si>
  <si>
    <t>[D' U': [l, U' r2 U]]</t>
  </si>
  <si>
    <t>D' U' l U' r2 U l' U' r2 U2 D</t>
  </si>
  <si>
    <t xml:space="preserve"> </t>
  </si>
  <si>
    <t>[D2: [l, U r2 U']]</t>
  </si>
  <si>
    <t>D2 l U r2 U' l' U r2 U' D2</t>
  </si>
  <si>
    <t>[U' 3Rw': [U M' U', l2]]</t>
  </si>
  <si>
    <t>U' 3Rw' U M' U' l2 U M U' 4Rw2 3Rw' U</t>
  </si>
  <si>
    <t>[D': [U r' U', l2]]</t>
  </si>
  <si>
    <t>D' U r' U' l2 U r U' l2 D</t>
  </si>
  <si>
    <t>[D: [M' u2 M, U2]</t>
  </si>
  <si>
    <t>D M' u2 M U2 M' u2 M U2 D'</t>
  </si>
  <si>
    <t>[3Rw': [l2, U M' U']]</t>
  </si>
  <si>
    <t>4Rw2' 3Rw U M' U' l2 U M U' 3Rw</t>
  </si>
  <si>
    <t>[Lw': [l' U' l, E]]</t>
  </si>
  <si>
    <t>Lw2' L U' l E l' U l E' Lw</t>
  </si>
  <si>
    <t>Set</t>
  </si>
  <si>
    <t>Time</t>
  </si>
  <si>
    <t>R2 U R2 L U' R2 B2 U B2 L D2 F2 R2 D2 L2 U B2</t>
  </si>
  <si>
    <t>F' R' B2 R' F L' B' U' R2 B2 R2 B2 U R2 D2 B L</t>
  </si>
  <si>
    <t>B2 U' L2 D2 R2 F2 D2 L' B2 U' B2 R2 U L' R2 U' R2</t>
  </si>
  <si>
    <t>L' B' D2 R2 U' B2 R2 B2 R2 U B L F' R B2 R F</t>
  </si>
  <si>
    <t>Normal &amp; Inverse - Two sets above joined together!</t>
  </si>
  <si>
    <t>Mollerz (old)</t>
  </si>
  <si>
    <t>Ollie</t>
  </si>
  <si>
    <t>tOOtl</t>
  </si>
  <si>
    <t>DJ Yau</t>
  </si>
  <si>
    <t>AB</t>
  </si>
  <si>
    <t>Abba / Abs</t>
  </si>
  <si>
    <t>Abra</t>
  </si>
  <si>
    <t>Abba, abs (6 pack)</t>
  </si>
  <si>
    <t>Abba</t>
  </si>
  <si>
    <t>Abra (pok)/Abacus</t>
  </si>
  <si>
    <t>AC</t>
  </si>
  <si>
    <t>Accountant / Acid</t>
  </si>
  <si>
    <t>Arcanine</t>
  </si>
  <si>
    <t>Ace, Tennis</t>
  </si>
  <si>
    <t>Ace(onplaying card)</t>
  </si>
  <si>
    <t>AD</t>
  </si>
  <si>
    <t>Adventure</t>
  </si>
  <si>
    <t>Adam</t>
  </si>
  <si>
    <t>AE</t>
  </si>
  <si>
    <t>Ambulance</t>
  </si>
  <si>
    <t>Ambulance (A and E)</t>
  </si>
  <si>
    <t>Aerodactyl (pok)</t>
  </si>
  <si>
    <t>AF</t>
  </si>
  <si>
    <t>African Tribe / Afro</t>
  </si>
  <si>
    <t>Models (Abercrombie and Fitch)</t>
  </si>
  <si>
    <t>AG</t>
  </si>
  <si>
    <t>Silver</t>
  </si>
  <si>
    <t>AH</t>
  </si>
  <si>
    <t>Ahri</t>
  </si>
  <si>
    <t>"ahhhhh" (interested)</t>
  </si>
  <si>
    <t>AI</t>
  </si>
  <si>
    <t>Robot (AI)</t>
  </si>
  <si>
    <t>AI (I, Robot)</t>
  </si>
  <si>
    <t>Robot</t>
  </si>
  <si>
    <t>AJ</t>
  </si>
  <si>
    <t>Ando</t>
  </si>
  <si>
    <t>Badger, Arg from TOWIE</t>
  </si>
  <si>
    <t>AK</t>
  </si>
  <si>
    <t>AK-47</t>
  </si>
  <si>
    <t>AK47</t>
  </si>
  <si>
    <t>AL</t>
  </si>
  <si>
    <t>Alex (My sister)</t>
  </si>
  <si>
    <t>All, Muhammad Ali</t>
  </si>
  <si>
    <t>AM</t>
  </si>
  <si>
    <t>Ammo / Amethyst</t>
  </si>
  <si>
    <t>Amumu</t>
  </si>
  <si>
    <t>Morning</t>
  </si>
  <si>
    <t>AN</t>
  </si>
  <si>
    <t>Ant</t>
  </si>
  <si>
    <t>Annie</t>
  </si>
  <si>
    <t>Anna (fitty on my course)</t>
  </si>
  <si>
    <t>AO</t>
  </si>
  <si>
    <t>Aeroplane</t>
  </si>
  <si>
    <t>mAyOnnaise</t>
  </si>
  <si>
    <t>Something blue</t>
  </si>
  <si>
    <t>AP</t>
  </si>
  <si>
    <t>Apple</t>
  </si>
  <si>
    <t>Apple, Apps</t>
  </si>
  <si>
    <t>AR</t>
  </si>
  <si>
    <t>Pirate</t>
  </si>
  <si>
    <t>Arrow</t>
  </si>
  <si>
    <t>AS</t>
  </si>
  <si>
    <t>Assassin</t>
  </si>
  <si>
    <t>Astronaut</t>
  </si>
  <si>
    <t>Donkey (ass)</t>
  </si>
  <si>
    <t>AT</t>
  </si>
  <si>
    <t>ATAT (Star Wars)</t>
  </si>
  <si>
    <t>AT-AT</t>
  </si>
  <si>
    <t>Atlas</t>
  </si>
  <si>
    <t>AU</t>
  </si>
  <si>
    <t>Gold / Aussie</t>
  </si>
  <si>
    <t>Gold</t>
  </si>
  <si>
    <t>AV</t>
  </si>
  <si>
    <t>Avalanche</t>
  </si>
  <si>
    <t>Anivia</t>
  </si>
  <si>
    <t>Peter Kay "av' it", Uncle Avi (Snatch)</t>
  </si>
  <si>
    <t>AW</t>
  </si>
  <si>
    <t xml:space="preserve"> Award (Trophy)</t>
  </si>
  <si>
    <t>Award</t>
  </si>
  <si>
    <t>Kitten, "aww!", awesome</t>
  </si>
  <si>
    <t>AX</t>
  </si>
  <si>
    <t>Axe</t>
  </si>
  <si>
    <t>BA</t>
  </si>
  <si>
    <t>Sheep (Baa)</t>
  </si>
  <si>
    <t>Sheep</t>
  </si>
  <si>
    <t>BC</t>
  </si>
  <si>
    <t>Bacon</t>
  </si>
  <si>
    <t>Because, Back</t>
  </si>
  <si>
    <t>Christ on the cross</t>
  </si>
  <si>
    <t>Bed / Bad</t>
  </si>
  <si>
    <t>Bed</t>
  </si>
  <si>
    <t>BE</t>
  </si>
  <si>
    <t>Bee</t>
  </si>
  <si>
    <t>Bees</t>
  </si>
  <si>
    <t>BF</t>
  </si>
  <si>
    <t>Beef / Bonfire / Boyfriend</t>
  </si>
  <si>
    <t>Bonfire</t>
  </si>
  <si>
    <t>Boyfriend</t>
  </si>
  <si>
    <t>BG</t>
  </si>
  <si>
    <t>Bag / Big / Bog / Bug</t>
  </si>
  <si>
    <t>Big/Bog</t>
  </si>
  <si>
    <t>Bugs</t>
  </si>
  <si>
    <t>Big/BFG</t>
  </si>
  <si>
    <t>BH</t>
  </si>
  <si>
    <t>Beehive</t>
  </si>
  <si>
    <t>Behind, corners</t>
  </si>
  <si>
    <t>BI</t>
  </si>
  <si>
    <t>Bicycle</t>
  </si>
  <si>
    <t>Bisexual</t>
  </si>
  <si>
    <t>BJ</t>
  </si>
  <si>
    <t>Blowjob</t>
  </si>
  <si>
    <t>Blowjob or Tim Wong</t>
  </si>
  <si>
    <t>BK</t>
  </si>
  <si>
    <t>Book / Burger King</t>
  </si>
  <si>
    <t>Book</t>
  </si>
  <si>
    <t>Burger King</t>
  </si>
  <si>
    <t>Ball / Balloon</t>
  </si>
  <si>
    <t>Builder</t>
  </si>
  <si>
    <t>Bull</t>
  </si>
  <si>
    <t>BM</t>
  </si>
  <si>
    <t>Bomb</t>
  </si>
  <si>
    <t>Bum</t>
  </si>
  <si>
    <t>BMW</t>
  </si>
  <si>
    <t>BN</t>
  </si>
  <si>
    <t>Banana</t>
  </si>
  <si>
    <t>Bin</t>
  </si>
  <si>
    <t>BN biscuits</t>
  </si>
  <si>
    <t>BO</t>
  </si>
  <si>
    <t>Boo (Surprise / Monsters Inc.)</t>
  </si>
  <si>
    <t>Body Odour, Boo (Monsters Inc)</t>
  </si>
  <si>
    <t>BP</t>
  </si>
  <si>
    <t>Burp</t>
  </si>
  <si>
    <t>Beep</t>
  </si>
  <si>
    <t>Petrol Station</t>
  </si>
  <si>
    <t>Brain / Brazil</t>
  </si>
  <si>
    <t>Brown</t>
  </si>
  <si>
    <t>BS</t>
  </si>
  <si>
    <t>Baseball / Bus</t>
  </si>
  <si>
    <t>Bus</t>
  </si>
  <si>
    <t>Bullshit</t>
  </si>
  <si>
    <t>BT</t>
  </si>
  <si>
    <t>Bite / Butter</t>
  </si>
  <si>
    <t>Bet, butter</t>
  </si>
  <si>
    <t>Bat/Bite</t>
  </si>
  <si>
    <t>T H I C C B U T T S</t>
  </si>
  <si>
    <t>Boo! "surprise, motherfucker"</t>
  </si>
  <si>
    <t>BV</t>
  </si>
  <si>
    <t>Breandan Vallance</t>
  </si>
  <si>
    <t>Breandan</t>
  </si>
  <si>
    <t>Beverage</t>
  </si>
  <si>
    <t>BW</t>
  </si>
  <si>
    <t>Bow (Bow down / Archery)</t>
  </si>
  <si>
    <t>Little Bowden (my primary school, Bow down</t>
  </si>
  <si>
    <t>Bow (often bowing)</t>
  </si>
  <si>
    <t>BX</t>
  </si>
  <si>
    <t>Box</t>
  </si>
  <si>
    <t>CA</t>
  </si>
  <si>
    <t>Caitlyn</t>
  </si>
  <si>
    <t>Cat</t>
  </si>
  <si>
    <t>CB</t>
  </si>
  <si>
    <t>Ciarán Beahan</t>
  </si>
  <si>
    <t>Cubone</t>
  </si>
  <si>
    <t>Cub scouts</t>
  </si>
  <si>
    <t>Corn on the Cob</t>
  </si>
  <si>
    <t>CD</t>
  </si>
  <si>
    <t>Compact Disc</t>
  </si>
  <si>
    <t>CE</t>
  </si>
  <si>
    <t>Cello / Cereal</t>
  </si>
  <si>
    <t>Cereal</t>
  </si>
  <si>
    <t>Cello</t>
  </si>
  <si>
    <t>CF</t>
  </si>
  <si>
    <t>Coffee</t>
  </si>
  <si>
    <t>Chloe Frost, handcuffs (not linked, promise)</t>
  </si>
  <si>
    <t>Cafe/Coffee</t>
  </si>
  <si>
    <t>CG</t>
  </si>
  <si>
    <t>Cigar</t>
  </si>
  <si>
    <t>Cigarette</t>
  </si>
  <si>
    <t>Andrew Coghill</t>
  </si>
  <si>
    <t>CH</t>
  </si>
  <si>
    <t>Chris Hardwick / Chess</t>
  </si>
  <si>
    <t>Chocolate</t>
  </si>
  <si>
    <t>Callum Hales-Jepp</t>
  </si>
  <si>
    <t>CI</t>
  </si>
  <si>
    <t>Cinderella</t>
  </si>
  <si>
    <t>Cici (New Girl)</t>
  </si>
  <si>
    <t>CIA</t>
  </si>
  <si>
    <t>CJ</t>
  </si>
  <si>
    <t>Billy Jeffs</t>
  </si>
  <si>
    <t>Cage</t>
  </si>
  <si>
    <t>CJ (Eggheads)</t>
  </si>
  <si>
    <t>CK</t>
  </si>
  <si>
    <t>Coke / Cake</t>
  </si>
  <si>
    <t>Corki</t>
  </si>
  <si>
    <t>Cake</t>
  </si>
  <si>
    <t>Coke</t>
  </si>
  <si>
    <t>CL</t>
  </si>
  <si>
    <t>Cool / Clock</t>
  </si>
  <si>
    <t>Clock</t>
  </si>
  <si>
    <t>Chlorine gas, cold</t>
  </si>
  <si>
    <t>Phone Call</t>
  </si>
  <si>
    <t>CM</t>
  </si>
  <si>
    <t>Cum</t>
  </si>
  <si>
    <t>CN</t>
  </si>
  <si>
    <t>Conny</t>
  </si>
  <si>
    <t>Cone</t>
  </si>
  <si>
    <t>Cunt, Conor (also not linked(</t>
  </si>
  <si>
    <t>Can</t>
  </si>
  <si>
    <t>CO</t>
  </si>
  <si>
    <t>Coconut</t>
  </si>
  <si>
    <t>Cho'Gath</t>
  </si>
  <si>
    <t>Pigeon "coo"</t>
  </si>
  <si>
    <t>CP</t>
  </si>
  <si>
    <t>Cup</t>
  </si>
  <si>
    <t>Cap</t>
  </si>
  <si>
    <t>CR</t>
  </si>
  <si>
    <t>Colorado Rockies</t>
  </si>
  <si>
    <t>Charmeleon</t>
  </si>
  <si>
    <t>Buttcrack, something cracked</t>
  </si>
  <si>
    <t>Car</t>
  </si>
  <si>
    <t>CS</t>
  </si>
  <si>
    <t>Counterstrike</t>
  </si>
  <si>
    <t>Cassiopeia</t>
  </si>
  <si>
    <t>CT</t>
  </si>
  <si>
    <t>Cat / Cut</t>
  </si>
  <si>
    <t>Cut</t>
  </si>
  <si>
    <t>CU</t>
  </si>
  <si>
    <t>Curiosity (Mars Rover)</t>
  </si>
  <si>
    <t>Copper</t>
  </si>
  <si>
    <t>Cuz, cousin, see you later</t>
  </si>
  <si>
    <t>Cambridge University</t>
  </si>
  <si>
    <t>CV</t>
  </si>
  <si>
    <t>Cave / CV</t>
  </si>
  <si>
    <t>Cave</t>
  </si>
  <si>
    <t>CW</t>
  </si>
  <si>
    <t>Cow</t>
  </si>
  <si>
    <t>CX</t>
  </si>
  <si>
    <t>Ice Poseidon</t>
  </si>
  <si>
    <t>Charizard</t>
  </si>
  <si>
    <t>Saxophone</t>
  </si>
  <si>
    <t>Dr Cox</t>
  </si>
  <si>
    <t>DA</t>
  </si>
  <si>
    <t>Darius</t>
  </si>
  <si>
    <t>Dance</t>
  </si>
  <si>
    <t>Dab</t>
  </si>
  <si>
    <t>Disco Ball</t>
  </si>
  <si>
    <t>Dab, dib dab</t>
  </si>
  <si>
    <t>DC</t>
  </si>
  <si>
    <t>Dice</t>
  </si>
  <si>
    <t>DC (White House)</t>
  </si>
  <si>
    <t>DE</t>
  </si>
  <si>
    <t>Dead</t>
  </si>
  <si>
    <t>Duffman</t>
  </si>
  <si>
    <t>DG</t>
  </si>
  <si>
    <t>Dog</t>
  </si>
  <si>
    <t>DH</t>
  </si>
  <si>
    <t>Designated Hitter (Baseball)</t>
  </si>
  <si>
    <t>Spag (duuhhh)</t>
  </si>
  <si>
    <t>DI</t>
  </si>
  <si>
    <t>Dying</t>
  </si>
  <si>
    <t>DJ</t>
  </si>
  <si>
    <t>Chris Moyles, someone DJing</t>
  </si>
  <si>
    <t>DK</t>
  </si>
  <si>
    <t>Dagganoth Kings</t>
  </si>
  <si>
    <t>Deck of cards</t>
  </si>
  <si>
    <t>Drug dealing, Deal or No Deal, Noel Edmonds (srs)</t>
  </si>
  <si>
    <t>DM</t>
  </si>
  <si>
    <t>Dr. Mundo</t>
  </si>
  <si>
    <t>Dim bulb</t>
  </si>
  <si>
    <t>Dungeon Master</t>
  </si>
  <si>
    <t>DN</t>
  </si>
  <si>
    <t>Dinner</t>
  </si>
  <si>
    <t>Danielle (cousin)</t>
  </si>
  <si>
    <t>Doner kebab</t>
  </si>
  <si>
    <t>DO</t>
  </si>
  <si>
    <t>Domo</t>
  </si>
  <si>
    <t>Doughnut</t>
  </si>
  <si>
    <t>DP</t>
  </si>
  <si>
    <t>Dipsy (Teletubbies)</t>
  </si>
  <si>
    <t>Dip</t>
  </si>
  <si>
    <t>Daft Punk</t>
  </si>
  <si>
    <t>Doctor</t>
  </si>
  <si>
    <t>Draven</t>
  </si>
  <si>
    <t>Deer</t>
  </si>
  <si>
    <t>DS</t>
  </si>
  <si>
    <t>Daniel Sheppard</t>
  </si>
  <si>
    <t>Nintendo DS</t>
  </si>
  <si>
    <t>Nintendo (specifically, my friend who is obsessed with it)</t>
  </si>
  <si>
    <t>DT</t>
  </si>
  <si>
    <t>Donald Trump</t>
  </si>
  <si>
    <t>Dark Templar</t>
  </si>
  <si>
    <t>Dirty</t>
  </si>
  <si>
    <t>Design Technology Classroom</t>
  </si>
  <si>
    <t>DU</t>
  </si>
  <si>
    <t>Dungeon</t>
  </si>
  <si>
    <t>Dugtrio</t>
  </si>
  <si>
    <t>Conga line "du du du...."</t>
  </si>
  <si>
    <t>DUI</t>
  </si>
  <si>
    <t>DV</t>
  </si>
  <si>
    <t>Dive / Drive</t>
  </si>
  <si>
    <t>Dave</t>
  </si>
  <si>
    <t>DW</t>
  </si>
  <si>
    <t>DW (Arthur)</t>
  </si>
  <si>
    <t>DW from Arthur</t>
  </si>
  <si>
    <t>DX</t>
  </si>
  <si>
    <t>Dicks</t>
  </si>
  <si>
    <t>Ducks</t>
  </si>
  <si>
    <t>Dicks (plural)</t>
  </si>
  <si>
    <t>EA</t>
  </si>
  <si>
    <t>Eat</t>
  </si>
  <si>
    <t>EB</t>
  </si>
  <si>
    <t>Ember</t>
  </si>
  <si>
    <t>Friend from school</t>
  </si>
  <si>
    <t>EC</t>
  </si>
  <si>
    <t>Bernie Ecclestone</t>
  </si>
  <si>
    <t>Electabuzz</t>
  </si>
  <si>
    <t>EC -&gt; easy</t>
  </si>
  <si>
    <t>ED</t>
  </si>
  <si>
    <t>Education</t>
  </si>
  <si>
    <t>Ed</t>
  </si>
  <si>
    <t>EF</t>
  </si>
  <si>
    <t>Emilie Frost</t>
  </si>
  <si>
    <t>EG</t>
  </si>
  <si>
    <t>Egg</t>
  </si>
  <si>
    <t>Eg</t>
  </si>
  <si>
    <t>EH</t>
  </si>
  <si>
    <t>Anne (Little Britain)</t>
  </si>
  <si>
    <t>EI</t>
  </si>
  <si>
    <t>Eight</t>
  </si>
  <si>
    <t>Receive -&gt; gift</t>
  </si>
  <si>
    <t>EJ</t>
  </si>
  <si>
    <t>Eli Jay</t>
  </si>
  <si>
    <t>Elton John</t>
  </si>
  <si>
    <t>EK</t>
  </si>
  <si>
    <t>Elk</t>
  </si>
  <si>
    <t>Greek</t>
  </si>
  <si>
    <t>EL</t>
  </si>
  <si>
    <t>Elephant</t>
  </si>
  <si>
    <t>Elephant, yelling</t>
  </si>
  <si>
    <t>EM</t>
  </si>
  <si>
    <t>My sister again, but her nickname is Em. Pick another Emily.</t>
  </si>
  <si>
    <t>EN</t>
  </si>
  <si>
    <t>Ent</t>
  </si>
  <si>
    <t>England</t>
  </si>
  <si>
    <t>EO</t>
  </si>
  <si>
    <t>Eeyore</t>
  </si>
  <si>
    <t>Eeyore &lt;3</t>
  </si>
  <si>
    <t>EP</t>
  </si>
  <si>
    <t>Episode, vinyl record</t>
  </si>
  <si>
    <t>ER</t>
  </si>
  <si>
    <t>European Record</t>
  </si>
  <si>
    <t>Emergency Room</t>
  </si>
  <si>
    <t>Emergency room, or pause (oh the irony)</t>
  </si>
  <si>
    <t>ES</t>
  </si>
  <si>
    <t>Easy / Escher</t>
  </si>
  <si>
    <t>Eastsheen</t>
  </si>
  <si>
    <t>Esther, ecstacy</t>
  </si>
  <si>
    <t>ET</t>
  </si>
  <si>
    <t>EU</t>
  </si>
  <si>
    <t>Europe</t>
  </si>
  <si>
    <t>Europe, beautiful</t>
  </si>
  <si>
    <t>EV</t>
  </si>
  <si>
    <t>Eevee</t>
  </si>
  <si>
    <t>Christmas (eve)</t>
  </si>
  <si>
    <t>EW</t>
  </si>
  <si>
    <t>Ewok</t>
  </si>
  <si>
    <t>gunge -&gt;</t>
  </si>
  <si>
    <t>EX</t>
  </si>
  <si>
    <t>Excel</t>
  </si>
  <si>
    <t>Ezreal</t>
  </si>
  <si>
    <t>Ex girlfriend</t>
  </si>
  <si>
    <t>FA</t>
  </si>
  <si>
    <t>Farfetch'd</t>
  </si>
  <si>
    <t>FA Cup</t>
  </si>
  <si>
    <t>FB</t>
  </si>
  <si>
    <t>Facebook / Football</t>
  </si>
  <si>
    <t>FB or Mark Zuckerburg</t>
  </si>
  <si>
    <t>Facebook</t>
  </si>
  <si>
    <t>FC</t>
  </si>
  <si>
    <t>Face</t>
  </si>
  <si>
    <t>Fred Flintstone</t>
  </si>
  <si>
    <t>Food</t>
  </si>
  <si>
    <t>FE</t>
  </si>
  <si>
    <t>Iron</t>
  </si>
  <si>
    <t>Iron, feels</t>
  </si>
  <si>
    <t>FG</t>
  </si>
  <si>
    <t>Faggot</t>
  </si>
  <si>
    <t>Fag/Fig</t>
  </si>
  <si>
    <t>FH</t>
  </si>
  <si>
    <t>Mo Farah</t>
  </si>
  <si>
    <t>FI</t>
  </si>
  <si>
    <t>Formula 1 / Finn Ickler</t>
  </si>
  <si>
    <t>Fit</t>
  </si>
  <si>
    <t>FJ</t>
  </si>
  <si>
    <t>Fudge / Fajita</t>
  </si>
  <si>
    <t>Fajita</t>
  </si>
  <si>
    <t>FK</t>
  </si>
  <si>
    <t>Feliks Zemdegs</t>
  </si>
  <si>
    <t>Fuck</t>
  </si>
  <si>
    <t>Fucking</t>
  </si>
  <si>
    <t>Flubber</t>
  </si>
  <si>
    <t>Fluorine</t>
  </si>
  <si>
    <t>Fluffy</t>
  </si>
  <si>
    <t>FM</t>
  </si>
  <si>
    <t>Foam</t>
  </si>
  <si>
    <t>Family</t>
  </si>
  <si>
    <t>FN</t>
  </si>
  <si>
    <t>Fan / Fun</t>
  </si>
  <si>
    <t>Fun</t>
  </si>
  <si>
    <t>Funhouse</t>
  </si>
  <si>
    <t>FO</t>
  </si>
  <si>
    <t>Four</t>
  </si>
  <si>
    <t>Enemy, giant</t>
  </si>
  <si>
    <t>FP</t>
  </si>
  <si>
    <t>Fap</t>
  </si>
  <si>
    <t>backflip</t>
  </si>
  <si>
    <t>Fap/Facepalm</t>
  </si>
  <si>
    <t>Fry (Futurama)</t>
  </si>
  <si>
    <t>Francois Courtes</t>
  </si>
  <si>
    <t>Fire</t>
  </si>
  <si>
    <t>FS</t>
  </si>
  <si>
    <t>Fabio Schwandt</t>
  </si>
  <si>
    <t>Fist</t>
  </si>
  <si>
    <t>FT</t>
  </si>
  <si>
    <t>Feet / Fat</t>
  </si>
  <si>
    <t>Feet</t>
  </si>
  <si>
    <t>Fuck / Fuck you</t>
  </si>
  <si>
    <t>Fuck you, frubes</t>
  </si>
  <si>
    <t>"Fuck you!"</t>
  </si>
  <si>
    <t>FV</t>
  </si>
  <si>
    <t>Five</t>
  </si>
  <si>
    <t>Five (5 or band)</t>
  </si>
  <si>
    <t>FW</t>
  </si>
  <si>
    <t>Flowers</t>
  </si>
  <si>
    <t>Forward</t>
  </si>
  <si>
    <t>Fashion Show</t>
  </si>
  <si>
    <t>FX</t>
  </si>
  <si>
    <t>Fax / Fix / Fox</t>
  </si>
  <si>
    <t>Fax machine, fix</t>
  </si>
  <si>
    <t>Fax/Faz</t>
  </si>
  <si>
    <t>GA</t>
  </si>
  <si>
    <t>Lady Gaga</t>
  </si>
  <si>
    <t>Guardian Angel</t>
  </si>
  <si>
    <t>GB</t>
  </si>
  <si>
    <t>Gameboy</t>
  </si>
  <si>
    <t>Team GB, olympics</t>
  </si>
  <si>
    <t>GC</t>
  </si>
  <si>
    <t>Gamecube</t>
  </si>
  <si>
    <t>Greasy</t>
  </si>
  <si>
    <t>Gaming convention</t>
  </si>
  <si>
    <t>GD</t>
  </si>
  <si>
    <t>God</t>
  </si>
  <si>
    <t>Good</t>
  </si>
  <si>
    <t>GE</t>
  </si>
  <si>
    <t>Geodude</t>
  </si>
  <si>
    <t>Georgia</t>
  </si>
  <si>
    <t>GF</t>
  </si>
  <si>
    <t>Geoff (My dad)</t>
  </si>
  <si>
    <t>Golf</t>
  </si>
  <si>
    <t>Girlfrield</t>
  </si>
  <si>
    <t>Girlfriend</t>
  </si>
  <si>
    <t>GH</t>
  </si>
  <si>
    <t>Ghost</t>
  </si>
  <si>
    <t>Ghastly</t>
  </si>
  <si>
    <t>Ghengis Khan</t>
  </si>
  <si>
    <t>GI</t>
  </si>
  <si>
    <t>Giraffe</t>
  </si>
  <si>
    <t>GI Joe</t>
  </si>
  <si>
    <t>American soldier</t>
  </si>
  <si>
    <t>GJ</t>
  </si>
  <si>
    <t>Qui Gon-Jin</t>
  </si>
  <si>
    <t>Gadgets</t>
  </si>
  <si>
    <t>Good job</t>
  </si>
  <si>
    <t>GK</t>
  </si>
  <si>
    <t>Goalkeeper</t>
  </si>
  <si>
    <t>Gok Wan</t>
  </si>
  <si>
    <t>GL</t>
  </si>
  <si>
    <t>Galio</t>
  </si>
  <si>
    <t>Glue, girl</t>
  </si>
  <si>
    <t>Goal</t>
  </si>
  <si>
    <t>GM</t>
  </si>
  <si>
    <t>Barney Gumble</t>
  </si>
  <si>
    <t>Gum/Game</t>
  </si>
  <si>
    <t>GN</t>
  </si>
  <si>
    <t>Gnome</t>
  </si>
  <si>
    <t>Guns</t>
  </si>
  <si>
    <t>Gun</t>
  </si>
  <si>
    <t>GO</t>
  </si>
  <si>
    <t>Go</t>
  </si>
  <si>
    <t>Green Traffic Light</t>
  </si>
  <si>
    <t>GP</t>
  </si>
  <si>
    <t>Gangplank</t>
  </si>
  <si>
    <t>Gap (jeans, or gap in teeth)</t>
  </si>
  <si>
    <t>GAP shop</t>
  </si>
  <si>
    <t>GR</t>
  </si>
  <si>
    <t>Grim Reaper</t>
  </si>
  <si>
    <t>Garen</t>
  </si>
  <si>
    <t>Green, Tony the Tiger, "grrr"</t>
  </si>
  <si>
    <t>GS</t>
  </si>
  <si>
    <t>Graham Siggins</t>
  </si>
  <si>
    <t>Gragas</t>
  </si>
  <si>
    <t>Balloon</t>
  </si>
  <si>
    <t>Gas</t>
  </si>
  <si>
    <t>GT</t>
  </si>
  <si>
    <t>Gate</t>
  </si>
  <si>
    <t>Got, git</t>
  </si>
  <si>
    <t>GU</t>
  </si>
  <si>
    <t>Dummy, gunge</t>
  </si>
  <si>
    <t>GV</t>
  </si>
  <si>
    <t>Graves</t>
  </si>
  <si>
    <t>Give</t>
  </si>
  <si>
    <t>GW</t>
  </si>
  <si>
    <t>Growlithe</t>
  </si>
  <si>
    <t>Grow, plants</t>
  </si>
  <si>
    <t>Games Workshop</t>
  </si>
  <si>
    <t>GX</t>
  </si>
  <si>
    <t>Gyarados</t>
  </si>
  <si>
    <t>Geeks</t>
  </si>
  <si>
    <t>HA</t>
  </si>
  <si>
    <t>Haunter</t>
  </si>
  <si>
    <t>Nelson from the Simpsons</t>
  </si>
  <si>
    <t>HB</t>
  </si>
  <si>
    <t>HB Pencil</t>
  </si>
  <si>
    <t>Habbo Hotel, hubba bubba</t>
  </si>
  <si>
    <t>HC</t>
  </si>
  <si>
    <t>Hecarim</t>
  </si>
  <si>
    <t>House</t>
  </si>
  <si>
    <t>Hyacinth</t>
  </si>
  <si>
    <t>HD</t>
  </si>
  <si>
    <t>High Definition</t>
  </si>
  <si>
    <t>Hideout, hiding</t>
  </si>
  <si>
    <t>HE</t>
  </si>
  <si>
    <t>He Man</t>
  </si>
  <si>
    <t>Hedge</t>
  </si>
  <si>
    <t>HF</t>
  </si>
  <si>
    <t>Huff, Dragon</t>
  </si>
  <si>
    <t>HG</t>
  </si>
  <si>
    <t>Hermione Granger</t>
  </si>
  <si>
    <t>Hug</t>
  </si>
  <si>
    <t>HI</t>
  </si>
  <si>
    <t>Heimerdinger</t>
  </si>
  <si>
    <t>Hiya</t>
  </si>
  <si>
    <t>Saying Hello</t>
  </si>
  <si>
    <t>HJ</t>
  </si>
  <si>
    <t>High Jump</t>
  </si>
  <si>
    <t>Hajj, Muslim guy</t>
  </si>
  <si>
    <t>Hajj (the Ka'aba)</t>
  </si>
  <si>
    <t>HK</t>
  </si>
  <si>
    <t>Hike</t>
  </si>
  <si>
    <t>Hook, Captain Hook</t>
  </si>
  <si>
    <t>HL</t>
  </si>
  <si>
    <t>Hill</t>
  </si>
  <si>
    <t>Hello, hell</t>
  </si>
  <si>
    <t>Hell</t>
  </si>
  <si>
    <t>HM</t>
  </si>
  <si>
    <t>Humming</t>
  </si>
  <si>
    <t>Ham</t>
  </si>
  <si>
    <t>HO</t>
  </si>
  <si>
    <t>Ho / Hoe</t>
  </si>
  <si>
    <t>Santa</t>
  </si>
  <si>
    <t>Prostitute</t>
  </si>
  <si>
    <t>HP</t>
  </si>
  <si>
    <t>Harry Potter</t>
  </si>
  <si>
    <t>Youre a wizard</t>
  </si>
  <si>
    <t>Hippie/Happy/Harry Potter/HP sauce</t>
  </si>
  <si>
    <t>HR</t>
  </si>
  <si>
    <t>Home Run</t>
  </si>
  <si>
    <t>Hire, her</t>
  </si>
  <si>
    <t>HS</t>
  </si>
  <si>
    <t>Hearthstone / Harry Savage</t>
  </si>
  <si>
    <t>Snakes, "hiss"</t>
  </si>
  <si>
    <t>High School</t>
  </si>
  <si>
    <t>HT</t>
  </si>
  <si>
    <t>Hit</t>
  </si>
  <si>
    <t>Hot</t>
  </si>
  <si>
    <t>Hot/Hat</t>
  </si>
  <si>
    <t>HU</t>
  </si>
  <si>
    <t>Who, the Who</t>
  </si>
  <si>
    <t>Huell from Breaking Bad</t>
  </si>
  <si>
    <t>HV</t>
  </si>
  <si>
    <t>Hoover</t>
  </si>
  <si>
    <t>Heaving/panting</t>
  </si>
  <si>
    <t>Hover</t>
  </si>
  <si>
    <t>HW</t>
  </si>
  <si>
    <t>Howard (Big Bang Theory)</t>
  </si>
  <si>
    <t>Homework</t>
  </si>
  <si>
    <t>HX</t>
  </si>
  <si>
    <t>Hax</t>
  </si>
  <si>
    <t>Hex, witch</t>
  </si>
  <si>
    <t>Haxx0r</t>
  </si>
  <si>
    <t>IA</t>
  </si>
  <si>
    <t>Ishaan Agrawal</t>
  </si>
  <si>
    <t>IB</t>
  </si>
  <si>
    <t>Graduation (IB)</t>
  </si>
  <si>
    <t>International bacc (graduation)</t>
  </si>
  <si>
    <t>in graduation clothes</t>
  </si>
  <si>
    <t>IC</t>
  </si>
  <si>
    <t>Ice</t>
  </si>
  <si>
    <t>in the ICU</t>
  </si>
  <si>
    <t>ID</t>
  </si>
  <si>
    <t>ID / iDubbbz</t>
  </si>
  <si>
    <t>IE</t>
  </si>
  <si>
    <t>Internet (Explorer)</t>
  </si>
  <si>
    <t>Example (musician?)</t>
  </si>
  <si>
    <t>IF</t>
  </si>
  <si>
    <t>smell (whiff -&gt; IF)</t>
  </si>
  <si>
    <t>IG</t>
  </si>
  <si>
    <t>Igloo</t>
  </si>
  <si>
    <t>Iggy (cuber) or the Stig</t>
  </si>
  <si>
    <t>IH</t>
  </si>
  <si>
    <t>one-hand</t>
  </si>
  <si>
    <t>In Hand</t>
  </si>
  <si>
    <t>IJ</t>
  </si>
  <si>
    <t>Injured / Injury</t>
  </si>
  <si>
    <t>Fridge, frigid</t>
  </si>
  <si>
    <t>Indiana Jones</t>
  </si>
  <si>
    <t>IK</t>
  </si>
  <si>
    <t>Ikea</t>
  </si>
  <si>
    <t>Ikky</t>
  </si>
  <si>
    <t>Ike from South Park</t>
  </si>
  <si>
    <t>IL</t>
  </si>
  <si>
    <t>Ill</t>
  </si>
  <si>
    <t>IM</t>
  </si>
  <si>
    <t>Imp</t>
  </si>
  <si>
    <t>Imy, Imps</t>
  </si>
  <si>
    <t>IN</t>
  </si>
  <si>
    <t>In</t>
  </si>
  <si>
    <t>IO</t>
  </si>
  <si>
    <t>Io (Moon of Jupiter)</t>
  </si>
  <si>
    <t>"aiyo!" or Taio Cruz</t>
  </si>
  <si>
    <t>On/Off Symbol</t>
  </si>
  <si>
    <t>IP</t>
  </si>
  <si>
    <t>iPod / iPhone</t>
  </si>
  <si>
    <t>apple pips</t>
  </si>
  <si>
    <t>checking IP address</t>
  </si>
  <si>
    <t>IR</t>
  </si>
  <si>
    <t>Irelia</t>
  </si>
  <si>
    <t>Irish, pint of Guiness</t>
  </si>
  <si>
    <t>Ired</t>
  </si>
  <si>
    <t>IS</t>
  </si>
  <si>
    <t>ISIS</t>
  </si>
  <si>
    <t>Island, is</t>
  </si>
  <si>
    <t>IT</t>
  </si>
  <si>
    <t>Computer, IT room</t>
  </si>
  <si>
    <t>on a computer</t>
  </si>
  <si>
    <t>IU</t>
  </si>
  <si>
    <t>Swamp (Bayou sounds like IU)</t>
  </si>
  <si>
    <t>IV</t>
  </si>
  <si>
    <t>Ivy</t>
  </si>
  <si>
    <t>IV drip</t>
  </si>
  <si>
    <t>IW</t>
  </si>
  <si>
    <t>water (in water? just because water, this one sucks)</t>
  </si>
  <si>
    <t>Infinity ward logo</t>
  </si>
  <si>
    <t>IX</t>
  </si>
  <si>
    <t>Ichiro</t>
  </si>
  <si>
    <t>Ixi</t>
  </si>
  <si>
    <t>sticks</t>
  </si>
  <si>
    <t>JA</t>
  </si>
  <si>
    <t>Jar Jar Binks</t>
  </si>
  <si>
    <t>Jan Bentlage</t>
  </si>
  <si>
    <t>JB</t>
  </si>
  <si>
    <t>Steve Jobs</t>
  </si>
  <si>
    <t>JC</t>
  </si>
  <si>
    <t>Juice</t>
  </si>
  <si>
    <t>JCB</t>
  </si>
  <si>
    <t>Jesus Christ/John Cleese</t>
  </si>
  <si>
    <t>JD</t>
  </si>
  <si>
    <t>Jedi</t>
  </si>
  <si>
    <t>Zach Braff</t>
  </si>
  <si>
    <t>Zach Braff/Whiskey</t>
  </si>
  <si>
    <t>JE</t>
  </si>
  <si>
    <t>Jesus</t>
  </si>
  <si>
    <t>JF</t>
  </si>
  <si>
    <t>Jaffa Cake</t>
  </si>
  <si>
    <t>Jonny Frost, Billy Jeffs</t>
  </si>
  <si>
    <t>JG</t>
  </si>
  <si>
    <t>Jog</t>
  </si>
  <si>
    <t>Jogging</t>
  </si>
  <si>
    <t>JH</t>
  </si>
  <si>
    <t>Jabba the Hut</t>
  </si>
  <si>
    <t>Jihad (war)</t>
  </si>
  <si>
    <t>JI</t>
  </si>
  <si>
    <t>Jigsaw</t>
  </si>
  <si>
    <t>Jizz</t>
  </si>
  <si>
    <t>JK</t>
  </si>
  <si>
    <t>The Joker</t>
  </si>
  <si>
    <t>JL</t>
  </si>
  <si>
    <t>Jelly / Jealous</t>
  </si>
  <si>
    <t>Jelly</t>
  </si>
  <si>
    <t>Jelly/Jail</t>
  </si>
  <si>
    <t>JM</t>
  </si>
  <si>
    <t>Jam</t>
  </si>
  <si>
    <t>JN</t>
  </si>
  <si>
    <t>Jane</t>
  </si>
  <si>
    <t>JO</t>
  </si>
  <si>
    <t>Jo (My sister)</t>
  </si>
  <si>
    <t>Jo</t>
  </si>
  <si>
    <t>JP</t>
  </si>
  <si>
    <t>Jupiter</t>
  </si>
  <si>
    <t>Jump</t>
  </si>
  <si>
    <t>Jippo</t>
  </si>
  <si>
    <t>Jack Whitehall from Fresh Meat</t>
  </si>
  <si>
    <t>JR</t>
  </si>
  <si>
    <t>Jar</t>
  </si>
  <si>
    <t>Junior, baby</t>
  </si>
  <si>
    <t>JS</t>
  </si>
  <si>
    <t>Jess, just</t>
  </si>
  <si>
    <t>JT</t>
  </si>
  <si>
    <t>John Terry</t>
  </si>
  <si>
    <t>Justin Timberlake</t>
  </si>
  <si>
    <t>JU</t>
  </si>
  <si>
    <t>Jukebox</t>
  </si>
  <si>
    <t>Jewish person</t>
  </si>
  <si>
    <t>Jew</t>
  </si>
  <si>
    <t>JV</t>
  </si>
  <si>
    <t>Javelin / Jack Veitch</t>
  </si>
  <si>
    <t>Jiving</t>
  </si>
  <si>
    <t>Jive</t>
  </si>
  <si>
    <t>JW</t>
  </si>
  <si>
    <t>Jew / Joey Gouly</t>
  </si>
  <si>
    <t>Jack Wills</t>
  </si>
  <si>
    <t>JX</t>
  </si>
  <si>
    <t>Jax</t>
  </si>
  <si>
    <t>Jumping Jacks, my friend Jack</t>
  </si>
  <si>
    <t>KA</t>
  </si>
  <si>
    <t>Karma</t>
  </si>
  <si>
    <t>Ford Ka</t>
  </si>
  <si>
    <t>KB</t>
  </si>
  <si>
    <t>Keyboard</t>
  </si>
  <si>
    <t>Kebabs</t>
  </si>
  <si>
    <t>RedKB</t>
  </si>
  <si>
    <t>KC</t>
  </si>
  <si>
    <t>Kick</t>
  </si>
  <si>
    <t>King Cobra</t>
  </si>
  <si>
    <t>Kevin Costello</t>
  </si>
  <si>
    <t>KD</t>
  </si>
  <si>
    <t>Kids</t>
  </si>
  <si>
    <t>Kid</t>
  </si>
  <si>
    <t>KE</t>
  </si>
  <si>
    <t>Key</t>
  </si>
  <si>
    <t>Key, kinky</t>
  </si>
  <si>
    <t>KF</t>
  </si>
  <si>
    <t>Kif (Futurama)</t>
  </si>
  <si>
    <t>Kif from Futurama</t>
  </si>
  <si>
    <t>KG</t>
  </si>
  <si>
    <t>Keg</t>
  </si>
  <si>
    <t>Kilogram, heavy</t>
  </si>
  <si>
    <t>KH</t>
  </si>
  <si>
    <t>Kha'Zix</t>
  </si>
  <si>
    <t>KI</t>
  </si>
  <si>
    <t>King</t>
  </si>
  <si>
    <t>Kiki Dee</t>
  </si>
  <si>
    <t>KJ</t>
  </si>
  <si>
    <t>Electrocute (Kilojoule)</t>
  </si>
  <si>
    <t>Kilojoule, energy -&gt; angel</t>
  </si>
  <si>
    <t>Kirjava</t>
  </si>
  <si>
    <t>KL</t>
  </si>
  <si>
    <t>Kill</t>
  </si>
  <si>
    <t>Kool and the Gang</t>
  </si>
  <si>
    <t>KM</t>
  </si>
  <si>
    <t>Kimino</t>
  </si>
  <si>
    <t>Kim</t>
  </si>
  <si>
    <t>KN</t>
  </si>
  <si>
    <t>Knife</t>
  </si>
  <si>
    <t>Ken (Barbie and Ken)</t>
  </si>
  <si>
    <t>KO</t>
  </si>
  <si>
    <t>Knock Out</t>
  </si>
  <si>
    <t>Knockout</t>
  </si>
  <si>
    <t>KP</t>
  </si>
  <si>
    <t>Kevin Pietersen</t>
  </si>
  <si>
    <t>Kippers, kip (sleep)</t>
  </si>
  <si>
    <t>KP peanuts</t>
  </si>
  <si>
    <t>KR</t>
  </si>
  <si>
    <t>Karthus</t>
  </si>
  <si>
    <t>Superman (kyptonite)</t>
  </si>
  <si>
    <t>KS</t>
  </si>
  <si>
    <t>Kiss</t>
  </si>
  <si>
    <t>KT</t>
  </si>
  <si>
    <t>Kitty / Kit Kat / Kite</t>
  </si>
  <si>
    <t>Kat Slater (Eastenders) Kit Kat</t>
  </si>
  <si>
    <t>KU</t>
  </si>
  <si>
    <t>Ku Klux Klan</t>
  </si>
  <si>
    <t>KV</t>
  </si>
  <si>
    <t>Kevlar</t>
  </si>
  <si>
    <t>KW</t>
  </si>
  <si>
    <t>Kiwi (Bird / Fruit)</t>
  </si>
  <si>
    <t>Karl Pilkington, but I might use Kiwi now</t>
  </si>
  <si>
    <t>KX</t>
  </si>
  <si>
    <t>Kex</t>
  </si>
  <si>
    <t>Kicks</t>
  </si>
  <si>
    <t>LA</t>
  </si>
  <si>
    <t>Lala (Teletubbies)</t>
  </si>
  <si>
    <t>Lala (Teletubbies), singing</t>
  </si>
  <si>
    <t>Library / Laboratory</t>
  </si>
  <si>
    <t>Earlobe</t>
  </si>
  <si>
    <t>Laboratory</t>
  </si>
  <si>
    <t>LC</t>
  </si>
  <si>
    <t>Lucian</t>
  </si>
  <si>
    <t>Lucy, Loose change</t>
  </si>
  <si>
    <t>Lace Bra</t>
  </si>
  <si>
    <t>Ladder / Lads</t>
  </si>
  <si>
    <t>Lads</t>
  </si>
  <si>
    <t>Lead</t>
  </si>
  <si>
    <t>LE</t>
  </si>
  <si>
    <t>Leela (Futurama)</t>
  </si>
  <si>
    <t>Lee, Lovely</t>
  </si>
  <si>
    <t>Loaf of Bread</t>
  </si>
  <si>
    <t>Laugh</t>
  </si>
  <si>
    <t>Leaf</t>
  </si>
  <si>
    <t>LG</t>
  </si>
  <si>
    <t>Leg / Log</t>
  </si>
  <si>
    <t>Log, log cabin</t>
  </si>
  <si>
    <t>Log</t>
  </si>
  <si>
    <t>LH</t>
  </si>
  <si>
    <t>Lighthouse</t>
  </si>
  <si>
    <t>LunHui</t>
  </si>
  <si>
    <t>LI</t>
  </si>
  <si>
    <t>Lizard</t>
  </si>
  <si>
    <t>Lie down</t>
  </si>
  <si>
    <t>LJ</t>
  </si>
  <si>
    <t>Lumberjack</t>
  </si>
  <si>
    <t>Lemon juice</t>
  </si>
  <si>
    <t>LJ from Meet the Fockers</t>
  </si>
  <si>
    <t>LK</t>
  </si>
  <si>
    <t>Lick</t>
  </si>
  <si>
    <t>Look, lick</t>
  </si>
  <si>
    <t>LM</t>
  </si>
  <si>
    <t>Limo / Lime</t>
  </si>
  <si>
    <t>Loom</t>
  </si>
  <si>
    <t>Lumps, lumpy space princess</t>
  </si>
  <si>
    <t>LN</t>
  </si>
  <si>
    <t>Linux</t>
  </si>
  <si>
    <t>Leona</t>
  </si>
  <si>
    <t>Lonely (akon)</t>
  </si>
  <si>
    <t>Lane</t>
  </si>
  <si>
    <t>LO</t>
  </si>
  <si>
    <t>Loops</t>
  </si>
  <si>
    <t>LP</t>
  </si>
  <si>
    <t>Loop</t>
  </si>
  <si>
    <t>Lips</t>
  </si>
  <si>
    <t>Vinyl Record</t>
  </si>
  <si>
    <t>LR</t>
  </si>
  <si>
    <t>Lure</t>
  </si>
  <si>
    <t>Liar</t>
  </si>
  <si>
    <t>LS</t>
  </si>
  <si>
    <t>Lesley (My mum)</t>
  </si>
  <si>
    <t>Lassoo</t>
  </si>
  <si>
    <t>LT</t>
  </si>
  <si>
    <t>Lit / Lieutenant</t>
  </si>
  <si>
    <t>Lots, car lot</t>
  </si>
  <si>
    <t>Late</t>
  </si>
  <si>
    <t>Lulu</t>
  </si>
  <si>
    <t>LV</t>
  </si>
  <si>
    <t>Love</t>
  </si>
  <si>
    <t>Love/Louis Vuitton</t>
  </si>
  <si>
    <t>LW</t>
  </si>
  <si>
    <t>Low</t>
  </si>
  <si>
    <t>Low, get down low</t>
  </si>
  <si>
    <t>LX</t>
  </si>
  <si>
    <t>Laxative / Lux</t>
  </si>
  <si>
    <t>Laxative (shitting one's self)</t>
  </si>
  <si>
    <t>MA</t>
  </si>
  <si>
    <t>Maokai</t>
  </si>
  <si>
    <t>Mum</t>
  </si>
  <si>
    <t>MB</t>
  </si>
  <si>
    <t>Mobster</t>
  </si>
  <si>
    <t>Moby Dick</t>
  </si>
  <si>
    <t>MC</t>
  </si>
  <si>
    <t>Mcdonalds</t>
  </si>
  <si>
    <t>MC (like with a DJ)</t>
  </si>
  <si>
    <t>MD</t>
  </si>
  <si>
    <t>House MD</t>
  </si>
  <si>
    <t>Mad</t>
  </si>
  <si>
    <t>MDMA</t>
  </si>
  <si>
    <t>ME</t>
  </si>
  <si>
    <t>Me (James Molloy) / Meeseeks</t>
  </si>
  <si>
    <t>Amy (Big Bang Theory)</t>
  </si>
  <si>
    <t>Myself</t>
  </si>
  <si>
    <t>MF</t>
  </si>
  <si>
    <t>Miss Fortune</t>
  </si>
  <si>
    <t>Muff, Muffy Crosswire (Arthur)</t>
  </si>
  <si>
    <t>Mafia</t>
  </si>
  <si>
    <t>MG</t>
  </si>
  <si>
    <t>Megaminx / Magazine</t>
  </si>
  <si>
    <t>Mug</t>
  </si>
  <si>
    <t>Mugging/Mug/MG car</t>
  </si>
  <si>
    <t>MH</t>
  </si>
  <si>
    <t>Sameer Mahmood</t>
  </si>
  <si>
    <t>Market Harborough, "muahahaha"</t>
  </si>
  <si>
    <t>MI</t>
  </si>
  <si>
    <t>Mr Mime</t>
  </si>
  <si>
    <t>Midnight, party</t>
  </si>
  <si>
    <t>Mai Valentine from YuGiOh</t>
  </si>
  <si>
    <t>MJ</t>
  </si>
  <si>
    <t>Michael Jackson</t>
  </si>
  <si>
    <t>Mary Jane Watson</t>
  </si>
  <si>
    <t>MK</t>
  </si>
  <si>
    <t>Milk</t>
  </si>
  <si>
    <t>ML</t>
  </si>
  <si>
    <t>Malphite</t>
  </si>
  <si>
    <t>Meal</t>
  </si>
  <si>
    <t>MN</t>
  </si>
  <si>
    <t>Man / Men</t>
  </si>
  <si>
    <t>Men</t>
  </si>
  <si>
    <t>MO</t>
  </si>
  <si>
    <t>Mo (Simpsons)</t>
  </si>
  <si>
    <t>Moe Syzlak from The Simpsons</t>
  </si>
  <si>
    <t>MP</t>
  </si>
  <si>
    <t>Map / Mop</t>
  </si>
  <si>
    <t>Map</t>
  </si>
  <si>
    <t>Mope</t>
  </si>
  <si>
    <t>MR</t>
  </si>
  <si>
    <t>Mirror</t>
  </si>
  <si>
    <t>Murder</t>
  </si>
  <si>
    <t>MS</t>
  </si>
  <si>
    <t>Moose</t>
  </si>
  <si>
    <t>Missing poster, miss</t>
  </si>
  <si>
    <t>MT</t>
  </si>
  <si>
    <t>Mewtwo</t>
  </si>
  <si>
    <t>Meat</t>
  </si>
  <si>
    <t>MU</t>
  </si>
  <si>
    <t>"mooing", not from a cow</t>
  </si>
  <si>
    <t>MV</t>
  </si>
  <si>
    <t>Movie</t>
  </si>
  <si>
    <t>MW</t>
  </si>
  <si>
    <t>Mew</t>
  </si>
  <si>
    <t>Lawnmower</t>
  </si>
  <si>
    <t>Mowing the lawn</t>
  </si>
  <si>
    <t>MX</t>
  </si>
  <si>
    <t>Max Park</t>
  </si>
  <si>
    <t>Max Branning (Eastenders)</t>
  </si>
  <si>
    <t>NA</t>
  </si>
  <si>
    <t>Nolan Arenado</t>
  </si>
  <si>
    <t>Dappy from N-Dubz "na na na"</t>
  </si>
  <si>
    <t>NB</t>
  </si>
  <si>
    <t>Noob</t>
  </si>
  <si>
    <t>Doorknob</t>
  </si>
  <si>
    <t>NC</t>
  </si>
  <si>
    <t>Nice</t>
  </si>
  <si>
    <t>ND</t>
  </si>
  <si>
    <t>Nidalee</t>
  </si>
  <si>
    <t>Ned Flanders</t>
  </si>
  <si>
    <t>Nude</t>
  </si>
  <si>
    <t>NE</t>
  </si>
  <si>
    <t>Knees</t>
  </si>
  <si>
    <t>NF</t>
  </si>
  <si>
    <t>Enough, Nerf gun</t>
  </si>
  <si>
    <t>Nerf gun</t>
  </si>
  <si>
    <t>NG</t>
  </si>
  <si>
    <t>Nigga</t>
  </si>
  <si>
    <t>ma nigga</t>
  </si>
  <si>
    <t>Negro Gentleman</t>
  </si>
  <si>
    <t>NH</t>
  </si>
  <si>
    <t>Nurse</t>
  </si>
  <si>
    <t>NI</t>
  </si>
  <si>
    <t>Knights who say Ni</t>
  </si>
  <si>
    <t>Night</t>
  </si>
  <si>
    <t>NJ</t>
  </si>
  <si>
    <t>Ninja</t>
  </si>
  <si>
    <t>Nudge</t>
  </si>
  <si>
    <t>NK</t>
  </si>
  <si>
    <t>Naked</t>
  </si>
  <si>
    <t>Neck</t>
  </si>
  <si>
    <t>NL</t>
  </si>
  <si>
    <t>Neil (Inbetweeners)</t>
  </si>
  <si>
    <t>Nail</t>
  </si>
  <si>
    <t>NM</t>
  </si>
  <si>
    <t>Nametag</t>
  </si>
  <si>
    <t>NO</t>
  </si>
  <si>
    <t>No</t>
  </si>
  <si>
    <t>Saying No</t>
  </si>
  <si>
    <t>NP</t>
  </si>
  <si>
    <t>Nipples</t>
  </si>
  <si>
    <t>Nipple</t>
  </si>
  <si>
    <t>NR</t>
  </si>
  <si>
    <t>National Record</t>
  </si>
  <si>
    <t>Near</t>
  </si>
  <si>
    <t>NS</t>
  </si>
  <si>
    <t>Nasus</t>
  </si>
  <si>
    <t>Nest</t>
  </si>
  <si>
    <t>NT</t>
  </si>
  <si>
    <t>Nuts, Net</t>
  </si>
  <si>
    <t>Nut</t>
  </si>
  <si>
    <t>NU</t>
  </si>
  <si>
    <t>Nunu</t>
  </si>
  <si>
    <t>New something</t>
  </si>
  <si>
    <t>NV</t>
  </si>
  <si>
    <t>Peter Pan, Never(land)</t>
  </si>
  <si>
    <t>Knives</t>
  </si>
  <si>
    <t>NW</t>
  </si>
  <si>
    <t>Now</t>
  </si>
  <si>
    <t>New</t>
  </si>
  <si>
    <t>NX</t>
  </si>
  <si>
    <t>Naxxramas</t>
  </si>
  <si>
    <t>Next (clothes store)</t>
  </si>
  <si>
    <t>Richard Nixon</t>
  </si>
  <si>
    <t>OA</t>
  </si>
  <si>
    <t>Oatmeal / Oar</t>
  </si>
  <si>
    <t>Oats, porridge</t>
  </si>
  <si>
    <t>OAP</t>
  </si>
  <si>
    <t>OB</t>
  </si>
  <si>
    <t>Obama</t>
  </si>
  <si>
    <t>OB from Hollyoaks</t>
  </si>
  <si>
    <t>OC</t>
  </si>
  <si>
    <t>Ocarina / Octopus</t>
  </si>
  <si>
    <t>The OC -&gt; beaches</t>
  </si>
  <si>
    <t>Someone from The OC</t>
  </si>
  <si>
    <t>OD</t>
  </si>
  <si>
    <t>Odder (Oscar Roth Andersen)</t>
  </si>
  <si>
    <t>Overdose</t>
  </si>
  <si>
    <t>Odder</t>
  </si>
  <si>
    <t>OE</t>
  </si>
  <si>
    <t>Mr Poopy Butthole (Ooh Wee)</t>
  </si>
  <si>
    <t>Overexcited, used to be Joey Gouly</t>
  </si>
  <si>
    <t>OF</t>
  </si>
  <si>
    <t>Oliver Frost</t>
  </si>
  <si>
    <t>Me, but 3rd person...</t>
  </si>
  <si>
    <t>OG</t>
  </si>
  <si>
    <t>Ogre</t>
  </si>
  <si>
    <t>Yoghurt</t>
  </si>
  <si>
    <t>OH</t>
  </si>
  <si>
    <t>One-Handed</t>
  </si>
  <si>
    <t>"Oh dear" - One-hand (event)</t>
  </si>
  <si>
    <t>Doing One-Handed Solving</t>
  </si>
  <si>
    <t>OI</t>
  </si>
  <si>
    <t>Oi / Oil</t>
  </si>
  <si>
    <t>"Oi"</t>
  </si>
  <si>
    <t>OJ</t>
  </si>
  <si>
    <t>Orange Juice</t>
  </si>
  <si>
    <t>Orange juice</t>
  </si>
  <si>
    <t>OK</t>
  </si>
  <si>
    <t>OK (Thumbs Up)</t>
  </si>
  <si>
    <t>OL</t>
  </si>
  <si>
    <t>Old</t>
  </si>
  <si>
    <t>Ollie (friend)</t>
  </si>
  <si>
    <t>OM</t>
  </si>
  <si>
    <t>Omanyte</t>
  </si>
  <si>
    <t>Om nom nom nom, meditation "om"</t>
  </si>
  <si>
    <t>ON</t>
  </si>
  <si>
    <t>On</t>
  </si>
  <si>
    <t>"on"</t>
  </si>
  <si>
    <t>OP</t>
  </si>
  <si>
    <t>Operation / Overpowered</t>
  </si>
  <si>
    <t>Operation</t>
  </si>
  <si>
    <t>OR</t>
  </si>
  <si>
    <t>Orianna</t>
  </si>
  <si>
    <t>Orville</t>
  </si>
  <si>
    <t>OS</t>
  </si>
  <si>
    <t>Ostrich / Osama Bin Laden</t>
  </si>
  <si>
    <t>Austrailian</t>
  </si>
  <si>
    <t>OT</t>
  </si>
  <si>
    <t>Otter</t>
  </si>
  <si>
    <t>OU</t>
  </si>
  <si>
    <t>Oubliette (Trapdoor)</t>
  </si>
  <si>
    <t>"oh you" Nou Camp</t>
  </si>
  <si>
    <t>OV</t>
  </si>
  <si>
    <t>Ovaries</t>
  </si>
  <si>
    <t>OW</t>
  </si>
  <si>
    <t>Ow / Pain / Oliver Wheat</t>
  </si>
  <si>
    <t>pain</t>
  </si>
  <si>
    <t>OX</t>
  </si>
  <si>
    <t>Oxen</t>
  </si>
  <si>
    <t>PA</t>
  </si>
  <si>
    <t>Pantheon</t>
  </si>
  <si>
    <t>Paper, Dad</t>
  </si>
  <si>
    <t>PB</t>
  </si>
  <si>
    <t>Pebble(s)</t>
  </si>
  <si>
    <t>Pubes</t>
  </si>
  <si>
    <t>Pub</t>
  </si>
  <si>
    <t>PC</t>
  </si>
  <si>
    <t>Computer</t>
  </si>
  <si>
    <t>Constable, piece</t>
  </si>
  <si>
    <t>PD</t>
  </si>
  <si>
    <t>moped, paid</t>
  </si>
  <si>
    <t>Pudding</t>
  </si>
  <si>
    <t>PE</t>
  </si>
  <si>
    <t>Pee / Pea</t>
  </si>
  <si>
    <t>Peeing, peas</t>
  </si>
  <si>
    <t>Mollerz in a Gym</t>
  </si>
  <si>
    <t>PF</t>
  </si>
  <si>
    <t>Piff the Magic Dragon / Puff</t>
  </si>
  <si>
    <t>Something puffing out, or disppearing in a puff of smoke</t>
  </si>
  <si>
    <t>Homosexually inclined man</t>
  </si>
  <si>
    <t>PG</t>
  </si>
  <si>
    <t>Pig</t>
  </si>
  <si>
    <t>Pug</t>
  </si>
  <si>
    <t>PH</t>
  </si>
  <si>
    <t>Party Hat</t>
  </si>
  <si>
    <t>Acid, spitting "puh."</t>
  </si>
  <si>
    <t>Winnie the Pooh</t>
  </si>
  <si>
    <t>PI</t>
  </si>
  <si>
    <t>Pie</t>
  </si>
  <si>
    <t>Pie/MeMyselfAndPi</t>
  </si>
  <si>
    <t>PJ</t>
  </si>
  <si>
    <t>Pajamas</t>
  </si>
  <si>
    <t>Pyjamas</t>
  </si>
  <si>
    <t>PK</t>
  </si>
  <si>
    <t>Pikachu / PK</t>
  </si>
  <si>
    <t>Pikachu</t>
  </si>
  <si>
    <t>Pike</t>
  </si>
  <si>
    <t>PL</t>
  </si>
  <si>
    <t>Paul (alien) Pull</t>
  </si>
  <si>
    <t>Pull</t>
  </si>
  <si>
    <t>PM</t>
  </si>
  <si>
    <t>Pom pom, cheerleader</t>
  </si>
  <si>
    <t>Prime Minister</t>
  </si>
  <si>
    <t>PN</t>
  </si>
  <si>
    <t>Pen</t>
  </si>
  <si>
    <t>Pen, Penn and Teller</t>
  </si>
  <si>
    <t>Pen/Pan</t>
  </si>
  <si>
    <t>PO</t>
  </si>
  <si>
    <t>Po (Teletubbies)</t>
  </si>
  <si>
    <t>Poo</t>
  </si>
  <si>
    <t>Po from The Tellytubbies</t>
  </si>
  <si>
    <t>PR</t>
  </si>
  <si>
    <t>Porygon</t>
  </si>
  <si>
    <t>Pram, prick</t>
  </si>
  <si>
    <t>PS</t>
  </si>
  <si>
    <t>Angry (Pissed)</t>
  </si>
  <si>
    <t>Pissed</t>
  </si>
  <si>
    <t>PT</t>
  </si>
  <si>
    <t>Potato</t>
  </si>
  <si>
    <t>Put, golf putting</t>
  </si>
  <si>
    <t>Pot</t>
  </si>
  <si>
    <t>PU</t>
  </si>
  <si>
    <t>Puss (in Boots)</t>
  </si>
  <si>
    <t>Apu (Simpsons)</t>
  </si>
  <si>
    <t>PV</t>
  </si>
  <si>
    <t>Pavement</t>
  </si>
  <si>
    <t>PW</t>
  </si>
  <si>
    <t>Password</t>
  </si>
  <si>
    <t>Power, pow</t>
  </si>
  <si>
    <t>Powered up</t>
  </si>
  <si>
    <t>PX</t>
  </si>
  <si>
    <t>Pixies</t>
  </si>
  <si>
    <t>Penny Arcade Expo</t>
  </si>
  <si>
    <t>RA</t>
  </si>
  <si>
    <t>Rammus</t>
  </si>
  <si>
    <t>Rabbit</t>
  </si>
  <si>
    <t>Egyptian God of the Sun</t>
  </si>
  <si>
    <t>Rabbit / Rub</t>
  </si>
  <si>
    <t>Rub, rubber, Roberto</t>
  </si>
  <si>
    <t>Rubber</t>
  </si>
  <si>
    <t>RC</t>
  </si>
  <si>
    <t>Racecar</t>
  </si>
  <si>
    <t>Race/RC car</t>
  </si>
  <si>
    <t>Radio</t>
  </si>
  <si>
    <t>Red</t>
  </si>
  <si>
    <t>Red/Rod</t>
  </si>
  <si>
    <t>RE</t>
  </si>
  <si>
    <t>REEEEEEE</t>
  </si>
  <si>
    <t>Renekton</t>
  </si>
  <si>
    <t>Really</t>
  </si>
  <si>
    <t>Rough, Referee</t>
  </si>
  <si>
    <t>Referee</t>
  </si>
  <si>
    <t>RG</t>
  </si>
  <si>
    <t>Rengar</t>
  </si>
  <si>
    <t>Rug, Raggy (old colleague)</t>
  </si>
  <si>
    <t>Rug</t>
  </si>
  <si>
    <t>RH</t>
  </si>
  <si>
    <t>Roar, Royal Festival Hall,</t>
  </si>
  <si>
    <t>Rohypnol?</t>
  </si>
  <si>
    <t>RI</t>
  </si>
  <si>
    <t>Risky</t>
  </si>
  <si>
    <t>RJ</t>
  </si>
  <si>
    <t>Rajj Patel</t>
  </si>
  <si>
    <t>Raj (Big Bang Theory)</t>
  </si>
  <si>
    <t>RK</t>
  </si>
  <si>
    <t>Rake</t>
  </si>
  <si>
    <t>RL</t>
  </si>
  <si>
    <t>Ruler</t>
  </si>
  <si>
    <t>Railway</t>
  </si>
  <si>
    <t>RM</t>
  </si>
  <si>
    <t>Rum / Rick &amp; Morty</t>
  </si>
  <si>
    <t>Rum</t>
  </si>
  <si>
    <t>RN</t>
  </si>
  <si>
    <t>Run</t>
  </si>
  <si>
    <t>RO</t>
  </si>
  <si>
    <t>Row / Rowe / Rowan</t>
  </si>
  <si>
    <t>Roman</t>
  </si>
  <si>
    <t>RP</t>
  </si>
  <si>
    <t>Rope</t>
  </si>
  <si>
    <t>Grim Reaper, rip</t>
  </si>
  <si>
    <t>RS</t>
  </si>
  <si>
    <t>RuneScape</t>
  </si>
  <si>
    <t>"raaaasss m80" Robert Smyth (old school)</t>
  </si>
  <si>
    <t>RT</t>
  </si>
  <si>
    <t>Rat</t>
  </si>
  <si>
    <t>Ruins</t>
  </si>
  <si>
    <t>RV</t>
  </si>
  <si>
    <t>River</t>
  </si>
  <si>
    <t>Riven</t>
  </si>
  <si>
    <t>Reversing car</t>
  </si>
  <si>
    <t>RW</t>
  </si>
  <si>
    <t>Ron Weasley</t>
  </si>
  <si>
    <t>Raw meat</t>
  </si>
  <si>
    <t>RX</t>
  </si>
  <si>
    <t>Rob Yau</t>
  </si>
  <si>
    <t>T-Rex</t>
  </si>
  <si>
    <t>SA</t>
  </si>
  <si>
    <t>Saw</t>
  </si>
  <si>
    <t>Sarah</t>
  </si>
  <si>
    <t>SB</t>
  </si>
  <si>
    <t>Sombrero / Sober</t>
  </si>
  <si>
    <t>Sobbing, substitute</t>
  </si>
  <si>
    <t>Submarine</t>
  </si>
  <si>
    <t>SC</t>
  </si>
  <si>
    <t>Scar</t>
  </si>
  <si>
    <t>Sky</t>
  </si>
  <si>
    <t>SD</t>
  </si>
  <si>
    <t>Sad</t>
  </si>
  <si>
    <t>SE</t>
  </si>
  <si>
    <t>Seema</t>
  </si>
  <si>
    <t>The sea</t>
  </si>
  <si>
    <t>SF</t>
  </si>
  <si>
    <t>Safe</t>
  </si>
  <si>
    <t>Surfer, surfboard</t>
  </si>
  <si>
    <t>SG</t>
  </si>
  <si>
    <t>Soggy</t>
  </si>
  <si>
    <t>Saggy</t>
  </si>
  <si>
    <t>Gibson SG</t>
  </si>
  <si>
    <t>SH</t>
  </si>
  <si>
    <t>Shh / Quiet</t>
  </si>
  <si>
    <t>Shush</t>
  </si>
  <si>
    <t>SI</t>
  </si>
  <si>
    <t>Six / Square-1</t>
  </si>
  <si>
    <t>Simon (Inbetweeners) or Sq1</t>
  </si>
  <si>
    <t>SJ</t>
  </si>
  <si>
    <t>Sejuani</t>
  </si>
  <si>
    <t>Army Sergeant</t>
  </si>
  <si>
    <t>SK</t>
  </si>
  <si>
    <t>Skewb / Skate</t>
  </si>
  <si>
    <t>Sick</t>
  </si>
  <si>
    <t>SL</t>
  </si>
  <si>
    <t>Silly</t>
  </si>
  <si>
    <t>Window sill, sell</t>
  </si>
  <si>
    <t>Sailing</t>
  </si>
  <si>
    <t>SM</t>
  </si>
  <si>
    <t>Samuel Spendla</t>
  </si>
  <si>
    <t>Some, someone, sums</t>
  </si>
  <si>
    <t>SN</t>
  </si>
  <si>
    <t>Sun</t>
  </si>
  <si>
    <t>SO</t>
  </si>
  <si>
    <t>Socks</t>
  </si>
  <si>
    <t>Significant Other</t>
  </si>
  <si>
    <t>SP</t>
  </si>
  <si>
    <t>Soup</t>
  </si>
  <si>
    <t>Soup, sup</t>
  </si>
  <si>
    <t>GamBoy Advance SP®</t>
  </si>
  <si>
    <t>SR</t>
  </si>
  <si>
    <t>Butler (Sir)</t>
  </si>
  <si>
    <t>Sir, butler</t>
  </si>
  <si>
    <t>ST</t>
  </si>
  <si>
    <t>Satan / Saint</t>
  </si>
  <si>
    <t>Saint, sticky</t>
  </si>
  <si>
    <t>SU</t>
  </si>
  <si>
    <t>Surf</t>
  </si>
  <si>
    <t>Sue (person), to sue someone</t>
  </si>
  <si>
    <t>Sueing someone</t>
  </si>
  <si>
    <t>SV</t>
  </si>
  <si>
    <t>Seven</t>
  </si>
  <si>
    <t>Jimmy Saville, Save</t>
  </si>
  <si>
    <t>SW</t>
  </si>
  <si>
    <t>Swamp</t>
  </si>
  <si>
    <t>Sewing machine</t>
  </si>
  <si>
    <t>Sewing</t>
  </si>
  <si>
    <t>SX</t>
  </si>
  <si>
    <t>Sex / Saxaphone</t>
  </si>
  <si>
    <t>Sex</t>
  </si>
  <si>
    <t>TA</t>
  </si>
  <si>
    <t>Tattoo</t>
  </si>
  <si>
    <t>Thanks</t>
  </si>
  <si>
    <t>TB</t>
  </si>
  <si>
    <t>Tuberculosis</t>
  </si>
  <si>
    <t>Tracy Beaker, tubby</t>
  </si>
  <si>
    <t>Tub (bath)</t>
  </si>
  <si>
    <t>TC</t>
  </si>
  <si>
    <t>Tic Tacs</t>
  </si>
  <si>
    <t>Top Cat from Top Cat</t>
  </si>
  <si>
    <t>TD</t>
  </si>
  <si>
    <t>Teddy Bear</t>
  </si>
  <si>
    <t>Ted (bear)</t>
  </si>
  <si>
    <t>Teddy</t>
  </si>
  <si>
    <t>TE</t>
  </si>
  <si>
    <t>Cup of Tea</t>
  </si>
  <si>
    <t>Tea</t>
  </si>
  <si>
    <t>TF</t>
  </si>
  <si>
    <t>Twisted Fate</t>
  </si>
  <si>
    <t>Tough, bouncer</t>
  </si>
  <si>
    <t>TG</t>
  </si>
  <si>
    <t>Tiger / Tigger</t>
  </si>
  <si>
    <t>Tiger</t>
  </si>
  <si>
    <t>Tigger from Winnie the Pooh</t>
  </si>
  <si>
    <t>TH</t>
  </si>
  <si>
    <t>Thief</t>
  </si>
  <si>
    <t>Teeth</t>
  </si>
  <si>
    <t>Tony Hawk</t>
  </si>
  <si>
    <t>TI</t>
  </si>
  <si>
    <t>Tie</t>
  </si>
  <si>
    <t>Tie (suit and)</t>
  </si>
  <si>
    <t>TJ</t>
  </si>
  <si>
    <t>Taj Mahal</t>
  </si>
  <si>
    <t>Taj Majal</t>
  </si>
  <si>
    <t>TJ from Recess</t>
  </si>
  <si>
    <t>TK</t>
  </si>
  <si>
    <t>Tiki (Torch / Totem)</t>
  </si>
  <si>
    <t>Tekken</t>
  </si>
  <si>
    <t>Tiki mask</t>
  </si>
  <si>
    <t>TL</t>
  </si>
  <si>
    <t>Teller (Penn and...)</t>
  </si>
  <si>
    <t>Tail</t>
  </si>
  <si>
    <t>TM</t>
  </si>
  <si>
    <t>Tom</t>
  </si>
  <si>
    <t>Time/Tummy</t>
  </si>
  <si>
    <t>TN</t>
  </si>
  <si>
    <t>Tennis</t>
  </si>
  <si>
    <t>Tanning bed, suntan</t>
  </si>
  <si>
    <t>Tan</t>
  </si>
  <si>
    <t>TO</t>
  </si>
  <si>
    <t>Toes</t>
  </si>
  <si>
    <t>Toe/Tow</t>
  </si>
  <si>
    <t>TP</t>
  </si>
  <si>
    <t>Teleport</t>
  </si>
  <si>
    <t>Tap (water), to tap something</t>
  </si>
  <si>
    <t>Top Hat</t>
  </si>
  <si>
    <t>TR</t>
  </si>
  <si>
    <t>Train</t>
  </si>
  <si>
    <t>tramp</t>
  </si>
  <si>
    <t>TS</t>
  </si>
  <si>
    <t>Taser / TeamSpeak</t>
  </si>
  <si>
    <t>Tees off, T-shirts</t>
  </si>
  <si>
    <t>TU</t>
  </si>
  <si>
    <t>Tutu</t>
  </si>
  <si>
    <t>tutu</t>
  </si>
  <si>
    <t>TV</t>
  </si>
  <si>
    <t>TW</t>
  </si>
  <si>
    <t>Tinky Winky (Teletubbies)</t>
  </si>
  <si>
    <t>Tow stuck, The Only Way is Essex</t>
  </si>
  <si>
    <t>Tower</t>
  </si>
  <si>
    <t>TX</t>
  </si>
  <si>
    <t>Taxi</t>
  </si>
  <si>
    <t>Taxi, taxes</t>
  </si>
  <si>
    <t>Tax</t>
  </si>
  <si>
    <t>UA</t>
  </si>
  <si>
    <t>Underage something</t>
  </si>
  <si>
    <t>Bubbles</t>
  </si>
  <si>
    <t>Uber cool something</t>
  </si>
  <si>
    <t>Under a Bridge</t>
  </si>
  <si>
    <t>UC</t>
  </si>
  <si>
    <t>Cucumber</t>
  </si>
  <si>
    <t>Friend who goes to University of Cambridge</t>
  </si>
  <si>
    <t>UD</t>
  </si>
  <si>
    <t>Udyr</t>
  </si>
  <si>
    <t>Udders</t>
  </si>
  <si>
    <t>UE</t>
  </si>
  <si>
    <t>Quest</t>
  </si>
  <si>
    <t>Motorbike</t>
  </si>
  <si>
    <t>Buff, buffer</t>
  </si>
  <si>
    <t>Ultimate Fighter</t>
  </si>
  <si>
    <t>UG</t>
  </si>
  <si>
    <t>Ugg Boots</t>
  </si>
  <si>
    <t>Ugg boots</t>
  </si>
  <si>
    <t>UH</t>
  </si>
  <si>
    <t>Caveman, "uhhh"</t>
  </si>
  <si>
    <t>UI</t>
  </si>
  <si>
    <t>User Interface</t>
  </si>
  <si>
    <t>You and I (song)</t>
  </si>
  <si>
    <t>UJ</t>
  </si>
  <si>
    <t>Judge, Simon Cowell</t>
  </si>
  <si>
    <t>UK</t>
  </si>
  <si>
    <t>British (United Kingdom)</t>
  </si>
  <si>
    <t>Union Jack, other Flag</t>
  </si>
  <si>
    <t>Union Jack</t>
  </si>
  <si>
    <t>Uluru</t>
  </si>
  <si>
    <t>Seagul</t>
  </si>
  <si>
    <t>University Library</t>
  </si>
  <si>
    <t>UM</t>
  </si>
  <si>
    <t>Oompa Loompa</t>
  </si>
  <si>
    <t>UN</t>
  </si>
  <si>
    <t>Kim Jong Un</t>
  </si>
  <si>
    <t>Unsure, undecided, under</t>
  </si>
  <si>
    <t>UO</t>
  </si>
  <si>
    <t>Uno</t>
  </si>
  <si>
    <t>Uno cards</t>
  </si>
  <si>
    <t>Urban Outfitters</t>
  </si>
  <si>
    <t>UP</t>
  </si>
  <si>
    <t>Mr Frederickson (Up)</t>
  </si>
  <si>
    <t>Up, film</t>
  </si>
  <si>
    <t>Mr Fredrickson from UP</t>
  </si>
  <si>
    <t>Urgot</t>
  </si>
  <si>
    <t>Urine</t>
  </si>
  <si>
    <t>US</t>
  </si>
  <si>
    <t>USA! USA! USA!</t>
  </si>
  <si>
    <t>America</t>
  </si>
  <si>
    <t>US flag</t>
  </si>
  <si>
    <t>UT</t>
  </si>
  <si>
    <t xml:space="preserve">Trousers </t>
  </si>
  <si>
    <t>UV</t>
  </si>
  <si>
    <t>Uvula / UV Light</t>
  </si>
  <si>
    <t>Purple, or Uv light</t>
  </si>
  <si>
    <t>Tanning bed</t>
  </si>
  <si>
    <t>UW</t>
  </si>
  <si>
    <t>Baby sheep (ewe)</t>
  </si>
  <si>
    <t>Underwater</t>
  </si>
  <si>
    <t>UX</t>
  </si>
  <si>
    <t>Chucks, Chuckie</t>
  </si>
  <si>
    <t>VA</t>
  </si>
  <si>
    <t>Vayne</t>
  </si>
  <si>
    <t>Vacuum</t>
  </si>
  <si>
    <t>VB</t>
  </si>
  <si>
    <t>Vibrator</t>
  </si>
  <si>
    <t>Volleyball</t>
  </si>
  <si>
    <t>VC</t>
  </si>
  <si>
    <t>Victory / Vacuum</t>
  </si>
  <si>
    <t>Vice (mechanical) and Miami Vice</t>
  </si>
  <si>
    <t>Vicar</t>
  </si>
  <si>
    <t>VD</t>
  </si>
  <si>
    <t>Video / Darth Vader</t>
  </si>
  <si>
    <t>Video</t>
  </si>
  <si>
    <t>Video/Venereal Disease</t>
  </si>
  <si>
    <t>VE</t>
  </si>
  <si>
    <t>Vegan</t>
  </si>
  <si>
    <t>Velcro</t>
  </si>
  <si>
    <t>VF</t>
  </si>
  <si>
    <t>Venus Flytrap</t>
  </si>
  <si>
    <t>Virtua Fighter Arcade Machine</t>
  </si>
  <si>
    <t>VG</t>
  </si>
  <si>
    <t>Vegetables</t>
  </si>
  <si>
    <t>Vegetables/Vagina</t>
  </si>
  <si>
    <t>VH</t>
  </si>
  <si>
    <t>Vi Hart (YouTuber)</t>
  </si>
  <si>
    <t>Vahri (sister of friend) or very hot</t>
  </si>
  <si>
    <t>VI</t>
  </si>
  <si>
    <t>Vi</t>
  </si>
  <si>
    <t>Violent, vinegar</t>
  </si>
  <si>
    <t>VJ</t>
  </si>
  <si>
    <t>Vagina</t>
  </si>
  <si>
    <t>Vajazzle</t>
  </si>
  <si>
    <t>VK</t>
  </si>
  <si>
    <t>Viking</t>
  </si>
  <si>
    <t>viking</t>
  </si>
  <si>
    <t>VL</t>
  </si>
  <si>
    <t>Vladimir</t>
  </si>
  <si>
    <t>Veil</t>
  </si>
  <si>
    <t>Bride's Veil</t>
  </si>
  <si>
    <t>VM</t>
  </si>
  <si>
    <t>Vomit (act of being sick, not the sick itself)</t>
  </si>
  <si>
    <t>VN</t>
  </si>
  <si>
    <t>Van</t>
  </si>
  <si>
    <t>Van, Vans (shoes)</t>
  </si>
  <si>
    <t>Vine</t>
  </si>
  <si>
    <t>VO</t>
  </si>
  <si>
    <t>Volibear</t>
  </si>
  <si>
    <t>Vogue magazine/runway</t>
  </si>
  <si>
    <t>Voice-over</t>
  </si>
  <si>
    <t>VP</t>
  </si>
  <si>
    <t>Underwear (Visible panty line -&gt; panty line -&gt; pants)</t>
  </si>
  <si>
    <t>Viper</t>
  </si>
  <si>
    <t>VR</t>
  </si>
  <si>
    <t>Virtual Reality / Virus</t>
  </si>
  <si>
    <t>Virus, zombie</t>
  </si>
  <si>
    <t>VS</t>
  </si>
  <si>
    <t>Vase</t>
  </si>
  <si>
    <t>Fighting</t>
  </si>
  <si>
    <t>VT</t>
  </si>
  <si>
    <t>Vet</t>
  </si>
  <si>
    <t>Vet (vet student friend, or real vet)</t>
  </si>
  <si>
    <t>VU</t>
  </si>
  <si>
    <t>Vishnu</t>
  </si>
  <si>
    <t>VW</t>
  </si>
  <si>
    <t>Volkswagen (Beetle)</t>
  </si>
  <si>
    <t>Vows (wedding)</t>
  </si>
  <si>
    <t>Vow/View</t>
  </si>
  <si>
    <t>VX</t>
  </si>
  <si>
    <t>Vortex</t>
  </si>
  <si>
    <t>WA</t>
  </si>
  <si>
    <t>Warwick</t>
  </si>
  <si>
    <t>Crying</t>
  </si>
  <si>
    <t>WB</t>
  </si>
  <si>
    <t>Welcome back, roadside service station</t>
  </si>
  <si>
    <t>Warner Brothers Logo</t>
  </si>
  <si>
    <t>WC</t>
  </si>
  <si>
    <t>Toilet</t>
  </si>
  <si>
    <t>WD</t>
  </si>
  <si>
    <t>Weed</t>
  </si>
  <si>
    <t>Wads of cash, WD40</t>
  </si>
  <si>
    <t>Wood</t>
  </si>
  <si>
    <t>WE</t>
  </si>
  <si>
    <t>Weedle</t>
  </si>
  <si>
    <t>We, Scotland</t>
  </si>
  <si>
    <t>WF</t>
  </si>
  <si>
    <t>Wife (I pick a girl that I like and imagine her as my wife - helps.)</t>
  </si>
  <si>
    <t>Woofing</t>
  </si>
  <si>
    <t>WG</t>
  </si>
  <si>
    <t>Wig / Wag</t>
  </si>
  <si>
    <t>Wig</t>
  </si>
  <si>
    <t>WH</t>
  </si>
  <si>
    <t>White House</t>
  </si>
  <si>
    <t>"what?", confusion</t>
  </si>
  <si>
    <t>WI</t>
  </si>
  <si>
    <t>Nintendo (Wii)</t>
  </si>
  <si>
    <t>Nintento Wii</t>
  </si>
  <si>
    <t>WJ</t>
  </si>
  <si>
    <t>Wedge, potato wedges</t>
  </si>
  <si>
    <t>WK</t>
  </si>
  <si>
    <t>Wicket (Cricket)</t>
  </si>
  <si>
    <t>WKD, Wicked (musical), whack</t>
  </si>
  <si>
    <t>WKD</t>
  </si>
  <si>
    <t>WL</t>
  </si>
  <si>
    <t>Wall (Climbing)</t>
  </si>
  <si>
    <t>Will (Inbetweeners)</t>
  </si>
  <si>
    <t>Whale</t>
  </si>
  <si>
    <t>WM</t>
  </si>
  <si>
    <t>Watermelon</t>
  </si>
  <si>
    <t>Woman, Wham (george Michael)</t>
  </si>
  <si>
    <t>Woman</t>
  </si>
  <si>
    <t>WN</t>
  </si>
  <si>
    <t>Win, Michael Winner (car insurance guy)</t>
  </si>
  <si>
    <t>Win</t>
  </si>
  <si>
    <t>WO</t>
  </si>
  <si>
    <t>World of Warcraft</t>
  </si>
  <si>
    <t>Woop woop, wow</t>
  </si>
  <si>
    <t>WP</t>
  </si>
  <si>
    <t>Whip</t>
  </si>
  <si>
    <t>Wipe</t>
  </si>
  <si>
    <t>WR</t>
  </si>
  <si>
    <t>Wire / World Record</t>
  </si>
  <si>
    <t>Wire, weird</t>
  </si>
  <si>
    <t>War</t>
  </si>
  <si>
    <t>WS</t>
  </si>
  <si>
    <t>Wasp</t>
  </si>
  <si>
    <t>WT</t>
  </si>
  <si>
    <t>Water / Wet</t>
  </si>
  <si>
    <t>Wet, water</t>
  </si>
  <si>
    <t>WU</t>
  </si>
  <si>
    <t>Dubstep (Wub Wub)</t>
  </si>
  <si>
    <t xml:space="preserve"> low pitched woo - this is a tricky one for me</t>
  </si>
  <si>
    <t>WV</t>
  </si>
  <si>
    <t>Wave (Arm Motion / Sea)</t>
  </si>
  <si>
    <t>Waving</t>
  </si>
  <si>
    <t>Wave</t>
  </si>
  <si>
    <t>WX</t>
  </si>
  <si>
    <t>Wax</t>
  </si>
  <si>
    <t>Wax, candle</t>
  </si>
  <si>
    <t>XA</t>
  </si>
  <si>
    <t>Ants</t>
  </si>
  <si>
    <t>XB</t>
  </si>
  <si>
    <t>Zebra</t>
  </si>
  <si>
    <t>Batman</t>
  </si>
  <si>
    <t>XC</t>
  </si>
  <si>
    <t>Sexy</t>
  </si>
  <si>
    <t>XD</t>
  </si>
  <si>
    <t>Laughing (Ecks Dee)</t>
  </si>
  <si>
    <t>Camera (XD card)</t>
  </si>
  <si>
    <t>XD face</t>
  </si>
  <si>
    <t>XE</t>
  </si>
  <si>
    <t>Cheese</t>
  </si>
  <si>
    <t>Execute</t>
  </si>
  <si>
    <t>XF</t>
  </si>
  <si>
    <t>Xylophone</t>
  </si>
  <si>
    <t>Dead fish</t>
  </si>
  <si>
    <t>XG</t>
  </si>
  <si>
    <t>Cho'Gath / Chug</t>
  </si>
  <si>
    <t>Grandad</t>
  </si>
  <si>
    <t>XH</t>
  </si>
  <si>
    <t>Helicopter</t>
  </si>
  <si>
    <t>Extra hard, erection</t>
  </si>
  <si>
    <t>XI</t>
  </si>
  <si>
    <t>Meditate (Chi)</t>
  </si>
  <si>
    <t>Eleven, football team</t>
  </si>
  <si>
    <t>Football team</t>
  </si>
  <si>
    <t>XJ</t>
  </si>
  <si>
    <t>Friend Jack imagined dead</t>
  </si>
  <si>
    <t>Jaguar XJ</t>
  </si>
  <si>
    <t>XK</t>
  </si>
  <si>
    <t>Chicken</t>
  </si>
  <si>
    <t>Kick to death</t>
  </si>
  <si>
    <t>XL</t>
  </si>
  <si>
    <t>Extra large</t>
  </si>
  <si>
    <t>Extra Large</t>
  </si>
  <si>
    <t>XM</t>
  </si>
  <si>
    <t>Charmander</t>
  </si>
  <si>
    <t>Radio (XFM)</t>
  </si>
  <si>
    <t>XN</t>
  </si>
  <si>
    <t>Chin / China</t>
  </si>
  <si>
    <t>Vixen, fox</t>
  </si>
  <si>
    <t>XO</t>
  </si>
  <si>
    <t>Cheerios / Shoes</t>
  </si>
  <si>
    <t>Noughts and crosses</t>
  </si>
  <si>
    <t>Kisses and Hugs</t>
  </si>
  <si>
    <t>XP</t>
  </si>
  <si>
    <t>Chips / Ship</t>
  </si>
  <si>
    <t>Windows XP, Bill Gates</t>
  </si>
  <si>
    <t>XR</t>
  </si>
  <si>
    <t>Extra, newspaper (extra extra)</t>
  </si>
  <si>
    <t>XS</t>
  </si>
  <si>
    <t>Extra small</t>
  </si>
  <si>
    <t>Extra Small</t>
  </si>
  <si>
    <t>XT</t>
  </si>
  <si>
    <t>Dalek (Exterminate)</t>
  </si>
  <si>
    <t>Excited</t>
  </si>
  <si>
    <t>XU</t>
  </si>
  <si>
    <t>Chua</t>
  </si>
  <si>
    <t>"I KEEEEEL YOU"</t>
  </si>
  <si>
    <t>XV</t>
  </si>
  <si>
    <t>Chav</t>
  </si>
  <si>
    <t>Vinnie Jones (kills people on TV...yeah)</t>
  </si>
  <si>
    <t>Professor Xavier from X Men</t>
  </si>
  <si>
    <t>XW</t>
  </si>
  <si>
    <t>Chewie (Chewbacca)</t>
  </si>
  <si>
    <t>Dead whale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</si>
</sst>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</font>
    <font/>
    <font>
      <b/>
      <sz val="14.0"/>
      <name val="Lato"/>
    </font>
    <font>
      <b/>
      <sz val="11.0"/>
      <name val="Lato"/>
    </font>
    <font>
      <sz val="11.0"/>
      <name val="Lato"/>
    </font>
    <font>
      <sz val="6.0"/>
      <color rgb="FFFFFFFF"/>
      <name val="Lato"/>
    </font>
    <font>
      <b/>
      <sz val="6.0"/>
      <color rgb="FFFFFFFF"/>
      <name val="Lato"/>
    </font>
    <font>
      <sz val="6.0"/>
      <color rgb="FFFFFFFF"/>
    </font>
    <font>
      <sz val="11.0"/>
      <color rgb="FF000000"/>
      <name val="Lato"/>
    </font>
    <font>
      <sz val="6.0"/>
      <name val="Lato"/>
    </font>
    <font>
      <name val="Arial"/>
    </font>
    <font>
      <sz val="9.0"/>
      <name val="Lato"/>
    </font>
    <font>
      <b/>
      <sz val="9.0"/>
      <name val="Lato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</fills>
  <borders count="34">
    <border/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medium">
        <color rgb="FF434343"/>
      </left>
      <right style="thin">
        <color rgb="FFB7B7B7"/>
      </right>
      <top style="medium">
        <color rgb="FF434343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medium">
        <color rgb="FF434343"/>
      </top>
      <bottom style="thin">
        <color rgb="FFB7B7B7"/>
      </bottom>
    </border>
    <border>
      <left style="thin">
        <color rgb="FFB7B7B7"/>
      </left>
      <right style="medium">
        <color rgb="FF434343"/>
      </right>
      <top style="medium">
        <color rgb="FF434343"/>
      </top>
      <bottom style="thin">
        <color rgb="FFB7B7B7"/>
      </bottom>
    </border>
    <border>
      <left style="medium">
        <color rgb="FF434343"/>
      </left>
      <right style="medium">
        <color rgb="FF434343"/>
      </right>
    </border>
    <border>
      <left style="medium">
        <color rgb="FF434343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medium">
        <color rgb="FF434343"/>
      </right>
      <top style="thin">
        <color rgb="FFB7B7B7"/>
      </top>
      <bottom style="thin">
        <color rgb="FFB7B7B7"/>
      </bottom>
    </border>
    <border>
      <left style="medium">
        <color rgb="FF434343"/>
      </left>
      <right style="thin">
        <color rgb="FFB7B7B7"/>
      </right>
      <top style="thin">
        <color rgb="FFB7B7B7"/>
      </top>
      <bottom style="medium">
        <color rgb="FF434343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434343"/>
      </bottom>
    </border>
    <border>
      <left style="thin">
        <color rgb="FFB7B7B7"/>
      </left>
      <right style="medium">
        <color rgb="FF434343"/>
      </right>
      <top style="thin">
        <color rgb="FFB7B7B7"/>
      </top>
      <bottom style="medium">
        <color rgb="FF434343"/>
      </bottom>
    </border>
    <border>
      <left style="thin">
        <color rgb="FFB7B7B7"/>
      </left>
      <top style="medium">
        <color rgb="FF434343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medium">
        <color rgb="FF434343"/>
      </bottom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left style="medium">
        <color rgb="FF434343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434343"/>
      </left>
    </border>
    <border>
      <right style="medium">
        <color rgb="FF434343"/>
      </right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right style="medium">
        <color rgb="FF666666"/>
      </right>
    </border>
    <border>
      <left style="medium">
        <color rgb="FF666666"/>
      </left>
    </border>
    <border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  <bottom style="medium">
        <color rgb="FF666666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left style="medium">
        <color rgb="FF666666"/>
      </left>
      <right style="medium">
        <color rgb="FF666666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2" fillId="3" fontId="1" numFmtId="0" xfId="0" applyAlignment="1" applyBorder="1" applyFill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0"/>
    </xf>
    <xf borderId="5" fillId="2" fontId="4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horizontal="center" readingOrder="0" shrinkToFit="0" wrapText="1"/>
    </xf>
    <xf borderId="4" fillId="3" fontId="1" numFmtId="0" xfId="0" applyAlignment="1" applyBorder="1" applyFont="1">
      <alignment horizontal="center" readingOrder="0" shrinkToFit="0" wrapText="1"/>
    </xf>
    <xf borderId="13" fillId="0" fontId="1" numFmtId="0" xfId="0" applyAlignment="1" applyBorder="1" applyFont="1">
      <alignment horizontal="center" shrinkToFit="0" wrapText="1"/>
    </xf>
    <xf borderId="14" fillId="0" fontId="1" numFmtId="0" xfId="0" applyAlignment="1" applyBorder="1" applyFont="1">
      <alignment horizontal="center" readingOrder="0" shrinkToFit="0" wrapText="1"/>
    </xf>
    <xf borderId="15" fillId="2" fontId="4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8" fillId="0" fontId="1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horizontal="center" readingOrder="0" shrinkToFit="0" wrapText="1"/>
    </xf>
    <xf borderId="13" fillId="0" fontId="1" numFmtId="0" xfId="0" applyAlignment="1" applyBorder="1" applyFont="1">
      <alignment horizontal="center" readingOrder="0" shrinkToFit="0" wrapText="1"/>
    </xf>
    <xf borderId="10" fillId="3" fontId="1" numFmtId="0" xfId="0" applyAlignment="1" applyBorder="1" applyFont="1">
      <alignment horizontal="center" shrinkToFit="0" wrapText="1"/>
    </xf>
    <xf borderId="3" fillId="3" fontId="1" numFmtId="0" xfId="0" applyAlignment="1" applyBorder="1" applyFont="1">
      <alignment horizontal="center" shrinkToFit="0" wrapText="1"/>
    </xf>
    <xf borderId="16" fillId="0" fontId="1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horizontal="center" readingOrder="0" shrinkToFit="0" wrapText="1"/>
    </xf>
    <xf borderId="18" fillId="0" fontId="1" numFmtId="0" xfId="0" applyAlignment="1" applyBorder="1" applyFont="1">
      <alignment horizontal="center" shrinkToFit="0" wrapText="1"/>
    </xf>
    <xf borderId="19" fillId="0" fontId="1" numFmtId="0" xfId="0" applyAlignment="1" applyBorder="1" applyFont="1">
      <alignment horizontal="center" readingOrder="0" shrinkToFit="0" wrapText="1"/>
    </xf>
    <xf borderId="20" fillId="0" fontId="1" numFmtId="0" xfId="0" applyAlignment="1" applyBorder="1" applyFont="1">
      <alignment horizontal="center" shrinkToFit="0" wrapText="1"/>
    </xf>
    <xf borderId="19" fillId="0" fontId="1" numFmtId="0" xfId="0" applyAlignment="1" applyBorder="1" applyFont="1">
      <alignment horizontal="center" shrinkToFit="0" wrapText="1"/>
    </xf>
    <xf borderId="20" fillId="0" fontId="1" numFmtId="0" xfId="0" applyAlignment="1" applyBorder="1" applyFont="1">
      <alignment horizontal="center" readingOrder="0" shrinkToFit="0" wrapText="1"/>
    </xf>
    <xf borderId="21" fillId="0" fontId="1" numFmtId="0" xfId="0" applyAlignment="1" applyBorder="1" applyFont="1">
      <alignment horizontal="center" shrinkToFit="0" wrapText="1"/>
    </xf>
    <xf borderId="22" fillId="0" fontId="1" numFmtId="0" xfId="0" applyAlignment="1" applyBorder="1" applyFont="1">
      <alignment horizontal="center" readingOrder="0" shrinkToFit="0" wrapText="1"/>
    </xf>
    <xf borderId="22" fillId="0" fontId="1" numFmtId="0" xfId="0" applyAlignment="1" applyBorder="1" applyFont="1">
      <alignment horizontal="center" shrinkToFit="0" wrapText="1"/>
    </xf>
    <xf borderId="23" fillId="0" fontId="1" numFmtId="0" xfId="0" applyAlignment="1" applyBorder="1" applyFont="1">
      <alignment horizontal="center" shrinkToFit="0" wrapText="1"/>
    </xf>
    <xf borderId="17" fillId="3" fontId="1" numFmtId="0" xfId="0" applyAlignment="1" applyBorder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quotePrefix="1"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7" fontId="8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8" fontId="4" numFmtId="0" xfId="0" applyAlignment="1" applyFill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wrapText="1"/>
    </xf>
    <xf borderId="0" fillId="4" fontId="8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24" fillId="0" fontId="4" numFmtId="0" xfId="0" applyAlignment="1" applyBorder="1" applyFont="1">
      <alignment horizontal="center" readingOrder="0" shrinkToFit="0" wrapText="1"/>
    </xf>
    <xf borderId="25" fillId="0" fontId="1" numFmtId="0" xfId="0" applyAlignment="1" applyBorder="1" applyFont="1">
      <alignment shrinkToFit="0" wrapText="1"/>
    </xf>
    <xf borderId="26" fillId="0" fontId="4" numFmtId="0" xfId="0" applyAlignment="1" applyBorder="1" applyFont="1">
      <alignment horizontal="center" readingOrder="0" shrinkToFit="0" wrapText="1"/>
    </xf>
    <xf borderId="27" fillId="0" fontId="4" numFmtId="0" xfId="0" applyAlignment="1" applyBorder="1" applyFont="1">
      <alignment horizontal="center" readingOrder="0" shrinkToFit="0" wrapText="1"/>
    </xf>
    <xf borderId="25" fillId="0" fontId="4" numFmtId="0" xfId="0" applyAlignment="1" applyBorder="1" applyFont="1">
      <alignment horizontal="center" readingOrder="0" shrinkToFit="0" wrapText="1"/>
    </xf>
    <xf borderId="28" fillId="9" fontId="11" numFmtId="2" xfId="0" applyAlignment="1" applyBorder="1" applyFill="1" applyFont="1" applyNumberFormat="1">
      <alignment horizontal="center" shrinkToFit="0" vertical="center" wrapText="1"/>
    </xf>
    <xf borderId="29" fillId="0" fontId="11" numFmtId="2" xfId="0" applyAlignment="1" applyBorder="1" applyFont="1" applyNumberFormat="1">
      <alignment horizontal="center" readingOrder="0" shrinkToFit="0" vertical="center" wrapText="1"/>
    </xf>
    <xf borderId="29" fillId="9" fontId="11" numFmtId="2" xfId="0" applyAlignment="1" applyBorder="1" applyFont="1" applyNumberFormat="1">
      <alignment horizontal="center" shrinkToFit="0" vertical="center" wrapText="1"/>
    </xf>
    <xf borderId="30" fillId="0" fontId="11" numFmtId="2" xfId="0" applyAlignment="1" applyBorder="1" applyFont="1" applyNumberFormat="1">
      <alignment horizontal="center" readingOrder="0" shrinkToFit="0" vertical="center" wrapText="1"/>
    </xf>
    <xf borderId="29" fillId="0" fontId="11" numFmtId="2" xfId="0" applyAlignment="1" applyBorder="1" applyFont="1" applyNumberFormat="1">
      <alignment horizontal="center" shrinkToFit="0" vertical="center" wrapText="1"/>
    </xf>
    <xf borderId="25" fillId="0" fontId="11" numFmtId="2" xfId="0" applyAlignment="1" applyBorder="1" applyFont="1" applyNumberFormat="1">
      <alignment horizontal="center" readingOrder="0" shrinkToFit="0" vertical="center" wrapText="1"/>
    </xf>
    <xf borderId="0" fillId="9" fontId="11" numFmtId="2" xfId="0" applyAlignment="1" applyFont="1" applyNumberFormat="1">
      <alignment horizontal="center" shrinkToFit="0" vertical="center" wrapText="1"/>
    </xf>
    <xf borderId="0" fillId="0" fontId="11" numFmtId="2" xfId="0" applyAlignment="1" applyFont="1" applyNumberFormat="1">
      <alignment horizontal="center" shrinkToFit="0" vertical="center" wrapText="1"/>
    </xf>
    <xf borderId="0" fillId="0" fontId="11" numFmtId="2" xfId="0" applyAlignment="1" applyFont="1" applyNumberFormat="1">
      <alignment horizontal="center" readingOrder="0" shrinkToFit="0" vertical="center" wrapText="1"/>
    </xf>
    <xf borderId="24" fillId="0" fontId="11" numFmtId="2" xfId="0" applyAlignment="1" applyBorder="1" applyFont="1" applyNumberFormat="1">
      <alignment horizontal="center" shrinkToFit="0" vertical="center" wrapText="1"/>
    </xf>
    <xf borderId="24" fillId="9" fontId="11" numFmtId="2" xfId="0" applyAlignment="1" applyBorder="1" applyFont="1" applyNumberFormat="1">
      <alignment horizontal="center" shrinkToFit="0" vertical="center" wrapText="1"/>
    </xf>
    <xf borderId="25" fillId="9" fontId="11" numFmtId="2" xfId="0" applyAlignment="1" applyBorder="1" applyFont="1" applyNumberFormat="1">
      <alignment horizontal="center" shrinkToFit="0" vertical="center" wrapText="1"/>
    </xf>
    <xf borderId="24" fillId="0" fontId="11" numFmtId="2" xfId="0" applyAlignment="1" applyBorder="1" applyFont="1" applyNumberFormat="1">
      <alignment horizontal="center" readingOrder="0" shrinkToFit="0" vertical="center" wrapText="1"/>
    </xf>
    <xf borderId="31" fillId="0" fontId="11" numFmtId="2" xfId="0" applyAlignment="1" applyBorder="1" applyFont="1" applyNumberFormat="1">
      <alignment horizontal="center" readingOrder="0" shrinkToFit="0" vertical="center" wrapText="1"/>
    </xf>
    <xf borderId="26" fillId="0" fontId="11" numFmtId="2" xfId="0" applyAlignment="1" applyBorder="1" applyFont="1" applyNumberFormat="1">
      <alignment horizontal="center" shrinkToFit="0" vertical="center" wrapText="1"/>
    </xf>
    <xf borderId="26" fillId="9" fontId="11" numFmtId="2" xfId="0" applyAlignment="1" applyBorder="1" applyFont="1" applyNumberFormat="1">
      <alignment horizontal="center" shrinkToFit="0" vertical="center" wrapText="1"/>
    </xf>
    <xf borderId="26" fillId="0" fontId="11" numFmtId="2" xfId="0" applyAlignment="1" applyBorder="1" applyFont="1" applyNumberFormat="1">
      <alignment horizontal="center" readingOrder="0" shrinkToFit="0" vertical="center" wrapText="1"/>
    </xf>
    <xf borderId="27" fillId="9" fontId="11" numFmtId="2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shrinkToFit="0" wrapText="1"/>
    </xf>
    <xf borderId="29" fillId="0" fontId="4" numFmtId="0" xfId="0" applyAlignment="1" applyBorder="1" applyFont="1">
      <alignment horizontal="center" readingOrder="0" shrinkToFit="0" wrapText="1"/>
    </xf>
    <xf borderId="25" fillId="0" fontId="11" numFmtId="2" xfId="0" applyAlignment="1" applyBorder="1" applyFont="1" applyNumberFormat="1">
      <alignment horizontal="center" shrinkToFit="0" vertical="center" wrapText="1"/>
    </xf>
    <xf borderId="28" fillId="0" fontId="12" numFmtId="2" xfId="0" applyAlignment="1" applyBorder="1" applyFont="1" applyNumberFormat="1">
      <alignment horizontal="center" shrinkToFit="0" vertical="center" wrapText="1"/>
    </xf>
    <xf borderId="30" fillId="0" fontId="11" numFmtId="2" xfId="0" applyAlignment="1" applyBorder="1" applyFont="1" applyNumberFormat="1">
      <alignment horizontal="center" shrinkToFit="0" vertical="center" wrapText="1"/>
    </xf>
    <xf borderId="28" fillId="0" fontId="11" numFmtId="2" xfId="0" applyAlignment="1" applyBorder="1" applyFont="1" applyNumberFormat="1">
      <alignment horizontal="center" shrinkToFit="0" vertical="center" wrapText="1"/>
    </xf>
    <xf borderId="31" fillId="0" fontId="4" numFmtId="0" xfId="0" applyAlignment="1" applyBorder="1" applyFont="1">
      <alignment horizontal="center" readingOrder="0" shrinkToFit="0" wrapText="1"/>
    </xf>
    <xf borderId="30" fillId="0" fontId="4" numFmtId="0" xfId="0" applyAlignment="1" applyBorder="1" applyFont="1">
      <alignment horizontal="center" readingOrder="0" shrinkToFit="0" wrapText="1"/>
    </xf>
    <xf borderId="0" fillId="9" fontId="11" numFmtId="2" xfId="0" applyAlignment="1" applyFont="1" applyNumberFormat="1">
      <alignment horizontal="center" readingOrder="0" shrinkToFit="0" vertical="center" wrapText="1"/>
    </xf>
    <xf quotePrefix="1" borderId="0" fillId="0" fontId="2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1"/>
    </xf>
    <xf borderId="26" fillId="0" fontId="3" numFmtId="0" xfId="0" applyAlignment="1" applyBorder="1" applyFont="1">
      <alignment horizontal="right" readingOrder="0" shrinkToFit="0" wrapText="1"/>
    </xf>
    <xf borderId="32" fillId="0" fontId="3" numFmtId="0" xfId="0" applyAlignment="1" applyBorder="1" applyFont="1">
      <alignment horizontal="center" readingOrder="0" shrinkToFit="0" wrapText="1"/>
    </xf>
    <xf borderId="26" fillId="0" fontId="3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right" readingOrder="0" shrinkToFit="0" wrapText="1"/>
    </xf>
    <xf borderId="33" fillId="0" fontId="4" numFmtId="2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4" width="10.86"/>
  </cols>
  <sheetData>
    <row r="1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7.25">
      <c r="A2" s="50"/>
      <c r="B2" s="3" t="s">
        <v>161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1"/>
      <c r="B3" s="52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3.5">
      <c r="A4" s="51"/>
      <c r="B4" s="52" t="s">
        <v>162</v>
      </c>
      <c r="C4" s="52"/>
      <c r="D4" s="52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2"/>
      <c r="C5" s="52"/>
      <c r="D5" s="52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3.5">
      <c r="A6" s="51"/>
      <c r="B6" s="52" t="s">
        <v>163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3.5">
      <c r="A7" s="51"/>
      <c r="B7" s="53" t="s">
        <v>164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3.5">
      <c r="A8" s="51"/>
      <c r="B8" s="53" t="s">
        <v>165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3.5">
      <c r="A9" s="51"/>
      <c r="B9" s="53" t="s">
        <v>166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3.5">
      <c r="A10" s="51"/>
      <c r="B10" s="53" t="s">
        <v>167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3.5">
      <c r="A11" s="51"/>
      <c r="B11" s="53" t="s">
        <v>168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2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3.5">
      <c r="A13" s="51"/>
      <c r="B13" s="52" t="s">
        <v>169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3.5">
      <c r="A14" s="51"/>
      <c r="B14" s="52" t="s">
        <v>170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3.5">
      <c r="A15" s="51"/>
      <c r="B15" s="52" t="s">
        <v>171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3.5">
      <c r="A16" s="51"/>
      <c r="B16" s="52" t="s">
        <v>172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3.5">
      <c r="A17" s="51"/>
      <c r="B17" s="52" t="s">
        <v>173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3.5">
      <c r="A19" s="51"/>
      <c r="B19" s="52" t="s">
        <v>174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2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3.5">
      <c r="A21" s="51"/>
      <c r="B21" s="52" t="s">
        <v>175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3.5">
      <c r="A22" s="51"/>
      <c r="B22" s="52" t="s">
        <v>176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3.5">
      <c r="A23" s="51"/>
      <c r="B23" s="52" t="s">
        <v>177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3.5">
      <c r="A25" s="51"/>
      <c r="B25" s="52" t="s">
        <v>178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3.5">
      <c r="A26" s="51"/>
      <c r="B26" s="52" t="s">
        <v>179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3.5">
      <c r="A27" s="51"/>
      <c r="B27" s="52" t="s">
        <v>180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3.5">
      <c r="A29" s="51"/>
      <c r="B29" s="52" t="s">
        <v>181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3.5">
      <c r="A31" s="51"/>
      <c r="B31" s="52" t="s">
        <v>182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3.5">
      <c r="A32" s="51"/>
      <c r="B32" s="52" t="s">
        <v>183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3.5">
      <c r="A33" s="51"/>
      <c r="B33" s="52" t="s">
        <v>184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4" width="10.86"/>
    <col customWidth="1" min="5" max="30" width="2.57"/>
  </cols>
  <sheetData>
    <row r="1">
      <c r="A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7.25">
      <c r="B2" s="3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3.5" customHeight="1">
      <c r="B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2.0" customHeight="1">
      <c r="B4" s="4" t="s">
        <v>1</v>
      </c>
      <c r="C4" s="5" t="s">
        <v>2</v>
      </c>
      <c r="D4" s="6" t="s">
        <v>3</v>
      </c>
      <c r="E4" s="7"/>
      <c r="F4" s="2"/>
      <c r="G4" s="2"/>
      <c r="H4" s="2"/>
      <c r="I4" s="8"/>
      <c r="J4" s="9"/>
      <c r="K4" s="10" t="str">
        <f>D5</f>
        <v>B</v>
      </c>
      <c r="L4" s="2"/>
      <c r="M4" s="2"/>
      <c r="N4" s="2"/>
      <c r="O4" s="2"/>
      <c r="P4" s="2"/>
      <c r="Q4" s="2"/>
      <c r="R4" s="2"/>
      <c r="S4" s="2"/>
      <c r="T4" s="2"/>
    </row>
    <row r="5" ht="13.5" customHeight="1">
      <c r="B5" s="11" t="s">
        <v>4</v>
      </c>
      <c r="C5" s="5" t="s">
        <v>5</v>
      </c>
      <c r="D5" s="12" t="s">
        <v>6</v>
      </c>
      <c r="E5" s="2"/>
      <c r="F5" s="2"/>
      <c r="G5" s="2"/>
      <c r="H5" s="2"/>
      <c r="I5" s="13"/>
      <c r="J5" s="14"/>
      <c r="K5" s="15"/>
      <c r="L5" s="2"/>
      <c r="M5" s="2"/>
      <c r="N5" s="2"/>
      <c r="O5" s="2"/>
      <c r="P5" s="2"/>
      <c r="Q5" s="2"/>
      <c r="R5" s="2"/>
      <c r="S5" s="2"/>
      <c r="T5" s="2"/>
    </row>
    <row r="6" ht="13.5">
      <c r="C6" s="5" t="s">
        <v>7</v>
      </c>
      <c r="D6" s="12" t="s">
        <v>8</v>
      </c>
      <c r="E6" s="2"/>
      <c r="F6" s="2"/>
      <c r="G6" s="2"/>
      <c r="H6" s="2"/>
      <c r="I6" s="16" t="str">
        <f>D7</f>
        <v>D</v>
      </c>
      <c r="J6" s="17"/>
      <c r="K6" s="18" t="str">
        <f>D6</f>
        <v>C</v>
      </c>
      <c r="L6" s="2"/>
      <c r="M6" s="2"/>
      <c r="N6" s="2"/>
      <c r="O6" s="2"/>
      <c r="P6" s="2"/>
      <c r="Q6" s="2"/>
      <c r="R6" s="2"/>
      <c r="S6" s="2"/>
      <c r="T6" s="2"/>
    </row>
    <row r="7" ht="13.5">
      <c r="C7" s="5" t="s">
        <v>9</v>
      </c>
      <c r="D7" s="12" t="s">
        <v>10</v>
      </c>
      <c r="E7" s="2"/>
      <c r="F7" s="19"/>
      <c r="G7" s="9"/>
      <c r="H7" s="10" t="str">
        <f>D9</f>
        <v>F</v>
      </c>
      <c r="I7" s="20" t="str">
        <f>D12</f>
        <v>I</v>
      </c>
      <c r="J7" s="9"/>
      <c r="K7" s="10" t="str">
        <f>D13</f>
        <v>R</v>
      </c>
      <c r="L7" s="20" t="str">
        <f>D16</f>
        <v>M</v>
      </c>
      <c r="M7" s="9"/>
      <c r="N7" s="21" t="str">
        <f>D17</f>
        <v>N</v>
      </c>
      <c r="O7" s="20" t="str">
        <f>D20</f>
        <v>A</v>
      </c>
      <c r="P7" s="9"/>
      <c r="Q7" s="22"/>
      <c r="R7" s="2"/>
      <c r="S7" s="2"/>
      <c r="T7" s="2"/>
    </row>
    <row r="8" ht="13.5">
      <c r="C8" s="5" t="s">
        <v>11</v>
      </c>
      <c r="D8" s="12" t="s">
        <v>3</v>
      </c>
      <c r="E8" s="7"/>
      <c r="F8" s="13"/>
      <c r="G8" s="14"/>
      <c r="H8" s="15"/>
      <c r="I8" s="13"/>
      <c r="J8" s="14"/>
      <c r="K8" s="15"/>
      <c r="L8" s="13"/>
      <c r="M8" s="14"/>
      <c r="N8" s="23"/>
      <c r="O8" s="13"/>
      <c r="P8" s="14"/>
      <c r="Q8" s="15"/>
      <c r="R8" s="2"/>
      <c r="S8" s="2"/>
      <c r="T8" s="2"/>
    </row>
    <row r="9" ht="13.5">
      <c r="C9" s="5" t="s">
        <v>12</v>
      </c>
      <c r="D9" s="12" t="s">
        <v>13</v>
      </c>
      <c r="E9" s="2"/>
      <c r="F9" s="16" t="str">
        <f>D11</f>
        <v>H</v>
      </c>
      <c r="G9" s="17"/>
      <c r="H9" s="18" t="str">
        <f>D10</f>
        <v>G</v>
      </c>
      <c r="I9" s="16" t="str">
        <f>D15</f>
        <v>L</v>
      </c>
      <c r="J9" s="17"/>
      <c r="K9" s="18" t="str">
        <f>D14</f>
        <v>K</v>
      </c>
      <c r="L9" s="16" t="str">
        <f>D19</f>
        <v>P</v>
      </c>
      <c r="M9" s="17"/>
      <c r="N9" s="24" t="str">
        <f>D18</f>
        <v>O</v>
      </c>
      <c r="O9" s="16" t="str">
        <f>D23</f>
        <v>T</v>
      </c>
      <c r="P9" s="17"/>
      <c r="Q9" s="18" t="str">
        <f>D22</f>
        <v>S</v>
      </c>
      <c r="R9" s="2"/>
      <c r="S9" s="2"/>
      <c r="T9" s="2"/>
    </row>
    <row r="10" ht="13.5">
      <c r="C10" s="5" t="s">
        <v>14</v>
      </c>
      <c r="D10" s="12" t="s">
        <v>15</v>
      </c>
      <c r="E10" s="2"/>
      <c r="F10" s="2"/>
      <c r="G10" s="2"/>
      <c r="H10" s="2"/>
      <c r="I10" s="20" t="str">
        <f>D24</f>
        <v>U</v>
      </c>
      <c r="J10" s="9"/>
      <c r="K10" s="10" t="str">
        <f>D25</f>
        <v>V</v>
      </c>
      <c r="L10" s="2"/>
      <c r="M10" s="2"/>
      <c r="N10" s="2"/>
      <c r="O10" s="2"/>
      <c r="P10" s="2"/>
      <c r="Q10" s="2"/>
      <c r="R10" s="2"/>
      <c r="S10" s="2"/>
      <c r="T10" s="2"/>
    </row>
    <row r="11" ht="13.5">
      <c r="C11" s="5" t="s">
        <v>16</v>
      </c>
      <c r="D11" s="12" t="s">
        <v>17</v>
      </c>
      <c r="E11" s="2"/>
      <c r="F11" s="2"/>
      <c r="G11" s="2"/>
      <c r="H11" s="2"/>
      <c r="I11" s="13"/>
      <c r="J11" s="14"/>
      <c r="K11" s="15"/>
      <c r="L11" s="2"/>
      <c r="M11" s="2"/>
      <c r="N11" s="2"/>
      <c r="O11" s="2"/>
      <c r="P11" s="2"/>
      <c r="Q11" s="2"/>
      <c r="R11" s="2"/>
      <c r="S11" s="2"/>
      <c r="T11" s="2"/>
    </row>
    <row r="12" ht="13.5">
      <c r="C12" s="5" t="s">
        <v>18</v>
      </c>
      <c r="D12" s="12" t="s">
        <v>19</v>
      </c>
      <c r="E12" s="2"/>
      <c r="F12" s="2"/>
      <c r="G12" s="2"/>
      <c r="H12" s="2"/>
      <c r="I12" s="16" t="str">
        <f>D27</f>
        <v>E</v>
      </c>
      <c r="J12" s="17"/>
      <c r="K12" s="18" t="str">
        <f>D26</f>
        <v>W</v>
      </c>
      <c r="L12" s="2"/>
      <c r="M12" s="2"/>
      <c r="N12" s="2"/>
      <c r="O12" s="2"/>
      <c r="P12" s="2"/>
      <c r="Q12" s="2"/>
      <c r="R12" s="2"/>
      <c r="S12" s="2"/>
      <c r="T12" s="2"/>
    </row>
    <row r="13" ht="13.5">
      <c r="C13" s="5" t="s">
        <v>20</v>
      </c>
      <c r="D13" s="12" t="s">
        <v>21</v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3.5">
      <c r="C14" s="5" t="s">
        <v>22</v>
      </c>
      <c r="D14" s="12" t="s">
        <v>23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3.5">
      <c r="C15" s="5" t="s">
        <v>24</v>
      </c>
      <c r="D15" s="12" t="s">
        <v>25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3.5">
      <c r="C16" s="5" t="s">
        <v>26</v>
      </c>
      <c r="D16" s="12" t="s">
        <v>27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3.5">
      <c r="C17" s="5" t="s">
        <v>28</v>
      </c>
      <c r="D17" s="12" t="s">
        <v>29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3.5">
      <c r="C18" s="5" t="s">
        <v>30</v>
      </c>
      <c r="D18" s="12" t="s">
        <v>31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3.5">
      <c r="C19" s="5" t="s">
        <v>32</v>
      </c>
      <c r="D19" s="12" t="s">
        <v>33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3.5">
      <c r="C20" s="5" t="s">
        <v>34</v>
      </c>
      <c r="D20" s="12" t="s">
        <v>35</v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3.5">
      <c r="C21" s="5" t="s">
        <v>36</v>
      </c>
      <c r="D21" s="12" t="s">
        <v>3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3.5">
      <c r="C22" s="5" t="s">
        <v>37</v>
      </c>
      <c r="D22" s="12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3.5">
      <c r="C23" s="5" t="s">
        <v>39</v>
      </c>
      <c r="D23" s="12" t="s">
        <v>40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3.5">
      <c r="C24" s="5" t="s">
        <v>41</v>
      </c>
      <c r="D24" s="12" t="s">
        <v>42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3.5">
      <c r="C25" s="5" t="s">
        <v>43</v>
      </c>
      <c r="D25" s="12" t="s">
        <v>44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3.5">
      <c r="C26" s="5" t="s">
        <v>45</v>
      </c>
      <c r="D26" s="12" t="s">
        <v>46</v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4.25">
      <c r="C27" s="5" t="s">
        <v>47</v>
      </c>
      <c r="D27" s="25" t="s">
        <v>48</v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C28" s="5"/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3.5">
      <c r="B29" s="4" t="s">
        <v>49</v>
      </c>
      <c r="C29" s="5" t="s">
        <v>50</v>
      </c>
      <c r="D29" s="6" t="s">
        <v>35</v>
      </c>
      <c r="E29" s="2"/>
      <c r="F29" s="2"/>
      <c r="G29" s="2"/>
      <c r="H29" s="2"/>
      <c r="I29" s="26"/>
      <c r="J29" s="27" t="str">
        <f>D31</f>
        <v>C</v>
      </c>
      <c r="K29" s="10"/>
      <c r="L29" s="2"/>
      <c r="M29" s="2"/>
      <c r="N29" s="2"/>
      <c r="O29" s="2"/>
      <c r="P29" s="2"/>
      <c r="Q29" s="2"/>
      <c r="R29" s="2"/>
      <c r="S29" s="2"/>
      <c r="T29" s="2"/>
    </row>
    <row r="30" ht="13.5">
      <c r="B30" s="4" t="s">
        <v>51</v>
      </c>
      <c r="C30" s="5" t="s">
        <v>52</v>
      </c>
      <c r="D30" s="12" t="s">
        <v>6</v>
      </c>
      <c r="E30" s="2"/>
      <c r="F30" s="2"/>
      <c r="G30" s="2"/>
      <c r="H30" s="2"/>
      <c r="I30" s="28" t="str">
        <f>D30</f>
        <v>B</v>
      </c>
      <c r="J30" s="14"/>
      <c r="K30" s="29" t="str">
        <f>D32</f>
        <v>D</v>
      </c>
      <c r="L30" s="2"/>
      <c r="M30" s="2"/>
      <c r="N30" s="2"/>
      <c r="O30" s="2"/>
      <c r="P30" s="2"/>
      <c r="Q30" s="2"/>
      <c r="R30" s="2"/>
      <c r="S30" s="2"/>
      <c r="T30" s="2"/>
    </row>
    <row r="31" ht="13.5">
      <c r="C31" s="5" t="s">
        <v>53</v>
      </c>
      <c r="D31" s="12" t="s">
        <v>8</v>
      </c>
      <c r="E31" s="2"/>
      <c r="F31" s="2"/>
      <c r="G31" s="2"/>
      <c r="H31" s="2"/>
      <c r="I31" s="16"/>
      <c r="J31" s="30" t="str">
        <f>D29</f>
        <v>A</v>
      </c>
      <c r="K31" s="18"/>
      <c r="L31" s="2"/>
      <c r="M31" s="2"/>
      <c r="N31" s="2"/>
      <c r="O31" s="2"/>
      <c r="P31" s="2"/>
      <c r="Q31" s="2"/>
      <c r="R31" s="2"/>
      <c r="S31" s="2"/>
      <c r="T31" s="2"/>
    </row>
    <row r="32" ht="13.5">
      <c r="C32" s="5" t="s">
        <v>54</v>
      </c>
      <c r="D32" s="12" t="s">
        <v>10</v>
      </c>
      <c r="E32" s="2"/>
      <c r="F32" s="20"/>
      <c r="G32" s="27" t="str">
        <f>D35</f>
        <v>G</v>
      </c>
      <c r="H32" s="10"/>
      <c r="I32" s="20"/>
      <c r="J32" s="27" t="str">
        <f>D39</f>
        <v>K</v>
      </c>
      <c r="K32" s="10"/>
      <c r="L32" s="20"/>
      <c r="M32" s="27" t="str">
        <f>D43</f>
        <v>O</v>
      </c>
      <c r="N32" s="21"/>
      <c r="O32" s="20"/>
      <c r="P32" s="27" t="str">
        <f>D47</f>
        <v>S</v>
      </c>
      <c r="Q32" s="10"/>
      <c r="R32" s="2"/>
      <c r="S32" s="2"/>
      <c r="T32" s="2"/>
    </row>
    <row r="33" ht="13.5">
      <c r="C33" s="5" t="s">
        <v>55</v>
      </c>
      <c r="D33" s="12" t="s">
        <v>48</v>
      </c>
      <c r="E33" s="2"/>
      <c r="F33" s="28" t="str">
        <f>D34</f>
        <v>F</v>
      </c>
      <c r="G33" s="14"/>
      <c r="H33" s="29" t="str">
        <f>D36</f>
        <v>H</v>
      </c>
      <c r="I33" s="28" t="str">
        <f>D38</f>
        <v>J</v>
      </c>
      <c r="J33" s="14"/>
      <c r="K33" s="29" t="str">
        <f>D40</f>
        <v>L</v>
      </c>
      <c r="L33" s="28" t="str">
        <f>D42</f>
        <v>N</v>
      </c>
      <c r="M33" s="14"/>
      <c r="N33" s="31" t="str">
        <f>D44</f>
        <v>P</v>
      </c>
      <c r="O33" s="28" t="str">
        <f>D46</f>
        <v>R</v>
      </c>
      <c r="P33" s="14"/>
      <c r="Q33" s="29" t="str">
        <f>D48</f>
        <v>T</v>
      </c>
      <c r="R33" s="2"/>
      <c r="S33" s="2"/>
      <c r="T33" s="2"/>
    </row>
    <row r="34" ht="13.5">
      <c r="C34" s="5" t="s">
        <v>56</v>
      </c>
      <c r="D34" s="12" t="s">
        <v>13</v>
      </c>
      <c r="E34" s="2"/>
      <c r="F34" s="16"/>
      <c r="G34" s="30" t="str">
        <f>D33</f>
        <v>E</v>
      </c>
      <c r="H34" s="18"/>
      <c r="I34" s="16"/>
      <c r="J34" s="32"/>
      <c r="K34" s="18"/>
      <c r="L34" s="16"/>
      <c r="M34" s="30" t="str">
        <f>D41</f>
        <v>M</v>
      </c>
      <c r="N34" s="24"/>
      <c r="O34" s="16"/>
      <c r="P34" s="30" t="str">
        <f>D45</f>
        <v>W</v>
      </c>
      <c r="Q34" s="18"/>
      <c r="R34" s="2"/>
      <c r="S34" s="2"/>
      <c r="T34" s="2"/>
    </row>
    <row r="35" ht="13.5">
      <c r="C35" s="5" t="s">
        <v>57</v>
      </c>
      <c r="D35" s="12" t="s">
        <v>15</v>
      </c>
      <c r="E35" s="2"/>
      <c r="F35" s="2"/>
      <c r="G35" s="2"/>
      <c r="H35" s="2"/>
      <c r="I35" s="20"/>
      <c r="J35" s="33"/>
      <c r="K35" s="10"/>
      <c r="L35" s="2"/>
      <c r="M35" s="2"/>
      <c r="N35" s="2"/>
      <c r="O35" s="2"/>
      <c r="P35" s="2"/>
      <c r="Q35" s="2"/>
      <c r="R35" s="2"/>
      <c r="S35" s="2"/>
      <c r="T35" s="2"/>
    </row>
    <row r="36" ht="13.5">
      <c r="C36" s="5" t="s">
        <v>58</v>
      </c>
      <c r="D36" s="12" t="s">
        <v>17</v>
      </c>
      <c r="E36" s="2"/>
      <c r="F36" s="2"/>
      <c r="G36" s="2"/>
      <c r="H36" s="2"/>
      <c r="I36" s="28" t="str">
        <f>D50</f>
        <v>V</v>
      </c>
      <c r="J36" s="14"/>
      <c r="K36" s="29" t="str">
        <f>D52</f>
        <v>I</v>
      </c>
      <c r="L36" s="2"/>
      <c r="M36" s="2"/>
      <c r="N36" s="2"/>
      <c r="O36" s="2"/>
      <c r="P36" s="2"/>
      <c r="Q36" s="2"/>
      <c r="R36" s="2"/>
      <c r="S36" s="2"/>
      <c r="T36" s="2"/>
    </row>
    <row r="37" ht="13.5">
      <c r="C37" s="5" t="s">
        <v>59</v>
      </c>
      <c r="D37" s="12" t="s">
        <v>3</v>
      </c>
      <c r="E37" s="7"/>
      <c r="F37" s="2"/>
      <c r="G37" s="2"/>
      <c r="H37" s="2"/>
      <c r="I37" s="16"/>
      <c r="J37" s="30" t="str">
        <f>D49</f>
        <v>U</v>
      </c>
      <c r="K37" s="18"/>
      <c r="L37" s="2"/>
      <c r="M37" s="2"/>
      <c r="N37" s="2"/>
      <c r="O37" s="2"/>
      <c r="P37" s="2"/>
      <c r="Q37" s="2"/>
      <c r="R37" s="2"/>
      <c r="S37" s="2"/>
      <c r="T37" s="2"/>
    </row>
    <row r="38" ht="13.5">
      <c r="C38" s="5" t="s">
        <v>60</v>
      </c>
      <c r="D38" s="12" t="s">
        <v>61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3.5">
      <c r="C39" s="5" t="s">
        <v>62</v>
      </c>
      <c r="D39" s="12" t="s">
        <v>23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3.5">
      <c r="C40" s="5" t="s">
        <v>63</v>
      </c>
      <c r="D40" s="12" t="s">
        <v>25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3.5">
      <c r="C41" s="5" t="s">
        <v>64</v>
      </c>
      <c r="D41" s="12" t="s">
        <v>27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3.5">
      <c r="C42" s="5" t="s">
        <v>65</v>
      </c>
      <c r="D42" s="12" t="s">
        <v>29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3.5">
      <c r="C43" s="5" t="s">
        <v>66</v>
      </c>
      <c r="D43" s="12" t="s">
        <v>31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3.5">
      <c r="C44" s="5" t="s">
        <v>67</v>
      </c>
      <c r="D44" s="12" t="s">
        <v>33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3.5">
      <c r="C45" s="5" t="s">
        <v>68</v>
      </c>
      <c r="D45" s="12" t="s">
        <v>46</v>
      </c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3.5">
      <c r="C46" s="5" t="s">
        <v>69</v>
      </c>
      <c r="D46" s="12" t="s">
        <v>21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3.5">
      <c r="C47" s="5" t="s">
        <v>70</v>
      </c>
      <c r="D47" s="12" t="s">
        <v>38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3.5">
      <c r="C48" s="5" t="s">
        <v>71</v>
      </c>
      <c r="D48" s="12" t="s">
        <v>40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3.5">
      <c r="C49" s="5" t="s">
        <v>72</v>
      </c>
      <c r="D49" s="12" t="s">
        <v>42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3.5">
      <c r="C50" s="5" t="s">
        <v>73</v>
      </c>
      <c r="D50" s="12" t="s">
        <v>44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3.5">
      <c r="C51" s="5" t="s">
        <v>74</v>
      </c>
      <c r="D51" s="12" t="s">
        <v>3</v>
      </c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4.25">
      <c r="C52" s="5" t="s">
        <v>75</v>
      </c>
      <c r="D52" s="25" t="s">
        <v>19</v>
      </c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C53" s="5"/>
      <c r="D53" s="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7.25">
      <c r="B54" s="3" t="s">
        <v>76</v>
      </c>
      <c r="C54" s="5"/>
      <c r="D54" s="5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C55" s="5"/>
      <c r="D55" s="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3.5">
      <c r="B56" s="4" t="s">
        <v>77</v>
      </c>
      <c r="C56" s="5" t="s">
        <v>78</v>
      </c>
      <c r="D56" s="6" t="s">
        <v>35</v>
      </c>
      <c r="E56" s="2"/>
      <c r="F56" s="2"/>
      <c r="G56" s="2"/>
      <c r="H56" s="2"/>
      <c r="I56" s="2"/>
      <c r="J56" s="34"/>
      <c r="K56" s="35"/>
      <c r="L56" s="36" t="str">
        <f>D58</f>
        <v>C</v>
      </c>
      <c r="M56" s="37"/>
      <c r="N56" s="2"/>
      <c r="O56" s="2"/>
      <c r="P56" s="2"/>
      <c r="Q56" s="2"/>
      <c r="R56" s="2"/>
      <c r="S56" s="2"/>
      <c r="T56" s="2"/>
    </row>
    <row r="57" ht="13.5">
      <c r="B57" s="4" t="s">
        <v>79</v>
      </c>
      <c r="C57" s="5" t="s">
        <v>80</v>
      </c>
      <c r="D57" s="12" t="s">
        <v>6</v>
      </c>
      <c r="E57" s="2"/>
      <c r="F57" s="2"/>
      <c r="G57" s="2"/>
      <c r="H57" s="2"/>
      <c r="I57" s="2"/>
      <c r="J57" s="38" t="str">
        <f>D57</f>
        <v>B</v>
      </c>
      <c r="K57" s="2"/>
      <c r="L57" s="2"/>
      <c r="M57" s="39"/>
      <c r="N57" s="2"/>
      <c r="O57" s="2"/>
      <c r="P57" s="2"/>
      <c r="Q57" s="2"/>
      <c r="R57" s="2"/>
      <c r="S57" s="2"/>
      <c r="T57" s="2"/>
    </row>
    <row r="58" ht="13.5">
      <c r="B58" s="1"/>
      <c r="C58" s="5" t="s">
        <v>81</v>
      </c>
      <c r="D58" s="12" t="s">
        <v>8</v>
      </c>
      <c r="E58" s="2"/>
      <c r="F58" s="2"/>
      <c r="G58" s="2"/>
      <c r="H58" s="2"/>
      <c r="I58" s="2"/>
      <c r="J58" s="40"/>
      <c r="K58" s="2"/>
      <c r="L58" s="2"/>
      <c r="M58" s="41" t="str">
        <f>D59</f>
        <v>D</v>
      </c>
      <c r="N58" s="2"/>
      <c r="O58" s="2"/>
      <c r="P58" s="2"/>
      <c r="Q58" s="2"/>
      <c r="R58" s="2"/>
      <c r="S58" s="2"/>
      <c r="T58" s="2"/>
    </row>
    <row r="59" ht="13.5">
      <c r="B59" s="1"/>
      <c r="C59" s="5" t="s">
        <v>82</v>
      </c>
      <c r="D59" s="12" t="s">
        <v>10</v>
      </c>
      <c r="E59" s="2"/>
      <c r="F59" s="2"/>
      <c r="G59" s="2"/>
      <c r="H59" s="2"/>
      <c r="I59" s="2"/>
      <c r="J59" s="42"/>
      <c r="K59" s="43" t="str">
        <f>D56</f>
        <v>A</v>
      </c>
      <c r="L59" s="44"/>
      <c r="M59" s="45"/>
      <c r="N59" s="2"/>
      <c r="O59" s="2"/>
      <c r="P59" s="2"/>
      <c r="Q59" s="2"/>
      <c r="R59" s="2"/>
      <c r="S59" s="2"/>
      <c r="T59" s="2"/>
    </row>
    <row r="60" ht="13.5">
      <c r="B60" s="1"/>
      <c r="C60" s="5" t="s">
        <v>83</v>
      </c>
      <c r="D60" s="12" t="s">
        <v>48</v>
      </c>
      <c r="E60" s="2"/>
      <c r="F60" s="34"/>
      <c r="G60" s="35"/>
      <c r="H60" s="36" t="str">
        <f>D62</f>
        <v>G</v>
      </c>
      <c r="I60" s="37"/>
      <c r="J60" s="34"/>
      <c r="K60" s="35"/>
      <c r="L60" s="36" t="str">
        <f>D66</f>
        <v>K</v>
      </c>
      <c r="M60" s="37"/>
      <c r="N60" s="34"/>
      <c r="O60" s="35"/>
      <c r="P60" s="36" t="str">
        <f>D70</f>
        <v>O</v>
      </c>
      <c r="Q60" s="37"/>
      <c r="R60" s="34"/>
      <c r="S60" s="35"/>
      <c r="T60" s="36" t="str">
        <f>D74</f>
        <v>S</v>
      </c>
      <c r="U60" s="37"/>
    </row>
    <row r="61" ht="13.5">
      <c r="B61" s="1"/>
      <c r="C61" s="5" t="s">
        <v>84</v>
      </c>
      <c r="D61" s="12" t="s">
        <v>13</v>
      </c>
      <c r="E61" s="2"/>
      <c r="F61" s="38" t="str">
        <f>D61</f>
        <v>F</v>
      </c>
      <c r="G61" s="2"/>
      <c r="H61" s="2"/>
      <c r="I61" s="39"/>
      <c r="J61" s="38" t="str">
        <f>D65</f>
        <v>J</v>
      </c>
      <c r="K61" s="2"/>
      <c r="L61" s="2"/>
      <c r="M61" s="39"/>
      <c r="N61" s="38" t="str">
        <f>D69</f>
        <v>N</v>
      </c>
      <c r="O61" s="2"/>
      <c r="P61" s="2"/>
      <c r="Q61" s="39"/>
      <c r="R61" s="38" t="str">
        <f>D73</f>
        <v>R</v>
      </c>
      <c r="S61" s="2"/>
      <c r="T61" s="2"/>
      <c r="U61" s="39"/>
    </row>
    <row r="62" ht="13.5">
      <c r="B62" s="1"/>
      <c r="C62" s="5" t="s">
        <v>85</v>
      </c>
      <c r="D62" s="12" t="s">
        <v>15</v>
      </c>
      <c r="E62" s="2"/>
      <c r="F62" s="40"/>
      <c r="G62" s="2"/>
      <c r="H62" s="2"/>
      <c r="I62" s="41" t="str">
        <f>D63</f>
        <v>H</v>
      </c>
      <c r="J62" s="40"/>
      <c r="K62" s="2"/>
      <c r="L62" s="2"/>
      <c r="M62" s="41" t="str">
        <f>D67</f>
        <v>L</v>
      </c>
      <c r="N62" s="40"/>
      <c r="O62" s="2"/>
      <c r="P62" s="2"/>
      <c r="Q62" s="41" t="str">
        <f>D71</f>
        <v>P</v>
      </c>
      <c r="R62" s="40"/>
      <c r="S62" s="2"/>
      <c r="T62" s="2"/>
      <c r="U62" s="41" t="str">
        <f>D76</f>
        <v>U</v>
      </c>
    </row>
    <row r="63" ht="13.5">
      <c r="B63" s="1"/>
      <c r="C63" s="5" t="s">
        <v>86</v>
      </c>
      <c r="D63" s="12" t="s">
        <v>17</v>
      </c>
      <c r="E63" s="2"/>
      <c r="F63" s="42"/>
      <c r="G63" s="43" t="str">
        <f>D60</f>
        <v>E</v>
      </c>
      <c r="H63" s="44"/>
      <c r="I63" s="45"/>
      <c r="J63" s="42"/>
      <c r="K63" s="43" t="str">
        <f>D64</f>
        <v>X</v>
      </c>
      <c r="L63" s="44"/>
      <c r="M63" s="45"/>
      <c r="N63" s="42"/>
      <c r="O63" s="43" t="str">
        <f>D68</f>
        <v>M</v>
      </c>
      <c r="P63" s="44"/>
      <c r="Q63" s="45"/>
      <c r="R63" s="42"/>
      <c r="S63" s="43" t="str">
        <f>D72</f>
        <v>W</v>
      </c>
      <c r="T63" s="44"/>
      <c r="U63" s="45"/>
    </row>
    <row r="64" ht="13.5">
      <c r="B64" s="1"/>
      <c r="C64" s="5" t="s">
        <v>87</v>
      </c>
      <c r="D64" s="12" t="s">
        <v>88</v>
      </c>
      <c r="E64" s="2"/>
      <c r="F64" s="2"/>
      <c r="G64" s="2"/>
      <c r="H64" s="2"/>
      <c r="I64" s="2"/>
      <c r="J64" s="34"/>
      <c r="K64" s="35"/>
      <c r="L64" s="46"/>
      <c r="M64" s="37"/>
      <c r="N64" s="2"/>
      <c r="O64" s="2"/>
      <c r="P64" s="2"/>
      <c r="Q64" s="2"/>
      <c r="R64" s="2"/>
      <c r="S64" s="2"/>
      <c r="T64" s="2"/>
    </row>
    <row r="65" ht="13.5">
      <c r="B65" s="1"/>
      <c r="C65" s="5" t="s">
        <v>89</v>
      </c>
      <c r="D65" s="12" t="s">
        <v>61</v>
      </c>
      <c r="E65" s="2"/>
      <c r="F65" s="2"/>
      <c r="G65" s="2"/>
      <c r="H65" s="2"/>
      <c r="I65" s="2"/>
      <c r="J65" s="38" t="str">
        <f>D77</f>
        <v>V</v>
      </c>
      <c r="K65" s="2"/>
      <c r="L65" s="2"/>
      <c r="M65" s="39"/>
      <c r="N65" s="2"/>
      <c r="O65" s="2"/>
      <c r="P65" s="2"/>
      <c r="Q65" s="2"/>
      <c r="R65" s="2"/>
      <c r="S65" s="2"/>
      <c r="T65" s="2"/>
    </row>
    <row r="66" ht="13.5">
      <c r="B66" s="1"/>
      <c r="C66" s="5" t="s">
        <v>90</v>
      </c>
      <c r="D66" s="12" t="s">
        <v>23</v>
      </c>
      <c r="E66" s="2"/>
      <c r="F66" s="2"/>
      <c r="G66" s="2"/>
      <c r="H66" s="2"/>
      <c r="I66" s="2"/>
      <c r="J66" s="40"/>
      <c r="K66" s="2"/>
      <c r="L66" s="2"/>
      <c r="M66" s="41" t="str">
        <f>D79</f>
        <v>I</v>
      </c>
      <c r="N66" s="2"/>
      <c r="O66" s="2"/>
      <c r="P66" s="2"/>
      <c r="Q66" s="2"/>
      <c r="R66" s="2"/>
      <c r="S66" s="2"/>
      <c r="T66" s="2"/>
    </row>
    <row r="67" ht="13.5">
      <c r="B67" s="1"/>
      <c r="C67" s="5" t="s">
        <v>91</v>
      </c>
      <c r="D67" s="12" t="s">
        <v>25</v>
      </c>
      <c r="E67" s="2"/>
      <c r="F67" s="2"/>
      <c r="G67" s="2"/>
      <c r="H67" s="2"/>
      <c r="I67" s="2"/>
      <c r="J67" s="42"/>
      <c r="K67" s="43" t="str">
        <f>D76</f>
        <v>U</v>
      </c>
      <c r="L67" s="44"/>
      <c r="M67" s="45"/>
      <c r="N67" s="2"/>
      <c r="O67" s="2"/>
      <c r="P67" s="2"/>
      <c r="Q67" s="2"/>
      <c r="R67" s="2"/>
      <c r="S67" s="2"/>
      <c r="T67" s="2"/>
    </row>
    <row r="68" ht="13.5">
      <c r="B68" s="1"/>
      <c r="C68" s="5" t="s">
        <v>92</v>
      </c>
      <c r="D68" s="12" t="s">
        <v>27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3.5">
      <c r="B69" s="1"/>
      <c r="C69" s="5" t="s">
        <v>93</v>
      </c>
      <c r="D69" s="12" t="s">
        <v>29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3.5">
      <c r="B70" s="1"/>
      <c r="C70" s="5" t="s">
        <v>94</v>
      </c>
      <c r="D70" s="12" t="s">
        <v>31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3.5">
      <c r="B71" s="1"/>
      <c r="C71" s="5" t="s">
        <v>95</v>
      </c>
      <c r="D71" s="12" t="s">
        <v>33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3.5">
      <c r="B72" s="1"/>
      <c r="C72" s="5" t="s">
        <v>96</v>
      </c>
      <c r="D72" s="12" t="s">
        <v>46</v>
      </c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3.5">
      <c r="B73" s="1"/>
      <c r="C73" s="5" t="s">
        <v>97</v>
      </c>
      <c r="D73" s="12" t="s">
        <v>21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3.5">
      <c r="B74" s="1"/>
      <c r="C74" s="5" t="s">
        <v>98</v>
      </c>
      <c r="D74" s="12" t="s">
        <v>38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3.5">
      <c r="B75" s="1"/>
      <c r="C75" s="5" t="s">
        <v>99</v>
      </c>
      <c r="D75" s="12" t="s">
        <v>40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3.5">
      <c r="B76" s="1"/>
      <c r="C76" s="5" t="s">
        <v>100</v>
      </c>
      <c r="D76" s="12" t="s">
        <v>42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3.5">
      <c r="B77" s="1"/>
      <c r="C77" s="5" t="s">
        <v>101</v>
      </c>
      <c r="D77" s="12" t="s">
        <v>44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3.5">
      <c r="B78" s="1"/>
      <c r="C78" s="5" t="s">
        <v>102</v>
      </c>
      <c r="D78" s="12" t="s">
        <v>3</v>
      </c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4.25">
      <c r="B79" s="1"/>
      <c r="C79" s="5" t="s">
        <v>103</v>
      </c>
      <c r="D79" s="25" t="s">
        <v>19</v>
      </c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B80" s="1"/>
      <c r="C80" s="5"/>
      <c r="D80" s="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3.5">
      <c r="B81" s="4" t="s">
        <v>104</v>
      </c>
      <c r="C81" s="5" t="s">
        <v>105</v>
      </c>
      <c r="D81" s="6" t="s">
        <v>3</v>
      </c>
      <c r="E81" s="7"/>
      <c r="F81" s="2"/>
      <c r="G81" s="2"/>
      <c r="H81" s="2"/>
      <c r="I81" s="2"/>
      <c r="J81" s="34"/>
      <c r="K81" s="35"/>
      <c r="L81" s="36"/>
      <c r="M81" s="37"/>
      <c r="N81" s="2"/>
      <c r="O81" s="2"/>
      <c r="P81" s="2"/>
      <c r="Q81" s="2"/>
      <c r="R81" s="2"/>
      <c r="S81" s="2"/>
      <c r="T81" s="2"/>
    </row>
    <row r="82" ht="13.5">
      <c r="B82" s="4" t="s">
        <v>106</v>
      </c>
      <c r="C82" s="5" t="s">
        <v>107</v>
      </c>
      <c r="D82" s="12" t="s">
        <v>6</v>
      </c>
      <c r="E82" s="2"/>
      <c r="F82" s="2"/>
      <c r="G82" s="2"/>
      <c r="H82" s="2"/>
      <c r="I82" s="2"/>
      <c r="J82" s="38"/>
      <c r="K82" s="47"/>
      <c r="L82" s="7" t="str">
        <f t="shared" ref="L82:L83" si="1">D82</f>
        <v>B</v>
      </c>
      <c r="M82" s="39"/>
      <c r="N82" s="2"/>
      <c r="O82" s="2"/>
      <c r="P82" s="2"/>
      <c r="Q82" s="2"/>
      <c r="R82" s="2"/>
      <c r="S82" s="2"/>
      <c r="T82" s="2"/>
    </row>
    <row r="83" ht="13.5">
      <c r="C83" s="5" t="s">
        <v>108</v>
      </c>
      <c r="D83" s="12" t="s">
        <v>8</v>
      </c>
      <c r="E83" s="2"/>
      <c r="F83" s="2"/>
      <c r="G83" s="2"/>
      <c r="H83" s="2"/>
      <c r="I83" s="2"/>
      <c r="J83" s="40"/>
      <c r="K83" s="7" t="str">
        <f>D84</f>
        <v>D</v>
      </c>
      <c r="L83" s="7" t="str">
        <f t="shared" si="1"/>
        <v>C</v>
      </c>
      <c r="M83" s="41"/>
      <c r="N83" s="2"/>
      <c r="O83" s="2"/>
      <c r="P83" s="2"/>
      <c r="Q83" s="2"/>
      <c r="R83" s="2"/>
      <c r="S83" s="2"/>
      <c r="T83" s="2"/>
    </row>
    <row r="84" ht="13.5">
      <c r="C84" s="5" t="s">
        <v>109</v>
      </c>
      <c r="D84" s="12" t="s">
        <v>10</v>
      </c>
      <c r="E84" s="2"/>
      <c r="F84" s="2"/>
      <c r="G84" s="2"/>
      <c r="H84" s="2"/>
      <c r="I84" s="2"/>
      <c r="J84" s="42"/>
      <c r="K84" s="43"/>
      <c r="L84" s="44"/>
      <c r="M84" s="45"/>
      <c r="N84" s="2"/>
      <c r="O84" s="2"/>
      <c r="P84" s="2"/>
      <c r="Q84" s="2"/>
      <c r="R84" s="2"/>
      <c r="S84" s="2"/>
      <c r="T84" s="2"/>
    </row>
    <row r="85" ht="13.5">
      <c r="C85" s="5" t="s">
        <v>110</v>
      </c>
      <c r="D85" s="12" t="s">
        <v>48</v>
      </c>
      <c r="E85" s="2"/>
      <c r="F85" s="34"/>
      <c r="G85" s="35"/>
      <c r="H85" s="36"/>
      <c r="I85" s="37"/>
      <c r="J85" s="34"/>
      <c r="K85" s="35"/>
      <c r="L85" s="36"/>
      <c r="M85" s="37"/>
      <c r="N85" s="34"/>
      <c r="O85" s="35"/>
      <c r="P85" s="36"/>
      <c r="Q85" s="37"/>
      <c r="R85" s="34"/>
      <c r="S85" s="35"/>
      <c r="T85" s="36"/>
      <c r="U85" s="37"/>
    </row>
    <row r="86" ht="13.5">
      <c r="C86" s="5" t="s">
        <v>111</v>
      </c>
      <c r="D86" s="12" t="s">
        <v>13</v>
      </c>
      <c r="E86" s="2"/>
      <c r="F86" s="38"/>
      <c r="G86" s="7" t="str">
        <f>D85</f>
        <v>E</v>
      </c>
      <c r="H86" s="7" t="str">
        <f t="shared" ref="H86:H87" si="2">D86</f>
        <v>F</v>
      </c>
      <c r="I86" s="39"/>
      <c r="J86" s="38"/>
      <c r="K86" s="7" t="str">
        <f>D89</f>
        <v>I</v>
      </c>
      <c r="L86" s="7" t="str">
        <f t="shared" ref="L86:L87" si="3">D90</f>
        <v>J</v>
      </c>
      <c r="M86" s="39"/>
      <c r="N86" s="38"/>
      <c r="O86" s="7" t="str">
        <f>D93</f>
        <v>M</v>
      </c>
      <c r="P86" s="7" t="str">
        <f t="shared" ref="P86:P87" si="4">D94</f>
        <v>N</v>
      </c>
      <c r="Q86" s="39"/>
      <c r="R86" s="38"/>
      <c r="S86" s="7" t="str">
        <f>D97</f>
        <v>A</v>
      </c>
      <c r="T86" s="7" t="str">
        <f t="shared" ref="T86:T87" si="5">D98</f>
        <v>R</v>
      </c>
      <c r="U86" s="39"/>
    </row>
    <row r="87" ht="13.5">
      <c r="C87" s="5" t="s">
        <v>112</v>
      </c>
      <c r="D87" s="12" t="s">
        <v>15</v>
      </c>
      <c r="E87" s="2"/>
      <c r="F87" s="40"/>
      <c r="G87" s="7" t="str">
        <f>D88</f>
        <v>H</v>
      </c>
      <c r="H87" s="7" t="str">
        <f t="shared" si="2"/>
        <v>G</v>
      </c>
      <c r="I87" s="41"/>
      <c r="J87" s="40"/>
      <c r="K87" s="7" t="str">
        <f>D92</f>
        <v>L</v>
      </c>
      <c r="L87" s="7" t="str">
        <f t="shared" si="3"/>
        <v>K</v>
      </c>
      <c r="M87" s="41"/>
      <c r="N87" s="40"/>
      <c r="O87" s="7" t="str">
        <f>D96</f>
        <v>P</v>
      </c>
      <c r="P87" s="7" t="str">
        <f t="shared" si="4"/>
        <v>O</v>
      </c>
      <c r="Q87" s="41"/>
      <c r="R87" s="40"/>
      <c r="S87" s="7" t="str">
        <f>D100</f>
        <v>T</v>
      </c>
      <c r="T87" s="7" t="str">
        <f t="shared" si="5"/>
        <v>S</v>
      </c>
      <c r="U87" s="41"/>
    </row>
    <row r="88" ht="13.5">
      <c r="C88" s="5" t="s">
        <v>113</v>
      </c>
      <c r="D88" s="12" t="s">
        <v>17</v>
      </c>
      <c r="E88" s="2"/>
      <c r="F88" s="42"/>
      <c r="G88" s="43"/>
      <c r="H88" s="44"/>
      <c r="I88" s="45"/>
      <c r="J88" s="42"/>
      <c r="K88" s="43"/>
      <c r="L88" s="44"/>
      <c r="M88" s="45"/>
      <c r="N88" s="42"/>
      <c r="O88" s="43"/>
      <c r="P88" s="44"/>
      <c r="Q88" s="45"/>
      <c r="R88" s="42"/>
      <c r="S88" s="43"/>
      <c r="T88" s="44"/>
      <c r="U88" s="45"/>
    </row>
    <row r="89" ht="13.5">
      <c r="C89" s="5" t="s">
        <v>114</v>
      </c>
      <c r="D89" s="12" t="s">
        <v>19</v>
      </c>
      <c r="E89" s="2"/>
      <c r="F89" s="2"/>
      <c r="G89" s="2"/>
      <c r="H89" s="2"/>
      <c r="I89" s="2"/>
      <c r="J89" s="34"/>
      <c r="K89" s="35"/>
      <c r="L89" s="35"/>
      <c r="M89" s="37"/>
      <c r="N89" s="2"/>
      <c r="O89" s="2"/>
      <c r="P89" s="2"/>
      <c r="Q89" s="2"/>
      <c r="R89" s="2"/>
      <c r="S89" s="2"/>
      <c r="T89" s="2"/>
    </row>
    <row r="90" ht="13.5">
      <c r="C90" s="5" t="s">
        <v>115</v>
      </c>
      <c r="D90" s="12" t="s">
        <v>61</v>
      </c>
      <c r="E90" s="2"/>
      <c r="F90" s="2"/>
      <c r="G90" s="2"/>
      <c r="H90" s="2"/>
      <c r="I90" s="2"/>
      <c r="J90" s="38"/>
      <c r="K90" s="7" t="str">
        <f>D101</f>
        <v>U</v>
      </c>
      <c r="L90" s="7" t="str">
        <f t="shared" ref="L90:L91" si="6">D102</f>
        <v>V</v>
      </c>
      <c r="M90" s="41"/>
      <c r="N90" s="2"/>
      <c r="O90" s="2"/>
      <c r="P90" s="2"/>
      <c r="Q90" s="2"/>
      <c r="R90" s="2"/>
      <c r="S90" s="2"/>
      <c r="T90" s="2"/>
    </row>
    <row r="91" ht="13.5">
      <c r="C91" s="5" t="s">
        <v>116</v>
      </c>
      <c r="D91" s="12" t="s">
        <v>23</v>
      </c>
      <c r="E91" s="2"/>
      <c r="F91" s="2"/>
      <c r="G91" s="2"/>
      <c r="H91" s="2"/>
      <c r="I91" s="2"/>
      <c r="J91" s="40"/>
      <c r="K91" s="7" t="str">
        <f>D104</f>
        <v>X</v>
      </c>
      <c r="L91" s="7" t="str">
        <f t="shared" si="6"/>
        <v>W</v>
      </c>
      <c r="M91" s="41"/>
      <c r="N91" s="2"/>
      <c r="O91" s="2"/>
      <c r="P91" s="2"/>
      <c r="Q91" s="2"/>
      <c r="R91" s="2"/>
      <c r="S91" s="2"/>
      <c r="T91" s="2"/>
    </row>
    <row r="92" ht="13.5">
      <c r="C92" s="5" t="s">
        <v>117</v>
      </c>
      <c r="D92" s="12" t="s">
        <v>25</v>
      </c>
      <c r="E92" s="2"/>
      <c r="F92" s="2"/>
      <c r="G92" s="2"/>
      <c r="H92" s="2"/>
      <c r="I92" s="2"/>
      <c r="J92" s="42"/>
      <c r="K92" s="43"/>
      <c r="L92" s="44"/>
      <c r="M92" s="45"/>
      <c r="N92" s="2"/>
      <c r="O92" s="2"/>
      <c r="P92" s="2"/>
      <c r="Q92" s="2"/>
      <c r="R92" s="2"/>
      <c r="S92" s="2"/>
      <c r="T92" s="2"/>
    </row>
    <row r="93" ht="13.5">
      <c r="C93" s="5" t="s">
        <v>118</v>
      </c>
      <c r="D93" s="12" t="s">
        <v>27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3.5">
      <c r="C94" s="5" t="s">
        <v>119</v>
      </c>
      <c r="D94" s="12" t="s">
        <v>29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3.5">
      <c r="C95" s="5" t="s">
        <v>120</v>
      </c>
      <c r="D95" s="12" t="s">
        <v>31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3.5">
      <c r="C96" s="5" t="s">
        <v>121</v>
      </c>
      <c r="D96" s="12" t="s">
        <v>33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3.5">
      <c r="C97" s="5" t="s">
        <v>122</v>
      </c>
      <c r="D97" s="12" t="s">
        <v>35</v>
      </c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3.5">
      <c r="C98" s="5" t="s">
        <v>123</v>
      </c>
      <c r="D98" s="12" t="s">
        <v>21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3.5">
      <c r="C99" s="5" t="s">
        <v>124</v>
      </c>
      <c r="D99" s="12" t="s">
        <v>38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3.5">
      <c r="C100" s="5" t="s">
        <v>125</v>
      </c>
      <c r="D100" s="12" t="s">
        <v>40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3.5">
      <c r="C101" s="5" t="s">
        <v>126</v>
      </c>
      <c r="D101" s="12" t="s">
        <v>42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3.5">
      <c r="C102" s="5" t="s">
        <v>127</v>
      </c>
      <c r="D102" s="12" t="s">
        <v>44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3.5">
      <c r="C103" s="5" t="s">
        <v>128</v>
      </c>
      <c r="D103" s="12" t="s">
        <v>46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4.25">
      <c r="C104" s="5" t="s">
        <v>129</v>
      </c>
      <c r="D104" s="25" t="s">
        <v>88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C105" s="5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7.25">
      <c r="B106" s="3" t="s">
        <v>130</v>
      </c>
      <c r="C106" s="5"/>
      <c r="D106" s="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C107" s="5"/>
      <c r="D107" s="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3.5">
      <c r="B108" s="48" t="s">
        <v>131</v>
      </c>
      <c r="C108" s="5" t="s">
        <v>132</v>
      </c>
      <c r="D108" s="6" t="s">
        <v>3</v>
      </c>
      <c r="E108" s="2"/>
      <c r="F108" s="5"/>
      <c r="G108" s="2"/>
      <c r="H108" s="2"/>
      <c r="I108" s="2"/>
      <c r="J108" s="2"/>
      <c r="K108" s="34"/>
      <c r="L108" s="35"/>
      <c r="M108" s="35"/>
      <c r="N108" s="35"/>
      <c r="O108" s="37"/>
      <c r="P108" s="2"/>
      <c r="Q108" s="2"/>
      <c r="R108" s="2"/>
      <c r="S108" s="2"/>
      <c r="T108" s="2"/>
    </row>
    <row r="109" ht="13.5">
      <c r="B109" s="4" t="s">
        <v>133</v>
      </c>
      <c r="C109" s="5" t="s">
        <v>134</v>
      </c>
      <c r="D109" s="12" t="s">
        <v>6</v>
      </c>
      <c r="E109" s="2"/>
      <c r="F109" s="5"/>
      <c r="G109" s="2"/>
      <c r="H109" s="2"/>
      <c r="I109" s="2"/>
      <c r="J109" s="2"/>
      <c r="K109" s="40"/>
      <c r="L109" s="2"/>
      <c r="M109" s="47"/>
      <c r="N109" s="2"/>
      <c r="O109" s="39"/>
      <c r="P109" s="2"/>
      <c r="Q109" s="2"/>
      <c r="R109" s="2"/>
      <c r="S109" s="2"/>
      <c r="T109" s="2"/>
    </row>
    <row r="110" ht="13.5">
      <c r="C110" s="5" t="s">
        <v>135</v>
      </c>
      <c r="D110" s="12" t="s">
        <v>8</v>
      </c>
      <c r="E110" s="2"/>
      <c r="F110" s="5"/>
      <c r="G110" s="2"/>
      <c r="H110" s="2"/>
      <c r="I110" s="2"/>
      <c r="J110" s="2"/>
      <c r="K110" s="40"/>
      <c r="L110" s="7" t="str">
        <f>D111</f>
        <v>D</v>
      </c>
      <c r="M110" s="2"/>
      <c r="N110" s="7" t="str">
        <f>D109</f>
        <v>B</v>
      </c>
      <c r="O110" s="39"/>
      <c r="P110" s="2"/>
      <c r="Q110" s="2"/>
      <c r="R110" s="2"/>
      <c r="S110" s="2"/>
      <c r="T110" s="2"/>
    </row>
    <row r="111" ht="13.5">
      <c r="C111" s="5" t="s">
        <v>136</v>
      </c>
      <c r="D111" s="12" t="s">
        <v>10</v>
      </c>
      <c r="E111" s="2"/>
      <c r="F111" s="5"/>
      <c r="G111" s="2"/>
      <c r="H111" s="2"/>
      <c r="I111" s="2"/>
      <c r="J111" s="2"/>
      <c r="K111" s="40"/>
      <c r="L111" s="2"/>
      <c r="M111" s="7" t="str">
        <f>D110</f>
        <v>C</v>
      </c>
      <c r="N111" s="2"/>
      <c r="O111" s="39"/>
      <c r="P111" s="2"/>
      <c r="Q111" s="2"/>
      <c r="R111" s="2"/>
      <c r="S111" s="2"/>
      <c r="T111" s="2"/>
    </row>
    <row r="112" ht="13.5">
      <c r="C112" s="5" t="s">
        <v>137</v>
      </c>
      <c r="D112" s="12" t="s">
        <v>48</v>
      </c>
      <c r="E112" s="2"/>
      <c r="F112" s="5"/>
      <c r="G112" s="2"/>
      <c r="H112" s="2"/>
      <c r="I112" s="2"/>
      <c r="J112" s="2"/>
      <c r="K112" s="42"/>
      <c r="L112" s="44"/>
      <c r="M112" s="44"/>
      <c r="N112" s="44"/>
      <c r="O112" s="45"/>
      <c r="P112" s="2"/>
      <c r="Q112" s="2"/>
      <c r="R112" s="2"/>
      <c r="S112" s="2"/>
      <c r="T112" s="2"/>
    </row>
    <row r="113" ht="13.5">
      <c r="C113" s="5" t="s">
        <v>138</v>
      </c>
      <c r="D113" s="12" t="s">
        <v>13</v>
      </c>
      <c r="E113" s="2"/>
      <c r="F113" s="34"/>
      <c r="G113" s="35"/>
      <c r="H113" s="35"/>
      <c r="I113" s="35"/>
      <c r="J113" s="37"/>
      <c r="K113" s="34"/>
      <c r="L113" s="35"/>
      <c r="M113" s="35"/>
      <c r="N113" s="35"/>
      <c r="O113" s="37"/>
      <c r="P113" s="34"/>
      <c r="Q113" s="35"/>
      <c r="R113" s="35"/>
      <c r="S113" s="35"/>
      <c r="T113" s="37"/>
      <c r="U113" s="34"/>
      <c r="V113" s="35"/>
      <c r="W113" s="35"/>
      <c r="X113" s="35"/>
      <c r="Y113" s="37"/>
    </row>
    <row r="114" ht="13.5">
      <c r="C114" s="5" t="s">
        <v>139</v>
      </c>
      <c r="D114" s="12" t="s">
        <v>15</v>
      </c>
      <c r="E114" s="2"/>
      <c r="F114" s="40"/>
      <c r="G114" s="2"/>
      <c r="H114" s="7" t="str">
        <f>D112</f>
        <v>E</v>
      </c>
      <c r="I114" s="2"/>
      <c r="J114" s="39"/>
      <c r="K114" s="40"/>
      <c r="L114" s="2"/>
      <c r="M114" s="7" t="str">
        <f>D116</f>
        <v>I</v>
      </c>
      <c r="N114" s="2"/>
      <c r="O114" s="39"/>
      <c r="P114" s="40"/>
      <c r="Q114" s="2"/>
      <c r="R114" s="7" t="str">
        <f>D120</f>
        <v>M</v>
      </c>
      <c r="S114" s="2"/>
      <c r="T114" s="39"/>
      <c r="U114" s="40"/>
      <c r="V114" s="2"/>
      <c r="W114" s="7" t="str">
        <f>D124</f>
        <v>A</v>
      </c>
      <c r="X114" s="2"/>
      <c r="Y114" s="39"/>
    </row>
    <row r="115" ht="13.5">
      <c r="C115" s="5" t="s">
        <v>140</v>
      </c>
      <c r="D115" s="12" t="s">
        <v>17</v>
      </c>
      <c r="E115" s="2"/>
      <c r="F115" s="40"/>
      <c r="G115" s="7" t="str">
        <f>D115</f>
        <v>H</v>
      </c>
      <c r="H115" s="2"/>
      <c r="I115" s="7" t="str">
        <f>D113</f>
        <v>F</v>
      </c>
      <c r="J115" s="39"/>
      <c r="K115" s="40"/>
      <c r="L115" s="7" t="str">
        <f>D119</f>
        <v>L</v>
      </c>
      <c r="M115" s="2"/>
      <c r="N115" s="7" t="str">
        <f>D117</f>
        <v>J</v>
      </c>
      <c r="O115" s="39"/>
      <c r="P115" s="40"/>
      <c r="Q115" s="7" t="str">
        <f>D123</f>
        <v>P</v>
      </c>
      <c r="R115" s="2"/>
      <c r="S115" s="7" t="str">
        <f>D121</f>
        <v>N</v>
      </c>
      <c r="T115" s="39"/>
      <c r="U115" s="40"/>
      <c r="V115" s="7" t="str">
        <f>D127</f>
        <v>T</v>
      </c>
      <c r="W115" s="2"/>
      <c r="X115" s="7" t="str">
        <f>D125</f>
        <v>R</v>
      </c>
      <c r="Y115" s="39"/>
    </row>
    <row r="116" ht="13.5">
      <c r="C116" s="5" t="s">
        <v>141</v>
      </c>
      <c r="D116" s="12" t="s">
        <v>19</v>
      </c>
      <c r="E116" s="2"/>
      <c r="F116" s="40"/>
      <c r="G116" s="2"/>
      <c r="H116" s="7" t="str">
        <f>D114</f>
        <v>G</v>
      </c>
      <c r="I116" s="2"/>
      <c r="J116" s="39"/>
      <c r="K116" s="40"/>
      <c r="L116" s="2"/>
      <c r="M116" s="7" t="str">
        <f>D118</f>
        <v>K</v>
      </c>
      <c r="N116" s="2"/>
      <c r="O116" s="39"/>
      <c r="P116" s="40"/>
      <c r="Q116" s="2"/>
      <c r="R116" s="7" t="str">
        <f>D122</f>
        <v>O</v>
      </c>
      <c r="S116" s="2"/>
      <c r="T116" s="39"/>
      <c r="U116" s="40"/>
      <c r="V116" s="2"/>
      <c r="W116" s="7" t="str">
        <f>D126</f>
        <v>S</v>
      </c>
      <c r="X116" s="2"/>
      <c r="Y116" s="39"/>
    </row>
    <row r="117" ht="13.5">
      <c r="C117" s="5" t="s">
        <v>142</v>
      </c>
      <c r="D117" s="12" t="s">
        <v>61</v>
      </c>
      <c r="E117" s="2"/>
      <c r="F117" s="42"/>
      <c r="G117" s="44"/>
      <c r="H117" s="44"/>
      <c r="I117" s="44"/>
      <c r="J117" s="45"/>
      <c r="K117" s="42"/>
      <c r="L117" s="44"/>
      <c r="M117" s="44"/>
      <c r="N117" s="44"/>
      <c r="O117" s="45"/>
      <c r="P117" s="42"/>
      <c r="Q117" s="44"/>
      <c r="R117" s="44"/>
      <c r="S117" s="44"/>
      <c r="T117" s="45"/>
      <c r="U117" s="42"/>
      <c r="V117" s="44"/>
      <c r="W117" s="44"/>
      <c r="X117" s="44"/>
      <c r="Y117" s="45"/>
    </row>
    <row r="118" ht="13.5">
      <c r="C118" s="5" t="s">
        <v>143</v>
      </c>
      <c r="D118" s="12" t="s">
        <v>23</v>
      </c>
      <c r="E118" s="2"/>
      <c r="F118" s="5"/>
      <c r="G118" s="2"/>
      <c r="H118" s="2"/>
      <c r="I118" s="2"/>
      <c r="J118" s="2"/>
      <c r="K118" s="34"/>
      <c r="L118" s="35"/>
      <c r="M118" s="35"/>
      <c r="N118" s="35"/>
      <c r="O118" s="37"/>
      <c r="P118" s="2"/>
      <c r="Q118" s="2"/>
      <c r="R118" s="2"/>
      <c r="S118" s="2"/>
      <c r="T118" s="2"/>
    </row>
    <row r="119" ht="13.5">
      <c r="C119" s="5" t="s">
        <v>144</v>
      </c>
      <c r="D119" s="12" t="s">
        <v>25</v>
      </c>
      <c r="E119" s="2"/>
      <c r="F119" s="5"/>
      <c r="G119" s="2"/>
      <c r="H119" s="2"/>
      <c r="I119" s="2"/>
      <c r="J119" s="2"/>
      <c r="K119" s="40"/>
      <c r="L119" s="2"/>
      <c r="M119" s="7" t="str">
        <f>D128</f>
        <v>U</v>
      </c>
      <c r="N119" s="2"/>
      <c r="O119" s="39"/>
      <c r="P119" s="2"/>
      <c r="Q119" s="2"/>
      <c r="R119" s="2"/>
      <c r="S119" s="2"/>
      <c r="T119" s="2"/>
    </row>
    <row r="120" ht="13.5">
      <c r="C120" s="5" t="s">
        <v>145</v>
      </c>
      <c r="D120" s="12" t="s">
        <v>27</v>
      </c>
      <c r="E120" s="2"/>
      <c r="F120" s="5"/>
      <c r="G120" s="2"/>
      <c r="H120" s="2"/>
      <c r="I120" s="2"/>
      <c r="J120" s="2"/>
      <c r="K120" s="40"/>
      <c r="L120" s="7" t="str">
        <f>D131</f>
        <v>X</v>
      </c>
      <c r="M120" s="2"/>
      <c r="N120" s="7" t="str">
        <f>D129</f>
        <v>V</v>
      </c>
      <c r="O120" s="39"/>
      <c r="P120" s="2"/>
      <c r="Q120" s="2"/>
      <c r="R120" s="2"/>
      <c r="S120" s="2"/>
      <c r="T120" s="2"/>
    </row>
    <row r="121" ht="13.5">
      <c r="C121" s="5" t="s">
        <v>146</v>
      </c>
      <c r="D121" s="12" t="s">
        <v>29</v>
      </c>
      <c r="E121" s="2"/>
      <c r="F121" s="5"/>
      <c r="G121" s="2"/>
      <c r="H121" s="2"/>
      <c r="I121" s="2"/>
      <c r="J121" s="2"/>
      <c r="K121" s="40"/>
      <c r="L121" s="2"/>
      <c r="M121" s="7" t="str">
        <f>D130</f>
        <v>W</v>
      </c>
      <c r="N121" s="2"/>
      <c r="O121" s="39"/>
      <c r="P121" s="2"/>
      <c r="Q121" s="2"/>
      <c r="R121" s="2"/>
      <c r="S121" s="2"/>
      <c r="T121" s="2"/>
    </row>
    <row r="122" ht="13.5">
      <c r="C122" s="5" t="s">
        <v>147</v>
      </c>
      <c r="D122" s="12" t="s">
        <v>31</v>
      </c>
      <c r="E122" s="2"/>
      <c r="F122" s="5"/>
      <c r="G122" s="2"/>
      <c r="H122" s="2"/>
      <c r="I122" s="2"/>
      <c r="J122" s="2"/>
      <c r="K122" s="42"/>
      <c r="L122" s="44"/>
      <c r="M122" s="44"/>
      <c r="N122" s="44"/>
      <c r="O122" s="45"/>
      <c r="P122" s="2"/>
      <c r="Q122" s="2"/>
      <c r="R122" s="2"/>
      <c r="S122" s="2"/>
      <c r="T122" s="2"/>
    </row>
    <row r="123" ht="13.5">
      <c r="C123" s="5" t="s">
        <v>148</v>
      </c>
      <c r="D123" s="12" t="s">
        <v>33</v>
      </c>
      <c r="E123" s="2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3.5">
      <c r="C124" s="5" t="s">
        <v>149</v>
      </c>
      <c r="D124" s="12" t="s">
        <v>35</v>
      </c>
      <c r="E124" s="7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3.5">
      <c r="C125" s="5" t="s">
        <v>150</v>
      </c>
      <c r="D125" s="12" t="s">
        <v>21</v>
      </c>
      <c r="E125" s="2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3.5">
      <c r="C126" s="5" t="s">
        <v>151</v>
      </c>
      <c r="D126" s="12" t="s">
        <v>38</v>
      </c>
      <c r="E126" s="2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3.5">
      <c r="C127" s="5" t="s">
        <v>152</v>
      </c>
      <c r="D127" s="12" t="s">
        <v>40</v>
      </c>
      <c r="E127" s="2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3.5">
      <c r="C128" s="5" t="s">
        <v>153</v>
      </c>
      <c r="D128" s="12" t="s">
        <v>42</v>
      </c>
      <c r="E128" s="2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3.5">
      <c r="C129" s="5" t="s">
        <v>154</v>
      </c>
      <c r="D129" s="12" t="s">
        <v>44</v>
      </c>
      <c r="E129" s="2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3.5">
      <c r="C130" s="5" t="s">
        <v>155</v>
      </c>
      <c r="D130" s="12" t="s">
        <v>46</v>
      </c>
      <c r="E130" s="2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4.25">
      <c r="C131" s="5" t="s">
        <v>156</v>
      </c>
      <c r="D131" s="25" t="s">
        <v>88</v>
      </c>
      <c r="E131" s="2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idden="1">
      <c r="B133" s="3" t="s">
        <v>157</v>
      </c>
      <c r="C133" s="5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idden="1">
      <c r="C134" s="5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idden="1">
      <c r="B135" s="4" t="s">
        <v>158</v>
      </c>
      <c r="C135" s="5" t="s">
        <v>159</v>
      </c>
      <c r="D135" s="5" t="s">
        <v>3</v>
      </c>
      <c r="E135" s="2"/>
      <c r="F135" s="2"/>
      <c r="G135" s="2"/>
      <c r="H135" s="2"/>
      <c r="I135" s="2"/>
      <c r="J135" s="2"/>
      <c r="K135" s="2"/>
      <c r="L135" s="34"/>
      <c r="M135" s="35"/>
      <c r="N135" s="35"/>
      <c r="O135" s="35"/>
      <c r="P135" s="35"/>
      <c r="Q135" s="37"/>
      <c r="R135" s="2"/>
      <c r="S135" s="2"/>
      <c r="T135" s="2"/>
    </row>
    <row r="136" hidden="1">
      <c r="B136" s="4" t="s">
        <v>133</v>
      </c>
      <c r="C136" s="5" t="s">
        <v>160</v>
      </c>
      <c r="D136" s="5" t="s">
        <v>6</v>
      </c>
      <c r="E136" s="2"/>
      <c r="F136" s="2"/>
      <c r="G136" s="2"/>
      <c r="H136" s="2"/>
      <c r="I136" s="2"/>
      <c r="J136" s="2"/>
      <c r="K136" s="2"/>
      <c r="L136" s="40"/>
      <c r="M136" s="2"/>
      <c r="N136" s="47"/>
      <c r="O136" s="2"/>
      <c r="P136" s="2"/>
      <c r="Q136" s="39"/>
      <c r="R136" s="2"/>
      <c r="S136" s="2"/>
      <c r="T136" s="2"/>
    </row>
    <row r="137" hidden="1">
      <c r="E137" s="2"/>
      <c r="F137" s="2"/>
      <c r="G137" s="2"/>
      <c r="H137" s="2"/>
      <c r="I137" s="2"/>
      <c r="J137" s="2"/>
      <c r="K137" s="2"/>
      <c r="L137" s="40"/>
      <c r="M137" s="2"/>
      <c r="N137" s="2"/>
      <c r="O137" s="2"/>
      <c r="P137" s="7" t="s">
        <v>6</v>
      </c>
      <c r="Q137" s="39"/>
      <c r="R137" s="2"/>
      <c r="S137" s="2"/>
      <c r="T137" s="2"/>
    </row>
    <row r="138" hidden="1">
      <c r="E138" s="2"/>
      <c r="F138" s="2"/>
      <c r="G138" s="2"/>
      <c r="H138" s="2"/>
      <c r="I138" s="2"/>
      <c r="J138" s="2"/>
      <c r="K138" s="2"/>
      <c r="L138" s="40"/>
      <c r="M138" s="7" t="s">
        <v>10</v>
      </c>
      <c r="N138" s="2"/>
      <c r="O138" s="2"/>
      <c r="P138" s="2"/>
      <c r="Q138" s="39"/>
      <c r="R138" s="2"/>
      <c r="S138" s="2"/>
      <c r="T138" s="2"/>
    </row>
    <row r="139" hidden="1">
      <c r="E139" s="2"/>
      <c r="F139" s="2"/>
      <c r="G139" s="2"/>
      <c r="H139" s="2"/>
      <c r="I139" s="2"/>
      <c r="J139" s="2"/>
      <c r="K139" s="2"/>
      <c r="L139" s="40"/>
      <c r="M139" s="2"/>
      <c r="N139" s="2"/>
      <c r="O139" s="7" t="s">
        <v>8</v>
      </c>
      <c r="P139" s="2"/>
      <c r="Q139" s="39"/>
      <c r="R139" s="2"/>
      <c r="S139" s="2"/>
      <c r="T139" s="2"/>
    </row>
    <row r="140" hidden="1">
      <c r="E140" s="2"/>
      <c r="F140" s="2"/>
      <c r="G140" s="2"/>
      <c r="H140" s="2"/>
      <c r="I140" s="2"/>
      <c r="J140" s="2"/>
      <c r="K140" s="2"/>
      <c r="L140" s="42"/>
      <c r="M140" s="44"/>
      <c r="N140" s="44"/>
      <c r="O140" s="44"/>
      <c r="P140" s="44"/>
      <c r="Q140" s="45"/>
      <c r="R140" s="2"/>
      <c r="S140" s="2"/>
      <c r="T140" s="2"/>
    </row>
    <row r="141" hidden="1">
      <c r="E141" s="2"/>
      <c r="F141" s="34"/>
      <c r="G141" s="35"/>
      <c r="H141" s="35"/>
      <c r="I141" s="35"/>
      <c r="J141" s="35"/>
      <c r="K141" s="37"/>
      <c r="L141" s="34"/>
      <c r="M141" s="35"/>
      <c r="N141" s="35"/>
      <c r="O141" s="35"/>
      <c r="P141" s="35"/>
      <c r="Q141" s="37"/>
      <c r="R141" s="34"/>
      <c r="S141" s="35"/>
      <c r="T141" s="35"/>
      <c r="U141" s="35"/>
      <c r="V141" s="35"/>
      <c r="W141" s="37"/>
      <c r="X141" s="34"/>
      <c r="Y141" s="35"/>
      <c r="Z141" s="35"/>
      <c r="AA141" s="35"/>
      <c r="AB141" s="35"/>
      <c r="AC141" s="37"/>
    </row>
    <row r="142" hidden="1">
      <c r="E142" s="2"/>
      <c r="F142" s="40"/>
      <c r="G142" s="2"/>
      <c r="H142" s="7" t="s">
        <v>48</v>
      </c>
      <c r="I142" s="2"/>
      <c r="J142" s="2"/>
      <c r="K142" s="39"/>
      <c r="L142" s="40"/>
      <c r="M142" s="2"/>
      <c r="N142" s="7" t="s">
        <v>19</v>
      </c>
      <c r="O142" s="2"/>
      <c r="P142" s="2"/>
      <c r="Q142" s="39"/>
      <c r="R142" s="40"/>
      <c r="S142" s="2"/>
      <c r="T142" s="7" t="s">
        <v>27</v>
      </c>
      <c r="U142" s="2"/>
      <c r="V142" s="2"/>
      <c r="W142" s="39"/>
      <c r="X142" s="40"/>
      <c r="Y142" s="2"/>
      <c r="Z142" s="7" t="s">
        <v>35</v>
      </c>
      <c r="AA142" s="2"/>
      <c r="AB142" s="2"/>
      <c r="AC142" s="39"/>
    </row>
    <row r="143" hidden="1">
      <c r="E143" s="2"/>
      <c r="F143" s="40"/>
      <c r="G143" s="2"/>
      <c r="H143" s="2"/>
      <c r="I143" s="2"/>
      <c r="J143" s="7" t="s">
        <v>13</v>
      </c>
      <c r="K143" s="39"/>
      <c r="L143" s="40"/>
      <c r="M143" s="2"/>
      <c r="N143" s="2"/>
      <c r="O143" s="2"/>
      <c r="P143" s="7" t="s">
        <v>61</v>
      </c>
      <c r="Q143" s="39"/>
      <c r="R143" s="40"/>
      <c r="S143" s="2"/>
      <c r="T143" s="2"/>
      <c r="U143" s="2"/>
      <c r="V143" s="7" t="s">
        <v>29</v>
      </c>
      <c r="W143" s="39"/>
      <c r="X143" s="40"/>
      <c r="Y143" s="2"/>
      <c r="Z143" s="2"/>
      <c r="AA143" s="2"/>
      <c r="AB143" s="7" t="s">
        <v>21</v>
      </c>
      <c r="AC143" s="39"/>
    </row>
    <row r="144" hidden="1">
      <c r="E144" s="2"/>
      <c r="F144" s="40"/>
      <c r="G144" s="7" t="s">
        <v>17</v>
      </c>
      <c r="H144" s="2"/>
      <c r="I144" s="2"/>
      <c r="J144" s="2"/>
      <c r="K144" s="39"/>
      <c r="L144" s="40"/>
      <c r="M144" s="7" t="s">
        <v>25</v>
      </c>
      <c r="N144" s="2"/>
      <c r="O144" s="2"/>
      <c r="P144" s="2"/>
      <c r="Q144" s="39"/>
      <c r="R144" s="40"/>
      <c r="S144" s="7" t="s">
        <v>33</v>
      </c>
      <c r="T144" s="2"/>
      <c r="U144" s="2"/>
      <c r="V144" s="2"/>
      <c r="W144" s="39"/>
      <c r="X144" s="40"/>
      <c r="Y144" s="7" t="s">
        <v>40</v>
      </c>
      <c r="Z144" s="2"/>
      <c r="AA144" s="2"/>
      <c r="AB144" s="2"/>
      <c r="AC144" s="39"/>
    </row>
    <row r="145" hidden="1">
      <c r="E145" s="2"/>
      <c r="F145" s="40"/>
      <c r="G145" s="2"/>
      <c r="H145" s="2"/>
      <c r="I145" s="7" t="s">
        <v>15</v>
      </c>
      <c r="J145" s="2"/>
      <c r="K145" s="39"/>
      <c r="L145" s="40"/>
      <c r="M145" s="2"/>
      <c r="N145" s="2"/>
      <c r="O145" s="7" t="s">
        <v>23</v>
      </c>
      <c r="P145" s="2"/>
      <c r="Q145" s="39"/>
      <c r="R145" s="40"/>
      <c r="S145" s="2"/>
      <c r="T145" s="2"/>
      <c r="U145" s="7" t="s">
        <v>31</v>
      </c>
      <c r="V145" s="2"/>
      <c r="W145" s="39"/>
      <c r="X145" s="40"/>
      <c r="Y145" s="2"/>
      <c r="Z145" s="2"/>
      <c r="AA145" s="7" t="s">
        <v>38</v>
      </c>
      <c r="AB145" s="2"/>
      <c r="AC145" s="39"/>
    </row>
    <row r="146" hidden="1">
      <c r="E146" s="2"/>
      <c r="F146" s="42"/>
      <c r="G146" s="44"/>
      <c r="H146" s="44"/>
      <c r="I146" s="44"/>
      <c r="J146" s="44"/>
      <c r="K146" s="45"/>
      <c r="L146" s="42"/>
      <c r="M146" s="44"/>
      <c r="N146" s="44"/>
      <c r="O146" s="44"/>
      <c r="P146" s="44"/>
      <c r="Q146" s="45"/>
      <c r="R146" s="42"/>
      <c r="S146" s="44"/>
      <c r="T146" s="44"/>
      <c r="U146" s="44"/>
      <c r="V146" s="44"/>
      <c r="W146" s="45"/>
      <c r="X146" s="42"/>
      <c r="Y146" s="44"/>
      <c r="Z146" s="44"/>
      <c r="AA146" s="44"/>
      <c r="AB146" s="44"/>
      <c r="AC146" s="45"/>
    </row>
    <row r="147" hidden="1">
      <c r="E147" s="2"/>
      <c r="F147" s="2"/>
      <c r="G147" s="2"/>
      <c r="H147" s="2"/>
      <c r="I147" s="2"/>
      <c r="J147" s="2"/>
      <c r="K147" s="2"/>
      <c r="L147" s="34"/>
      <c r="M147" s="35"/>
      <c r="N147" s="35"/>
      <c r="O147" s="35"/>
      <c r="P147" s="35"/>
      <c r="Q147" s="37"/>
      <c r="R147" s="2"/>
      <c r="S147" s="2"/>
      <c r="T147" s="2"/>
    </row>
    <row r="148" hidden="1">
      <c r="E148" s="2"/>
      <c r="F148" s="2"/>
      <c r="G148" s="2"/>
      <c r="H148" s="2"/>
      <c r="I148" s="2"/>
      <c r="J148" s="2"/>
      <c r="K148" s="2"/>
      <c r="L148" s="40"/>
      <c r="M148" s="2"/>
      <c r="N148" s="7" t="s">
        <v>42</v>
      </c>
      <c r="O148" s="2"/>
      <c r="P148" s="2"/>
      <c r="Q148" s="39"/>
      <c r="R148" s="2"/>
      <c r="S148" s="2"/>
      <c r="T148" s="2"/>
    </row>
    <row r="149" hidden="1">
      <c r="E149" s="2"/>
      <c r="F149" s="2"/>
      <c r="G149" s="2"/>
      <c r="H149" s="2"/>
      <c r="I149" s="2"/>
      <c r="J149" s="2"/>
      <c r="K149" s="2"/>
      <c r="L149" s="40"/>
      <c r="M149" s="2"/>
      <c r="N149" s="2"/>
      <c r="O149" s="2"/>
      <c r="P149" s="7" t="s">
        <v>44</v>
      </c>
      <c r="Q149" s="39"/>
      <c r="R149" s="2"/>
      <c r="S149" s="2"/>
      <c r="T149" s="2"/>
    </row>
    <row r="150" hidden="1">
      <c r="E150" s="2"/>
      <c r="F150" s="2"/>
      <c r="G150" s="2"/>
      <c r="H150" s="2"/>
      <c r="I150" s="2"/>
      <c r="J150" s="2"/>
      <c r="K150" s="2"/>
      <c r="L150" s="40"/>
      <c r="M150" s="7" t="s">
        <v>88</v>
      </c>
      <c r="N150" s="2"/>
      <c r="O150" s="2"/>
      <c r="P150" s="2"/>
      <c r="Q150" s="39"/>
      <c r="R150" s="2"/>
      <c r="S150" s="2"/>
      <c r="T150" s="2"/>
    </row>
    <row r="151" hidden="1">
      <c r="E151" s="2"/>
      <c r="F151" s="2"/>
      <c r="G151" s="2"/>
      <c r="H151" s="2"/>
      <c r="I151" s="2"/>
      <c r="J151" s="2"/>
      <c r="K151" s="2"/>
      <c r="L151" s="40"/>
      <c r="M151" s="2"/>
      <c r="N151" s="2"/>
      <c r="O151" s="7" t="s">
        <v>46</v>
      </c>
      <c r="P151" s="2"/>
      <c r="Q151" s="39"/>
      <c r="R151" s="2"/>
      <c r="S151" s="2"/>
      <c r="T151" s="2"/>
    </row>
    <row r="152" hidden="1">
      <c r="E152" s="2"/>
      <c r="F152" s="2"/>
      <c r="G152" s="2"/>
      <c r="H152" s="2"/>
      <c r="I152" s="2"/>
      <c r="J152" s="2"/>
      <c r="K152" s="2"/>
      <c r="L152" s="42"/>
      <c r="M152" s="44"/>
      <c r="N152" s="44"/>
      <c r="O152" s="44"/>
      <c r="P152" s="44"/>
      <c r="Q152" s="45"/>
      <c r="R152" s="2"/>
      <c r="S152" s="2"/>
      <c r="T152" s="2"/>
    </row>
    <row r="153" hidden="1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idden="1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idden="1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idden="1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idden="1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idden="1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idden="1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idden="1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idden="1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idden="1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4" width="10.86"/>
    <col customWidth="1" min="5" max="5" width="26.57"/>
    <col customWidth="1" min="6" max="6" width="44.43"/>
    <col customWidth="1" min="7" max="9" width="7.29"/>
  </cols>
  <sheetData>
    <row r="1">
      <c r="A1" s="54"/>
      <c r="B1" s="4"/>
      <c r="C1" s="4"/>
      <c r="D1" s="4"/>
      <c r="E1" s="5"/>
      <c r="F1" s="5"/>
      <c r="G1" s="55"/>
      <c r="H1" s="55"/>
      <c r="I1" s="55"/>
    </row>
    <row r="2" ht="17.25">
      <c r="A2" s="54"/>
      <c r="B2" s="3" t="s">
        <v>185</v>
      </c>
      <c r="C2" s="4"/>
      <c r="D2" s="4"/>
      <c r="E2" s="55"/>
      <c r="F2" s="55"/>
      <c r="G2" s="55"/>
      <c r="H2" s="55"/>
      <c r="I2" s="55"/>
    </row>
    <row r="3" ht="13.5">
      <c r="A3" s="54"/>
      <c r="B3" s="4"/>
      <c r="C3" s="4"/>
      <c r="D3" s="4" t="str">
        <f>SUM(A6:A403)&amp;"/"&amp;COUNTA(D6:D403)</f>
        <v>196/378</v>
      </c>
      <c r="E3" s="55"/>
      <c r="F3" s="55"/>
      <c r="G3" s="55"/>
      <c r="H3" s="55"/>
      <c r="I3" s="55"/>
    </row>
    <row r="4" ht="13.5">
      <c r="A4" s="57"/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509</v>
      </c>
      <c r="H4" s="4" t="s">
        <v>192</v>
      </c>
      <c r="I4" s="59"/>
    </row>
    <row r="5" ht="13.5" customHeight="1">
      <c r="A5" s="60"/>
      <c r="B5" s="5"/>
      <c r="C5" s="5"/>
      <c r="D5" s="55"/>
      <c r="E5" s="5"/>
      <c r="F5" s="5"/>
      <c r="G5" s="55"/>
      <c r="H5" s="55"/>
      <c r="I5" s="55"/>
    </row>
    <row r="6" ht="13.5">
      <c r="A6" s="60">
        <v>1.0</v>
      </c>
      <c r="B6" s="5" t="s">
        <v>5</v>
      </c>
      <c r="C6" s="5" t="s">
        <v>7</v>
      </c>
      <c r="D6" s="55" t="str">
        <f>VLOOKUP($B6,Letters!$C$4:$D$27,2,FALSE) &amp; VLOOKUP($C6,Letters!$C$4:$D$27,2,FALSE)</f>
        <v>BC</v>
      </c>
      <c r="E6" s="5" t="s">
        <v>510</v>
      </c>
      <c r="F6" s="5" t="s">
        <v>511</v>
      </c>
      <c r="G6" s="55">
        <f t="shared" ref="G6:G23" si="1">(len($F6)-len(SUBSTITUTE($F6,"R","")))+(len($F6)-len(SUBSTITUTE($F6,"L","")))+(len($F6)-len(SUBSTITUTE($F6,"U","")))+(len($F6)-len(SUBSTITUTE($F6,"D","")))+(len($F6)-len(SUBSTITUTE($F6,"F","")))+(len($F6)-len(SUBSTITUTE($F6,"B","")))</f>
        <v>9</v>
      </c>
      <c r="H6" s="55">
        <f t="shared" ref="H6:H23" si="2">(len($F6)-len(SUBSTITUTE($F6,"R","")))+(len($F6)-len(SUBSTITUTE($F6,"L","")))+(len($F6)-len(SUBSTITUTE($F6,"U","")))+(len($F6)-len(SUBSTITUTE($F6,"D","")))+(len($F6)-len(SUBSTITUTE($F6,"F","")))+(len($F6)-len(SUBSTITUTE($F6,"B","")))+(len($F6)-len(SUBSTITUTE($F6,"2","")))</f>
        <v>12</v>
      </c>
      <c r="I6" s="55"/>
    </row>
    <row r="7" ht="13.5">
      <c r="A7" s="60">
        <v>1.0</v>
      </c>
      <c r="B7" s="5" t="s">
        <v>5</v>
      </c>
      <c r="C7" s="5" t="s">
        <v>9</v>
      </c>
      <c r="D7" s="55" t="str">
        <f>VLOOKUP($B7,Letters!$C$4:$D$27,2,FALSE) &amp; VLOOKUP($C7,Letters!$C$4:$D$27,2,FALSE)</f>
        <v>BD</v>
      </c>
      <c r="E7" s="5" t="s">
        <v>512</v>
      </c>
      <c r="F7" s="5" t="s">
        <v>513</v>
      </c>
      <c r="G7" s="55">
        <f t="shared" si="1"/>
        <v>11</v>
      </c>
      <c r="H7" s="55">
        <f t="shared" si="2"/>
        <v>14</v>
      </c>
      <c r="I7" s="55"/>
    </row>
    <row r="8" ht="13.5">
      <c r="A8" s="60">
        <v>1.0</v>
      </c>
      <c r="B8" s="5" t="s">
        <v>5</v>
      </c>
      <c r="C8" s="5" t="s">
        <v>12</v>
      </c>
      <c r="D8" s="55" t="str">
        <f>VLOOKUP($B8,Letters!$C$4:$D$27,2,FALSE) &amp; VLOOKUP($C8,Letters!$C$4:$D$27,2,FALSE)</f>
        <v>BF</v>
      </c>
      <c r="E8" s="5" t="s">
        <v>514</v>
      </c>
      <c r="F8" s="5" t="s">
        <v>515</v>
      </c>
      <c r="G8" s="55">
        <f t="shared" si="1"/>
        <v>11</v>
      </c>
      <c r="H8" s="55">
        <f t="shared" si="2"/>
        <v>14</v>
      </c>
      <c r="I8" s="55"/>
    </row>
    <row r="9" ht="13.5">
      <c r="A9" s="60">
        <v>1.0</v>
      </c>
      <c r="B9" s="5" t="s">
        <v>5</v>
      </c>
      <c r="C9" s="5" t="s">
        <v>14</v>
      </c>
      <c r="D9" s="55" t="str">
        <f>VLOOKUP($B9,Letters!$C$4:$D$27,2,FALSE) &amp; VLOOKUP($C9,Letters!$C$4:$D$27,2,FALSE)</f>
        <v>BG</v>
      </c>
      <c r="E9" s="5" t="s">
        <v>516</v>
      </c>
      <c r="F9" s="5" t="s">
        <v>517</v>
      </c>
      <c r="G9" s="55">
        <f t="shared" si="1"/>
        <v>9</v>
      </c>
      <c r="H9" s="55">
        <f t="shared" si="2"/>
        <v>10</v>
      </c>
      <c r="I9" s="55"/>
    </row>
    <row r="10" ht="13.5">
      <c r="A10" s="60">
        <v>1.0</v>
      </c>
      <c r="B10" s="5" t="s">
        <v>5</v>
      </c>
      <c r="C10" s="5" t="s">
        <v>16</v>
      </c>
      <c r="D10" s="55" t="str">
        <f>VLOOKUP($B10,Letters!$C$4:$D$27,2,FALSE) &amp; VLOOKUP($C10,Letters!$C$4:$D$27,2,FALSE)</f>
        <v>BH</v>
      </c>
      <c r="E10" s="55" t="s">
        <v>518</v>
      </c>
      <c r="F10" s="55" t="s">
        <v>519</v>
      </c>
      <c r="G10" s="55">
        <f t="shared" si="1"/>
        <v>8</v>
      </c>
      <c r="H10" s="55">
        <f t="shared" si="2"/>
        <v>8</v>
      </c>
      <c r="I10" s="55"/>
    </row>
    <row r="11" ht="13.5">
      <c r="A11" s="60">
        <v>1.0</v>
      </c>
      <c r="B11" s="5" t="s">
        <v>5</v>
      </c>
      <c r="C11" s="5" t="s">
        <v>18</v>
      </c>
      <c r="D11" s="55" t="str">
        <f>VLOOKUP($B11,Letters!$C$4:$D$27,2,FALSE) &amp; VLOOKUP($C11,Letters!$C$4:$D$27,2,FALSE)</f>
        <v>BI</v>
      </c>
      <c r="E11" s="5" t="s">
        <v>520</v>
      </c>
      <c r="F11" s="5" t="s">
        <v>521</v>
      </c>
      <c r="G11" s="55">
        <f t="shared" si="1"/>
        <v>8</v>
      </c>
      <c r="H11" s="55">
        <f t="shared" si="2"/>
        <v>8</v>
      </c>
      <c r="I11" s="55"/>
    </row>
    <row r="12" ht="13.5">
      <c r="A12" s="60">
        <v>1.0</v>
      </c>
      <c r="B12" s="5" t="s">
        <v>5</v>
      </c>
      <c r="C12" s="5" t="s">
        <v>20</v>
      </c>
      <c r="D12" s="55" t="str">
        <f>VLOOKUP($B12,Letters!$C$4:$D$27,2,FALSE) &amp; VLOOKUP($C12,Letters!$C$4:$D$27,2,FALSE)</f>
        <v>BR</v>
      </c>
      <c r="E12" s="5" t="s">
        <v>522</v>
      </c>
      <c r="F12" s="5" t="s">
        <v>523</v>
      </c>
      <c r="G12" s="55">
        <f t="shared" si="1"/>
        <v>11</v>
      </c>
      <c r="H12" s="55">
        <f t="shared" si="2"/>
        <v>12</v>
      </c>
      <c r="I12" s="55"/>
    </row>
    <row r="13" ht="13.5">
      <c r="A13" s="60">
        <v>1.0</v>
      </c>
      <c r="B13" s="5" t="s">
        <v>5</v>
      </c>
      <c r="C13" s="5" t="s">
        <v>22</v>
      </c>
      <c r="D13" s="55" t="str">
        <f>VLOOKUP($B13,Letters!$C$4:$D$27,2,FALSE) &amp; VLOOKUP($C13,Letters!$C$4:$D$27,2,FALSE)</f>
        <v>BK</v>
      </c>
      <c r="E13" s="5" t="s">
        <v>524</v>
      </c>
      <c r="F13" s="5" t="s">
        <v>525</v>
      </c>
      <c r="G13" s="55">
        <f t="shared" si="1"/>
        <v>11</v>
      </c>
      <c r="H13" s="55">
        <f t="shared" si="2"/>
        <v>12</v>
      </c>
      <c r="I13" s="55"/>
    </row>
    <row r="14" ht="13.5">
      <c r="A14" s="60">
        <v>1.0</v>
      </c>
      <c r="B14" s="5" t="s">
        <v>5</v>
      </c>
      <c r="C14" s="5" t="s">
        <v>24</v>
      </c>
      <c r="D14" s="55" t="str">
        <f>VLOOKUP($B14,Letters!$C$4:$D$27,2,FALSE) &amp; VLOOKUP($C14,Letters!$C$4:$D$27,2,FALSE)</f>
        <v>BL</v>
      </c>
      <c r="E14" s="55" t="s">
        <v>526</v>
      </c>
      <c r="F14" s="55" t="s">
        <v>527</v>
      </c>
      <c r="G14" s="55">
        <f t="shared" si="1"/>
        <v>8</v>
      </c>
      <c r="H14" s="55">
        <f t="shared" si="2"/>
        <v>10</v>
      </c>
      <c r="I14" s="55"/>
    </row>
    <row r="15" ht="13.5">
      <c r="A15" s="60">
        <v>1.0</v>
      </c>
      <c r="B15" s="5" t="s">
        <v>5</v>
      </c>
      <c r="C15" s="5" t="s">
        <v>26</v>
      </c>
      <c r="D15" s="55" t="str">
        <f>VLOOKUP($B15,Letters!$C$4:$D$27,2,FALSE) &amp; VLOOKUP($C15,Letters!$C$4:$D$27,2,FALSE)</f>
        <v>BM</v>
      </c>
      <c r="E15" s="5" t="s">
        <v>528</v>
      </c>
      <c r="F15" s="55" t="s">
        <v>529</v>
      </c>
      <c r="G15" s="55">
        <f t="shared" si="1"/>
        <v>11</v>
      </c>
      <c r="H15" s="55">
        <f t="shared" si="2"/>
        <v>14</v>
      </c>
      <c r="I15" s="55"/>
    </row>
    <row r="16" ht="13.5">
      <c r="A16" s="60">
        <v>1.0</v>
      </c>
      <c r="B16" s="5" t="s">
        <v>5</v>
      </c>
      <c r="C16" s="5" t="s">
        <v>30</v>
      </c>
      <c r="D16" s="55" t="str">
        <f>VLOOKUP($B16,Letters!$C$4:$D$27,2,FALSE) &amp; VLOOKUP($C16,Letters!$C$4:$D$27,2,FALSE)</f>
        <v>BO</v>
      </c>
      <c r="E16" s="67" t="s">
        <v>530</v>
      </c>
      <c r="F16" s="67" t="s">
        <v>531</v>
      </c>
      <c r="G16" s="55">
        <f t="shared" si="1"/>
        <v>8</v>
      </c>
      <c r="H16" s="55">
        <f t="shared" si="2"/>
        <v>8</v>
      </c>
      <c r="I16" s="55"/>
    </row>
    <row r="17" ht="13.5">
      <c r="A17" s="60">
        <v>1.0</v>
      </c>
      <c r="B17" s="5" t="s">
        <v>5</v>
      </c>
      <c r="C17" s="5" t="s">
        <v>32</v>
      </c>
      <c r="D17" s="55" t="str">
        <f>VLOOKUP($B17,Letters!$C$4:$D$27,2,FALSE) &amp; VLOOKUP($C17,Letters!$C$4:$D$27,2,FALSE)</f>
        <v>BP</v>
      </c>
      <c r="E17" s="67" t="s">
        <v>532</v>
      </c>
      <c r="F17" s="5" t="s">
        <v>533</v>
      </c>
      <c r="G17" s="55">
        <f t="shared" si="1"/>
        <v>9</v>
      </c>
      <c r="H17" s="55">
        <f t="shared" si="2"/>
        <v>10</v>
      </c>
      <c r="I17" s="55"/>
    </row>
    <row r="18" ht="13.5">
      <c r="A18" s="60">
        <v>1.0</v>
      </c>
      <c r="B18" s="5" t="s">
        <v>5</v>
      </c>
      <c r="C18" s="5" t="s">
        <v>37</v>
      </c>
      <c r="D18" s="55" t="str">
        <f>VLOOKUP($B18,Letters!$C$4:$D$27,2,FALSE) &amp; VLOOKUP($C18,Letters!$C$4:$D$27,2,FALSE)</f>
        <v>BS</v>
      </c>
      <c r="E18" s="5" t="s">
        <v>534</v>
      </c>
      <c r="F18" s="5" t="s">
        <v>535</v>
      </c>
      <c r="G18" s="55">
        <f t="shared" si="1"/>
        <v>10</v>
      </c>
      <c r="H18" s="55">
        <f t="shared" si="2"/>
        <v>10</v>
      </c>
      <c r="I18" s="55"/>
    </row>
    <row r="19" ht="13.5">
      <c r="A19" s="60">
        <v>1.0</v>
      </c>
      <c r="B19" s="5" t="s">
        <v>5</v>
      </c>
      <c r="C19" s="5" t="s">
        <v>39</v>
      </c>
      <c r="D19" s="55" t="str">
        <f>VLOOKUP($B19,Letters!$C$4:$D$27,2,FALSE) &amp; VLOOKUP($C19,Letters!$C$4:$D$27,2,FALSE)</f>
        <v>BT</v>
      </c>
      <c r="E19" s="5" t="s">
        <v>536</v>
      </c>
      <c r="F19" s="5" t="s">
        <v>537</v>
      </c>
      <c r="G19" s="55">
        <f t="shared" si="1"/>
        <v>10</v>
      </c>
      <c r="H19" s="55">
        <f t="shared" si="2"/>
        <v>10</v>
      </c>
      <c r="I19" s="55"/>
    </row>
    <row r="20" ht="13.5">
      <c r="A20" s="60">
        <v>1.0</v>
      </c>
      <c r="B20" s="5" t="s">
        <v>5</v>
      </c>
      <c r="C20" s="5" t="s">
        <v>41</v>
      </c>
      <c r="D20" s="55" t="str">
        <f>VLOOKUP($B20,Letters!$C$4:$D$27,2,FALSE) &amp; VLOOKUP($C20,Letters!$C$4:$D$27,2,FALSE)</f>
        <v>BU</v>
      </c>
      <c r="E20" s="5" t="s">
        <v>538</v>
      </c>
      <c r="F20" s="5" t="s">
        <v>539</v>
      </c>
      <c r="G20" s="55">
        <f t="shared" si="1"/>
        <v>9</v>
      </c>
      <c r="H20" s="55">
        <f t="shared" si="2"/>
        <v>10</v>
      </c>
      <c r="I20" s="55"/>
    </row>
    <row r="21" ht="13.5">
      <c r="A21" s="60">
        <v>1.0</v>
      </c>
      <c r="B21" s="5" t="s">
        <v>5</v>
      </c>
      <c r="C21" s="5" t="s">
        <v>43</v>
      </c>
      <c r="D21" s="55" t="str">
        <f>VLOOKUP($B21,Letters!$C$4:$D$27,2,FALSE) &amp; VLOOKUP($C21,Letters!$C$4:$D$27,2,FALSE)</f>
        <v>BV</v>
      </c>
      <c r="E21" s="5" t="s">
        <v>540</v>
      </c>
      <c r="F21" s="5" t="s">
        <v>541</v>
      </c>
      <c r="G21" s="55">
        <f t="shared" si="1"/>
        <v>13</v>
      </c>
      <c r="H21" s="55">
        <f t="shared" si="2"/>
        <v>14</v>
      </c>
      <c r="I21" s="5"/>
    </row>
    <row r="22" ht="13.5">
      <c r="A22" s="60">
        <v>1.0</v>
      </c>
      <c r="B22" s="5" t="s">
        <v>5</v>
      </c>
      <c r="C22" s="5" t="s">
        <v>45</v>
      </c>
      <c r="D22" s="55" t="str">
        <f>VLOOKUP($B22,Letters!$C$4:$D$27,2,FALSE) &amp; VLOOKUP($C22,Letters!$C$4:$D$27,2,FALSE)</f>
        <v>BW</v>
      </c>
      <c r="E22" s="5" t="s">
        <v>542</v>
      </c>
      <c r="F22" s="5" t="s">
        <v>543</v>
      </c>
      <c r="G22" s="55">
        <f t="shared" si="1"/>
        <v>12</v>
      </c>
      <c r="H22" s="55">
        <f t="shared" si="2"/>
        <v>18</v>
      </c>
      <c r="I22" s="5"/>
    </row>
    <row r="23" ht="13.5">
      <c r="A23" s="60">
        <v>1.0</v>
      </c>
      <c r="B23" s="5" t="s">
        <v>5</v>
      </c>
      <c r="C23" s="5" t="s">
        <v>47</v>
      </c>
      <c r="D23" s="55" t="str">
        <f>VLOOKUP($B23,Letters!$C$4:$D$27,2,FALSE) &amp; VLOOKUP($C23,Letters!$C$4:$D$27,2,FALSE)</f>
        <v>BE</v>
      </c>
      <c r="E23" s="5" t="s">
        <v>544</v>
      </c>
      <c r="F23" s="68" t="s">
        <v>545</v>
      </c>
      <c r="G23" s="55">
        <f t="shared" si="1"/>
        <v>10</v>
      </c>
      <c r="H23" s="55">
        <f t="shared" si="2"/>
        <v>12</v>
      </c>
      <c r="I23" s="56">
        <f>AVERAGE($H6:$H23)</f>
        <v>11.44444444</v>
      </c>
    </row>
    <row r="24" ht="13.5" customHeight="1">
      <c r="A24" s="54"/>
      <c r="B24" s="5"/>
      <c r="C24" s="55"/>
      <c r="D24" s="55"/>
      <c r="E24" s="5"/>
      <c r="F24" s="5"/>
      <c r="G24" s="55"/>
      <c r="H24" s="55"/>
      <c r="I24" s="55"/>
    </row>
    <row r="25" ht="13.5">
      <c r="A25" s="60">
        <v>1.0</v>
      </c>
      <c r="B25" s="5" t="s">
        <v>7</v>
      </c>
      <c r="C25" s="5" t="s">
        <v>5</v>
      </c>
      <c r="D25" s="5" t="str">
        <f>VLOOKUP($B25,Letters!$C$4:$D$27,2,FALSE) &amp; VLOOKUP($C25,Letters!$C$4:$D$27,2,FALSE)</f>
        <v>CB</v>
      </c>
      <c r="E25" s="5" t="s">
        <v>546</v>
      </c>
      <c r="F25" s="5" t="s">
        <v>547</v>
      </c>
      <c r="G25" s="55">
        <f t="shared" ref="G25:G42" si="3">(len($F25)-len(SUBSTITUTE($F25,"R","")))+(len($F25)-len(SUBSTITUTE($F25,"L","")))+(len($F25)-len(SUBSTITUTE($F25,"U","")))+(len($F25)-len(SUBSTITUTE($F25,"D","")))+(len($F25)-len(SUBSTITUTE($F25,"F","")))+(len($F25)-len(SUBSTITUTE($F25,"B","")))</f>
        <v>9</v>
      </c>
      <c r="H25" s="55">
        <f t="shared" ref="H25:H42" si="4">(len($F25)-len(SUBSTITUTE($F25,"R","")))+(len($F25)-len(SUBSTITUTE($F25,"L","")))+(len($F25)-len(SUBSTITUTE($F25,"U","")))+(len($F25)-len(SUBSTITUTE($F25,"D","")))+(len($F25)-len(SUBSTITUTE($F25,"F","")))+(len($F25)-len(SUBSTITUTE($F25,"B","")))+(len($F25)-len(SUBSTITUTE($F25,"2","")))</f>
        <v>12</v>
      </c>
      <c r="I25" s="55"/>
    </row>
    <row r="26" ht="13.5">
      <c r="A26" s="60">
        <v>1.0</v>
      </c>
      <c r="B26" s="5" t="s">
        <v>7</v>
      </c>
      <c r="C26" s="5" t="s">
        <v>9</v>
      </c>
      <c r="D26" s="5" t="str">
        <f>VLOOKUP($B26,Letters!$C$4:$D$27,2,FALSE) &amp; VLOOKUP($C26,Letters!$C$4:$D$27,2,FALSE)</f>
        <v>CD</v>
      </c>
      <c r="E26" s="5" t="s">
        <v>548</v>
      </c>
      <c r="F26" s="5" t="s">
        <v>549</v>
      </c>
      <c r="G26" s="55">
        <f t="shared" si="3"/>
        <v>13</v>
      </c>
      <c r="H26" s="55">
        <f t="shared" si="4"/>
        <v>14</v>
      </c>
      <c r="I26" s="55"/>
    </row>
    <row r="27" ht="13.5">
      <c r="A27" s="60"/>
      <c r="B27" s="5" t="s">
        <v>7</v>
      </c>
      <c r="C27" s="5" t="s">
        <v>12</v>
      </c>
      <c r="D27" s="5" t="str">
        <f>VLOOKUP($B27,Letters!$C$4:$D$27,2,FALSE) &amp; VLOOKUP($C27,Letters!$C$4:$D$27,2,FALSE)</f>
        <v>CF</v>
      </c>
      <c r="E27" s="5" t="s">
        <v>550</v>
      </c>
      <c r="F27" s="5" t="s">
        <v>551</v>
      </c>
      <c r="G27" s="55">
        <f t="shared" si="3"/>
        <v>17</v>
      </c>
      <c r="H27" s="55">
        <f t="shared" si="4"/>
        <v>18</v>
      </c>
      <c r="I27" s="55"/>
    </row>
    <row r="28" ht="13.5">
      <c r="A28" s="60">
        <v>1.0</v>
      </c>
      <c r="B28" s="5" t="s">
        <v>7</v>
      </c>
      <c r="C28" s="5" t="s">
        <v>14</v>
      </c>
      <c r="D28" s="5" t="str">
        <f>VLOOKUP($B28,Letters!$C$4:$D$27,2,FALSE) &amp; VLOOKUP($C28,Letters!$C$4:$D$27,2,FALSE)</f>
        <v>CG</v>
      </c>
      <c r="E28" s="5" t="s">
        <v>552</v>
      </c>
      <c r="F28" s="5" t="s">
        <v>553</v>
      </c>
      <c r="G28" s="55">
        <f t="shared" si="3"/>
        <v>8</v>
      </c>
      <c r="H28" s="55">
        <f t="shared" si="4"/>
        <v>10</v>
      </c>
      <c r="I28" s="55"/>
    </row>
    <row r="29" ht="13.5">
      <c r="A29" s="60">
        <v>1.0</v>
      </c>
      <c r="B29" s="5" t="s">
        <v>7</v>
      </c>
      <c r="C29" s="5" t="s">
        <v>16</v>
      </c>
      <c r="D29" s="5" t="str">
        <f>VLOOKUP($B29,Letters!$C$4:$D$27,2,FALSE) &amp; VLOOKUP($C29,Letters!$C$4:$D$27,2,FALSE)</f>
        <v>CH</v>
      </c>
      <c r="E29" s="5" t="s">
        <v>554</v>
      </c>
      <c r="F29" s="5" t="s">
        <v>555</v>
      </c>
      <c r="G29" s="55">
        <f t="shared" si="3"/>
        <v>9</v>
      </c>
      <c r="H29" s="55">
        <f t="shared" si="4"/>
        <v>10</v>
      </c>
      <c r="I29" s="55"/>
    </row>
    <row r="30" ht="13.5">
      <c r="A30" s="60"/>
      <c r="B30" s="5" t="s">
        <v>7</v>
      </c>
      <c r="C30" s="5" t="s">
        <v>18</v>
      </c>
      <c r="D30" s="5" t="str">
        <f>VLOOKUP($B30,Letters!$C$4:$D$27,2,FALSE) &amp; VLOOKUP($C30,Letters!$C$4:$D$27,2,FALSE)</f>
        <v>CI</v>
      </c>
      <c r="E30" s="5" t="s">
        <v>556</v>
      </c>
      <c r="F30" s="5" t="s">
        <v>557</v>
      </c>
      <c r="G30" s="55">
        <f t="shared" si="3"/>
        <v>13</v>
      </c>
      <c r="H30" s="55">
        <f t="shared" si="4"/>
        <v>14</v>
      </c>
      <c r="I30" s="55"/>
    </row>
    <row r="31" ht="13.5">
      <c r="A31" s="60">
        <v>1.0</v>
      </c>
      <c r="B31" s="5" t="s">
        <v>7</v>
      </c>
      <c r="C31" s="5" t="s">
        <v>22</v>
      </c>
      <c r="D31" s="5" t="str">
        <f>VLOOKUP($B31,Letters!$C$4:$D$27,2,FALSE) &amp; VLOOKUP($C31,Letters!$C$4:$D$27,2,FALSE)</f>
        <v>CK</v>
      </c>
      <c r="E31" s="67" t="s">
        <v>558</v>
      </c>
      <c r="F31" s="5" t="s">
        <v>559</v>
      </c>
      <c r="G31" s="55">
        <f t="shared" si="3"/>
        <v>10</v>
      </c>
      <c r="H31" s="55">
        <f t="shared" si="4"/>
        <v>12</v>
      </c>
      <c r="I31" s="55"/>
    </row>
    <row r="32" ht="13.5">
      <c r="A32" s="60">
        <v>1.0</v>
      </c>
      <c r="B32" s="5" t="s">
        <v>7</v>
      </c>
      <c r="C32" s="5" t="s">
        <v>24</v>
      </c>
      <c r="D32" s="5" t="str">
        <f>VLOOKUP($B32,Letters!$C$4:$D$27,2,FALSE) &amp; VLOOKUP($C32,Letters!$C$4:$D$27,2,FALSE)</f>
        <v>CL</v>
      </c>
      <c r="E32" s="5" t="s">
        <v>560</v>
      </c>
      <c r="F32" s="5" t="s">
        <v>561</v>
      </c>
      <c r="G32" s="55">
        <f t="shared" si="3"/>
        <v>10</v>
      </c>
      <c r="H32" s="55">
        <f t="shared" si="4"/>
        <v>12</v>
      </c>
      <c r="I32" s="55"/>
    </row>
    <row r="33" ht="13.5">
      <c r="A33" s="60">
        <v>1.0</v>
      </c>
      <c r="B33" s="5" t="s">
        <v>7</v>
      </c>
      <c r="C33" s="5" t="s">
        <v>28</v>
      </c>
      <c r="D33" s="5" t="str">
        <f>VLOOKUP($B33,Letters!$C$4:$D$27,2,FALSE) &amp; VLOOKUP($C33,Letters!$C$4:$D$27,2,FALSE)</f>
        <v>CN</v>
      </c>
      <c r="E33" s="5" t="s">
        <v>562</v>
      </c>
      <c r="F33" s="5" t="s">
        <v>563</v>
      </c>
      <c r="G33" s="55">
        <f t="shared" si="3"/>
        <v>15</v>
      </c>
      <c r="H33" s="55">
        <f t="shared" si="4"/>
        <v>16</v>
      </c>
      <c r="I33" s="55"/>
    </row>
    <row r="34" ht="13.5">
      <c r="A34" s="60">
        <v>1.0</v>
      </c>
      <c r="B34" s="5" t="s">
        <v>7</v>
      </c>
      <c r="C34" s="5" t="s">
        <v>30</v>
      </c>
      <c r="D34" s="5" t="str">
        <f>VLOOKUP($B34,Letters!$C$4:$D$27,2,FALSE) &amp; VLOOKUP($C34,Letters!$C$4:$D$27,2,FALSE)</f>
        <v>CO</v>
      </c>
      <c r="E34" s="5" t="s">
        <v>564</v>
      </c>
      <c r="F34" s="5" t="s">
        <v>565</v>
      </c>
      <c r="G34" s="55">
        <f t="shared" si="3"/>
        <v>9</v>
      </c>
      <c r="H34" s="55">
        <f t="shared" si="4"/>
        <v>10</v>
      </c>
      <c r="I34" s="55"/>
    </row>
    <row r="35" ht="13.5">
      <c r="A35" s="60">
        <v>1.0</v>
      </c>
      <c r="B35" s="5" t="s">
        <v>7</v>
      </c>
      <c r="C35" s="5" t="s">
        <v>32</v>
      </c>
      <c r="D35" s="5" t="str">
        <f>VLOOKUP($B35,Letters!$C$4:$D$27,2,FALSE) &amp; VLOOKUP($C35,Letters!$C$4:$D$27,2,FALSE)</f>
        <v>CP</v>
      </c>
      <c r="E35" s="5" t="s">
        <v>566</v>
      </c>
      <c r="F35" s="5" t="s">
        <v>567</v>
      </c>
      <c r="G35" s="55">
        <f t="shared" si="3"/>
        <v>8</v>
      </c>
      <c r="H35" s="55">
        <f t="shared" si="4"/>
        <v>10</v>
      </c>
      <c r="I35" s="55"/>
    </row>
    <row r="36" ht="13.5">
      <c r="A36" s="60">
        <v>1.0</v>
      </c>
      <c r="B36" s="5" t="s">
        <v>7</v>
      </c>
      <c r="C36" s="5" t="s">
        <v>34</v>
      </c>
      <c r="D36" s="5" t="str">
        <f>VLOOKUP($B36,Letters!$C$4:$D$27,2,FALSE) &amp; VLOOKUP($C36,Letters!$C$4:$D$27,2,FALSE)</f>
        <v>CA</v>
      </c>
      <c r="E36" s="5" t="s">
        <v>568</v>
      </c>
      <c r="F36" s="5" t="s">
        <v>569</v>
      </c>
      <c r="G36" s="55">
        <f t="shared" si="3"/>
        <v>12</v>
      </c>
      <c r="H36" s="55">
        <f t="shared" si="4"/>
        <v>14</v>
      </c>
      <c r="I36" s="55"/>
    </row>
    <row r="37" ht="13.5">
      <c r="A37" s="60"/>
      <c r="B37" s="5" t="s">
        <v>7</v>
      </c>
      <c r="C37" s="5" t="s">
        <v>37</v>
      </c>
      <c r="D37" s="5" t="str">
        <f>VLOOKUP($B37,Letters!$C$4:$D$27,2,FALSE) &amp; VLOOKUP($C37,Letters!$C$4:$D$27,2,FALSE)</f>
        <v>CS</v>
      </c>
      <c r="E37" s="5" t="s">
        <v>570</v>
      </c>
      <c r="F37" s="5" t="s">
        <v>571</v>
      </c>
      <c r="G37" s="55">
        <f t="shared" si="3"/>
        <v>11</v>
      </c>
      <c r="H37" s="55">
        <f t="shared" si="4"/>
        <v>12</v>
      </c>
      <c r="I37" s="55"/>
    </row>
    <row r="38" ht="13.5">
      <c r="A38" s="60"/>
      <c r="B38" s="5" t="s">
        <v>7</v>
      </c>
      <c r="C38" s="5" t="s">
        <v>39</v>
      </c>
      <c r="D38" s="5" t="str">
        <f>VLOOKUP($B38,Letters!$C$4:$D$27,2,FALSE) &amp; VLOOKUP($C38,Letters!$C$4:$D$27,2,FALSE)</f>
        <v>CT</v>
      </c>
      <c r="E38" s="5" t="s">
        <v>572</v>
      </c>
      <c r="F38" s="5" t="s">
        <v>573</v>
      </c>
      <c r="G38" s="55">
        <f t="shared" si="3"/>
        <v>11</v>
      </c>
      <c r="H38" s="55">
        <f t="shared" si="4"/>
        <v>12</v>
      </c>
      <c r="I38" s="55"/>
    </row>
    <row r="39" ht="13.5">
      <c r="A39" s="60">
        <v>1.0</v>
      </c>
      <c r="B39" s="5" t="s">
        <v>7</v>
      </c>
      <c r="C39" s="5" t="s">
        <v>41</v>
      </c>
      <c r="D39" s="5" t="str">
        <f>VLOOKUP($B39,Letters!$C$4:$D$27,2,FALSE) &amp; VLOOKUP($C39,Letters!$C$4:$D$27,2,FALSE)</f>
        <v>CU</v>
      </c>
      <c r="E39" s="5" t="s">
        <v>574</v>
      </c>
      <c r="F39" s="5" t="s">
        <v>575</v>
      </c>
      <c r="G39" s="55">
        <f t="shared" si="3"/>
        <v>17</v>
      </c>
      <c r="H39" s="55">
        <f t="shared" si="4"/>
        <v>18</v>
      </c>
      <c r="I39" s="55"/>
    </row>
    <row r="40" ht="13.5">
      <c r="A40" s="60"/>
      <c r="B40" s="5" t="s">
        <v>7</v>
      </c>
      <c r="C40" s="5" t="s">
        <v>43</v>
      </c>
      <c r="D40" s="5" t="str">
        <f>VLOOKUP($B40,Letters!$C$4:$D$27,2,FALSE) &amp; VLOOKUP($C40,Letters!$C$4:$D$27,2,FALSE)</f>
        <v>CV</v>
      </c>
      <c r="E40" s="5" t="s">
        <v>576</v>
      </c>
      <c r="F40" s="5" t="s">
        <v>577</v>
      </c>
      <c r="G40" s="55">
        <f t="shared" si="3"/>
        <v>12</v>
      </c>
      <c r="H40" s="55">
        <f t="shared" si="4"/>
        <v>18</v>
      </c>
      <c r="I40" s="55"/>
    </row>
    <row r="41" ht="13.5">
      <c r="A41" s="60"/>
      <c r="B41" s="5" t="s">
        <v>7</v>
      </c>
      <c r="C41" s="5" t="s">
        <v>45</v>
      </c>
      <c r="D41" s="5" t="str">
        <f>VLOOKUP($B41,Letters!$C$4:$D$27,2,FALSE) &amp; VLOOKUP($C41,Letters!$C$4:$D$27,2,FALSE)</f>
        <v>CW</v>
      </c>
      <c r="E41" s="5" t="s">
        <v>578</v>
      </c>
      <c r="F41" s="5" t="s">
        <v>579</v>
      </c>
      <c r="G41" s="55">
        <f t="shared" si="3"/>
        <v>13</v>
      </c>
      <c r="H41" s="55">
        <f t="shared" si="4"/>
        <v>16</v>
      </c>
      <c r="I41" s="55"/>
    </row>
    <row r="42" ht="13.5">
      <c r="A42" s="60"/>
      <c r="B42" s="5" t="s">
        <v>7</v>
      </c>
      <c r="C42" s="5" t="s">
        <v>47</v>
      </c>
      <c r="D42" s="5" t="str">
        <f>VLOOKUP($B42,Letters!$C$4:$D$27,2,FALSE) &amp; VLOOKUP($C42,Letters!$C$4:$D$27,2,FALSE)</f>
        <v>CE</v>
      </c>
      <c r="E42" s="5" t="s">
        <v>580</v>
      </c>
      <c r="F42" s="5" t="s">
        <v>581</v>
      </c>
      <c r="G42" s="55">
        <f t="shared" si="3"/>
        <v>15</v>
      </c>
      <c r="H42" s="55">
        <f t="shared" si="4"/>
        <v>16</v>
      </c>
      <c r="I42" s="56">
        <f>AVERAGE($H25:$H42)</f>
        <v>13.55555556</v>
      </c>
    </row>
    <row r="43">
      <c r="A43" s="54"/>
      <c r="B43" s="55"/>
      <c r="C43" s="55"/>
      <c r="D43" s="55"/>
      <c r="E43" s="5"/>
      <c r="F43" s="55"/>
      <c r="G43" s="55"/>
      <c r="H43" s="55"/>
      <c r="I43" s="55"/>
    </row>
    <row r="44" ht="13.5">
      <c r="A44" s="60">
        <v>1.0</v>
      </c>
      <c r="B44" s="5" t="s">
        <v>9</v>
      </c>
      <c r="C44" s="5" t="s">
        <v>5</v>
      </c>
      <c r="D44" s="55" t="str">
        <f>VLOOKUP($B44,Letters!$C$4:$D$27,2,FALSE) &amp; VLOOKUP($C44,Letters!$C$4:$D$27,2,FALSE)</f>
        <v>DB</v>
      </c>
      <c r="E44" s="5" t="s">
        <v>582</v>
      </c>
      <c r="F44" s="5" t="s">
        <v>583</v>
      </c>
      <c r="G44" s="55">
        <f t="shared" ref="G44:G61" si="5">(len($F44)-len(SUBSTITUTE($F44,"R","")))+(len($F44)-len(SUBSTITUTE($F44,"L","")))+(len($F44)-len(SUBSTITUTE($F44,"U","")))+(len($F44)-len(SUBSTITUTE($F44,"D","")))+(len($F44)-len(SUBSTITUTE($F44,"F","")))+(len($F44)-len(SUBSTITUTE($F44,"B","")))</f>
        <v>11</v>
      </c>
      <c r="H44" s="55">
        <f t="shared" ref="H44:H61" si="6">(len($F44)-len(SUBSTITUTE($F44,"R","")))+(len($F44)-len(SUBSTITUTE($F44,"L","")))+(len($F44)-len(SUBSTITUTE($F44,"U","")))+(len($F44)-len(SUBSTITUTE($F44,"D","")))+(len($F44)-len(SUBSTITUTE($F44,"F","")))+(len($F44)-len(SUBSTITUTE($F44,"B","")))+(len($F44)-len(SUBSTITUTE($F44,"2","")))</f>
        <v>14</v>
      </c>
      <c r="I44" s="55"/>
    </row>
    <row r="45" ht="13.5">
      <c r="A45" s="60">
        <v>1.0</v>
      </c>
      <c r="B45" s="5" t="s">
        <v>9</v>
      </c>
      <c r="C45" s="5" t="s">
        <v>7</v>
      </c>
      <c r="D45" s="55" t="str">
        <f>VLOOKUP($B45,Letters!$C$4:$D$27,2,FALSE) &amp; VLOOKUP($C45,Letters!$C$4:$D$27,2,FALSE)</f>
        <v>DC</v>
      </c>
      <c r="E45" s="5" t="s">
        <v>584</v>
      </c>
      <c r="F45" s="5" t="s">
        <v>585</v>
      </c>
      <c r="G45" s="55">
        <f t="shared" si="5"/>
        <v>13</v>
      </c>
      <c r="H45" s="55">
        <f t="shared" si="6"/>
        <v>14</v>
      </c>
      <c r="I45" s="55"/>
    </row>
    <row r="46" ht="13.5">
      <c r="A46" s="60">
        <v>1.0</v>
      </c>
      <c r="B46" s="5" t="s">
        <v>9</v>
      </c>
      <c r="C46" s="5" t="s">
        <v>14</v>
      </c>
      <c r="D46" s="55" t="str">
        <f>VLOOKUP($B46,Letters!$C$4:$D$27,2,FALSE) &amp; VLOOKUP($C46,Letters!$C$4:$D$27,2,FALSE)</f>
        <v>DG</v>
      </c>
      <c r="E46" s="5" t="s">
        <v>586</v>
      </c>
      <c r="F46" s="5" t="s">
        <v>587</v>
      </c>
      <c r="G46" s="55">
        <f t="shared" si="5"/>
        <v>9</v>
      </c>
      <c r="H46" s="55">
        <f t="shared" si="6"/>
        <v>10</v>
      </c>
      <c r="I46" s="55"/>
    </row>
    <row r="47" ht="13.5">
      <c r="A47" s="60">
        <v>1.0</v>
      </c>
      <c r="B47" s="5" t="s">
        <v>9</v>
      </c>
      <c r="C47" s="5" t="s">
        <v>16</v>
      </c>
      <c r="D47" s="55" t="str">
        <f>VLOOKUP($B47,Letters!$C$4:$D$27,2,FALSE) &amp; VLOOKUP($C47,Letters!$C$4:$D$27,2,FALSE)</f>
        <v>DH</v>
      </c>
      <c r="E47" s="5" t="s">
        <v>588</v>
      </c>
      <c r="F47" s="5" t="s">
        <v>589</v>
      </c>
      <c r="G47" s="55">
        <f t="shared" si="5"/>
        <v>9</v>
      </c>
      <c r="H47" s="55">
        <f t="shared" si="6"/>
        <v>10</v>
      </c>
      <c r="I47" s="55"/>
    </row>
    <row r="48" ht="13.5">
      <c r="A48" s="54"/>
      <c r="B48" s="5" t="s">
        <v>9</v>
      </c>
      <c r="C48" s="5" t="s">
        <v>20</v>
      </c>
      <c r="D48" s="55" t="str">
        <f>VLOOKUP($B48,Letters!$C$4:$D$27,2,FALSE) &amp; VLOOKUP($C48,Letters!$C$4:$D$27,2,FALSE)</f>
        <v>DR</v>
      </c>
      <c r="E48" s="5" t="s">
        <v>590</v>
      </c>
      <c r="F48" s="5" t="s">
        <v>591</v>
      </c>
      <c r="G48" s="55">
        <f t="shared" si="5"/>
        <v>11</v>
      </c>
      <c r="H48" s="55">
        <f t="shared" si="6"/>
        <v>12</v>
      </c>
      <c r="I48" s="55"/>
    </row>
    <row r="49" ht="13.5">
      <c r="A49" s="54"/>
      <c r="B49" s="5" t="s">
        <v>9</v>
      </c>
      <c r="C49" s="5" t="s">
        <v>22</v>
      </c>
      <c r="D49" s="55" t="str">
        <f>VLOOKUP($B49,Letters!$C$4:$D$27,2,FALSE) &amp; VLOOKUP($C49,Letters!$C$4:$D$27,2,FALSE)</f>
        <v>DK</v>
      </c>
      <c r="E49" s="69" t="s">
        <v>592</v>
      </c>
      <c r="F49" s="67" t="s">
        <v>593</v>
      </c>
      <c r="G49" s="55">
        <f t="shared" si="5"/>
        <v>11</v>
      </c>
      <c r="H49" s="55">
        <f t="shared" si="6"/>
        <v>12</v>
      </c>
      <c r="I49" s="55"/>
    </row>
    <row r="50" ht="13.5">
      <c r="A50" s="60">
        <v>1.0</v>
      </c>
      <c r="B50" s="5" t="s">
        <v>9</v>
      </c>
      <c r="C50" s="5" t="s">
        <v>24</v>
      </c>
      <c r="D50" s="55" t="str">
        <f>VLOOKUP($B50,Letters!$C$4:$D$27,2,FALSE) &amp; VLOOKUP($C50,Letters!$C$4:$D$27,2,FALSE)</f>
        <v>DL</v>
      </c>
      <c r="E50" s="5" t="s">
        <v>594</v>
      </c>
      <c r="F50" s="5" t="s">
        <v>595</v>
      </c>
      <c r="G50" s="55">
        <f t="shared" si="5"/>
        <v>11</v>
      </c>
      <c r="H50" s="55">
        <f t="shared" si="6"/>
        <v>12</v>
      </c>
      <c r="I50" s="55"/>
    </row>
    <row r="51" ht="13.5">
      <c r="A51" s="54"/>
      <c r="B51" s="5" t="s">
        <v>9</v>
      </c>
      <c r="C51" s="5" t="s">
        <v>26</v>
      </c>
      <c r="D51" s="55" t="str">
        <f>VLOOKUP($B51,Letters!$C$4:$D$27,2,FALSE) &amp; VLOOKUP($C51,Letters!$C$4:$D$27,2,FALSE)</f>
        <v>DM</v>
      </c>
      <c r="E51" s="5" t="s">
        <v>596</v>
      </c>
      <c r="F51" s="5" t="s">
        <v>597</v>
      </c>
      <c r="G51" s="55">
        <f t="shared" si="5"/>
        <v>8</v>
      </c>
      <c r="H51" s="55">
        <f t="shared" si="6"/>
        <v>8</v>
      </c>
      <c r="I51" s="55"/>
    </row>
    <row r="52" ht="13.5">
      <c r="A52" s="60">
        <v>1.0</v>
      </c>
      <c r="B52" s="5" t="s">
        <v>9</v>
      </c>
      <c r="C52" s="5" t="s">
        <v>28</v>
      </c>
      <c r="D52" s="55" t="str">
        <f>VLOOKUP($B52,Letters!$C$4:$D$27,2,FALSE) &amp; VLOOKUP($C52,Letters!$C$4:$D$27,2,FALSE)</f>
        <v>DN</v>
      </c>
      <c r="E52" s="5" t="s">
        <v>598</v>
      </c>
      <c r="F52" s="5" t="s">
        <v>599</v>
      </c>
      <c r="G52" s="55">
        <f t="shared" si="5"/>
        <v>11</v>
      </c>
      <c r="H52" s="55">
        <f t="shared" si="6"/>
        <v>12</v>
      </c>
      <c r="I52" s="55"/>
    </row>
    <row r="53" ht="13.5">
      <c r="A53" s="60">
        <v>1.0</v>
      </c>
      <c r="B53" s="5" t="s">
        <v>9</v>
      </c>
      <c r="C53" s="5" t="s">
        <v>30</v>
      </c>
      <c r="D53" s="55" t="str">
        <f>VLOOKUP($B53,Letters!$C$4:$D$27,2,FALSE) &amp; VLOOKUP($C53,Letters!$C$4:$D$27,2,FALSE)</f>
        <v>DO</v>
      </c>
      <c r="E53" s="5" t="s">
        <v>600</v>
      </c>
      <c r="F53" s="5" t="s">
        <v>601</v>
      </c>
      <c r="G53" s="55">
        <f t="shared" si="5"/>
        <v>9</v>
      </c>
      <c r="H53" s="55">
        <f t="shared" si="6"/>
        <v>10</v>
      </c>
      <c r="I53" s="55"/>
    </row>
    <row r="54" ht="13.5">
      <c r="A54" s="60">
        <v>1.0</v>
      </c>
      <c r="B54" s="5" t="s">
        <v>9</v>
      </c>
      <c r="C54" s="5" t="s">
        <v>32</v>
      </c>
      <c r="D54" s="55" t="str">
        <f>VLOOKUP($B54,Letters!$C$4:$D$27,2,FALSE) &amp; VLOOKUP($C54,Letters!$C$4:$D$27,2,FALSE)</f>
        <v>DP</v>
      </c>
      <c r="E54" s="5" t="s">
        <v>602</v>
      </c>
      <c r="F54" s="5" t="s">
        <v>603</v>
      </c>
      <c r="G54" s="55">
        <f t="shared" si="5"/>
        <v>9</v>
      </c>
      <c r="H54" s="55">
        <f t="shared" si="6"/>
        <v>10</v>
      </c>
      <c r="I54" s="55"/>
    </row>
    <row r="55" ht="13.5">
      <c r="A55" s="60">
        <v>1.0</v>
      </c>
      <c r="B55" s="5" t="s">
        <v>9</v>
      </c>
      <c r="C55" s="5" t="s">
        <v>34</v>
      </c>
      <c r="D55" s="55" t="str">
        <f>VLOOKUP($B55,Letters!$C$4:$D$27,2,FALSE) &amp; VLOOKUP($C55,Letters!$C$4:$D$27,2,FALSE)</f>
        <v>DA</v>
      </c>
      <c r="E55" s="5" t="s">
        <v>604</v>
      </c>
      <c r="F55" s="5" t="s">
        <v>605</v>
      </c>
      <c r="G55" s="55">
        <f t="shared" si="5"/>
        <v>11</v>
      </c>
      <c r="H55" s="55">
        <f t="shared" si="6"/>
        <v>12</v>
      </c>
      <c r="I55" s="55"/>
    </row>
    <row r="56" ht="13.5">
      <c r="A56" s="54"/>
      <c r="B56" s="5" t="s">
        <v>9</v>
      </c>
      <c r="C56" s="5" t="s">
        <v>37</v>
      </c>
      <c r="D56" s="55" t="str">
        <f>VLOOKUP($B56,Letters!$C$4:$D$27,2,FALSE) &amp; VLOOKUP($C56,Letters!$C$4:$D$27,2,FALSE)</f>
        <v>DS</v>
      </c>
      <c r="E56" s="5" t="s">
        <v>606</v>
      </c>
      <c r="F56" s="5" t="s">
        <v>607</v>
      </c>
      <c r="G56" s="55">
        <f t="shared" si="5"/>
        <v>11</v>
      </c>
      <c r="H56" s="55">
        <f t="shared" si="6"/>
        <v>12</v>
      </c>
      <c r="I56" s="55"/>
    </row>
    <row r="57" ht="13.5">
      <c r="A57" s="54"/>
      <c r="B57" s="5" t="s">
        <v>9</v>
      </c>
      <c r="C57" s="5" t="s">
        <v>39</v>
      </c>
      <c r="D57" s="55" t="str">
        <f>VLOOKUP($B57,Letters!$C$4:$D$27,2,FALSE) &amp; VLOOKUP($C57,Letters!$C$4:$D$27,2,FALSE)</f>
        <v>DT</v>
      </c>
      <c r="E57" s="5" t="s">
        <v>608</v>
      </c>
      <c r="F57" s="5" t="s">
        <v>609</v>
      </c>
      <c r="G57" s="55">
        <f t="shared" si="5"/>
        <v>11</v>
      </c>
      <c r="H57" s="55">
        <f t="shared" si="6"/>
        <v>12</v>
      </c>
      <c r="I57" s="55"/>
    </row>
    <row r="58" ht="13.5">
      <c r="A58" s="60">
        <v>1.0</v>
      </c>
      <c r="B58" s="5" t="s">
        <v>9</v>
      </c>
      <c r="C58" s="5" t="s">
        <v>41</v>
      </c>
      <c r="D58" s="55" t="str">
        <f>VLOOKUP($B58,Letters!$C$4:$D$27,2,FALSE) &amp; VLOOKUP($C58,Letters!$C$4:$D$27,2,FALSE)</f>
        <v>DU</v>
      </c>
      <c r="E58" s="5" t="s">
        <v>610</v>
      </c>
      <c r="F58" s="5" t="s">
        <v>611</v>
      </c>
      <c r="G58" s="55">
        <f t="shared" si="5"/>
        <v>15</v>
      </c>
      <c r="H58" s="55">
        <f t="shared" si="6"/>
        <v>16</v>
      </c>
      <c r="I58" s="55"/>
    </row>
    <row r="59" ht="13.5">
      <c r="A59" s="54"/>
      <c r="B59" s="5" t="s">
        <v>9</v>
      </c>
      <c r="C59" s="5" t="s">
        <v>43</v>
      </c>
      <c r="D59" s="55" t="str">
        <f>VLOOKUP($B59,Letters!$C$4:$D$27,2,FALSE) &amp; VLOOKUP($C59,Letters!$C$4:$D$27,2,FALSE)</f>
        <v>DV</v>
      </c>
      <c r="E59" s="5" t="s">
        <v>612</v>
      </c>
      <c r="F59" s="5" t="s">
        <v>613</v>
      </c>
      <c r="G59" s="55">
        <f t="shared" si="5"/>
        <v>15</v>
      </c>
      <c r="H59" s="55">
        <f t="shared" si="6"/>
        <v>16</v>
      </c>
      <c r="I59" s="55"/>
    </row>
    <row r="60" ht="13.5">
      <c r="A60" s="54"/>
      <c r="B60" s="5" t="s">
        <v>9</v>
      </c>
      <c r="C60" s="5" t="s">
        <v>45</v>
      </c>
      <c r="D60" s="55" t="str">
        <f>VLOOKUP($B60,Letters!$C$4:$D$27,2,FALSE) &amp; VLOOKUP($C60,Letters!$C$4:$D$27,2,FALSE)</f>
        <v>DW</v>
      </c>
      <c r="E60" s="5" t="s">
        <v>614</v>
      </c>
      <c r="F60" s="5" t="s">
        <v>615</v>
      </c>
      <c r="G60" s="55">
        <f t="shared" si="5"/>
        <v>13</v>
      </c>
      <c r="H60" s="55">
        <f t="shared" si="6"/>
        <v>14</v>
      </c>
      <c r="I60" s="55"/>
    </row>
    <row r="61" ht="13.5">
      <c r="A61" s="54"/>
      <c r="B61" s="5" t="s">
        <v>9</v>
      </c>
      <c r="C61" s="5" t="s">
        <v>47</v>
      </c>
      <c r="D61" s="55" t="str">
        <f>VLOOKUP($B61,Letters!$C$4:$D$27,2,FALSE) &amp; VLOOKUP($C61,Letters!$C$4:$D$27,2,FALSE)</f>
        <v>DE</v>
      </c>
      <c r="E61" s="5" t="s">
        <v>616</v>
      </c>
      <c r="F61" s="5" t="s">
        <v>617</v>
      </c>
      <c r="G61" s="55">
        <f t="shared" si="5"/>
        <v>15</v>
      </c>
      <c r="H61" s="55">
        <f t="shared" si="6"/>
        <v>16</v>
      </c>
      <c r="I61" s="56">
        <f>AVERAGE($H44:$H61)</f>
        <v>12.33333333</v>
      </c>
    </row>
    <row r="62">
      <c r="A62" s="54"/>
      <c r="B62" s="5"/>
      <c r="C62" s="5"/>
      <c r="D62" s="55"/>
      <c r="E62" s="5"/>
      <c r="F62" s="55"/>
      <c r="G62" s="55"/>
      <c r="H62" s="55"/>
      <c r="I62" s="55"/>
    </row>
    <row r="63" ht="13.5">
      <c r="A63" s="60">
        <v>1.0</v>
      </c>
      <c r="B63" s="68" t="s">
        <v>12</v>
      </c>
      <c r="C63" s="68" t="s">
        <v>5</v>
      </c>
      <c r="D63" s="55" t="str">
        <f>VLOOKUP($B63,Letters!$C$4:$D$27,2,FALSE) &amp; VLOOKUP($C63,Letters!$C$4:$D$27,2,FALSE)</f>
        <v>FB</v>
      </c>
      <c r="E63" s="5" t="s">
        <v>618</v>
      </c>
      <c r="F63" s="5" t="s">
        <v>619</v>
      </c>
      <c r="G63" s="55">
        <f t="shared" ref="G63:G80" si="7">(len($F63)-len(SUBSTITUTE($F63,"R","")))+(len($F63)-len(SUBSTITUTE($F63,"L","")))+(len($F63)-len(SUBSTITUTE($F63,"U","")))+(len($F63)-len(SUBSTITUTE($F63,"D","")))+(len($F63)-len(SUBSTITUTE($F63,"F","")))+(len($F63)-len(SUBSTITUTE($F63,"B","")))</f>
        <v>11</v>
      </c>
      <c r="H63" s="55">
        <f t="shared" ref="H63:H80" si="8">(len($F63)-len(SUBSTITUTE($F63,"R","")))+(len($F63)-len(SUBSTITUTE($F63,"L","")))+(len($F63)-len(SUBSTITUTE($F63,"U","")))+(len($F63)-len(SUBSTITUTE($F63,"D","")))+(len($F63)-len(SUBSTITUTE($F63,"F","")))+(len($F63)-len(SUBSTITUTE($F63,"B","")))+(len($F63)-len(SUBSTITUTE($F63,"2","")))</f>
        <v>14</v>
      </c>
      <c r="I63" s="55"/>
    </row>
    <row r="64" ht="13.5">
      <c r="A64" s="54"/>
      <c r="B64" s="68" t="s">
        <v>12</v>
      </c>
      <c r="C64" s="68" t="s">
        <v>7</v>
      </c>
      <c r="D64" s="55" t="str">
        <f>VLOOKUP($B64,Letters!$C$4:$D$27,2,FALSE) &amp; VLOOKUP($C64,Letters!$C$4:$D$27,2,FALSE)</f>
        <v>FC</v>
      </c>
      <c r="E64" s="5" t="s">
        <v>620</v>
      </c>
      <c r="F64" s="5" t="s">
        <v>621</v>
      </c>
      <c r="G64" s="55">
        <f t="shared" si="7"/>
        <v>17</v>
      </c>
      <c r="H64" s="55">
        <f t="shared" si="8"/>
        <v>18</v>
      </c>
      <c r="I64" s="55"/>
    </row>
    <row r="65" ht="13.5">
      <c r="A65" s="60">
        <v>1.0</v>
      </c>
      <c r="B65" s="68" t="s">
        <v>12</v>
      </c>
      <c r="C65" s="68" t="s">
        <v>14</v>
      </c>
      <c r="D65" s="55" t="str">
        <f>VLOOKUP($B65,Letters!$C$4:$D$27,2,FALSE) &amp; VLOOKUP($C65,Letters!$C$4:$D$27,2,FALSE)</f>
        <v>FG</v>
      </c>
      <c r="E65" s="5" t="s">
        <v>622</v>
      </c>
      <c r="F65" s="5" t="s">
        <v>623</v>
      </c>
      <c r="G65" s="55">
        <f t="shared" si="7"/>
        <v>13</v>
      </c>
      <c r="H65" s="55">
        <f t="shared" si="8"/>
        <v>14</v>
      </c>
      <c r="I65" s="55"/>
    </row>
    <row r="66" ht="13.5">
      <c r="A66" s="54"/>
      <c r="B66" s="68" t="s">
        <v>12</v>
      </c>
      <c r="C66" s="68" t="s">
        <v>16</v>
      </c>
      <c r="D66" s="55" t="str">
        <f>VLOOKUP($B66,Letters!$C$4:$D$27,2,FALSE) &amp; VLOOKUP($C66,Letters!$C$4:$D$27,2,FALSE)</f>
        <v>FH</v>
      </c>
      <c r="E66" s="5" t="s">
        <v>624</v>
      </c>
      <c r="F66" s="5" t="s">
        <v>625</v>
      </c>
      <c r="G66" s="55">
        <f t="shared" si="7"/>
        <v>11</v>
      </c>
      <c r="H66" s="55">
        <f t="shared" si="8"/>
        <v>14</v>
      </c>
      <c r="I66" s="55"/>
    </row>
    <row r="67" ht="13.5">
      <c r="A67" s="54"/>
      <c r="B67" s="68" t="s">
        <v>12</v>
      </c>
      <c r="C67" s="68" t="s">
        <v>20</v>
      </c>
      <c r="D67" s="55" t="str">
        <f>VLOOKUP($B67,Letters!$C$4:$D$27,2,FALSE) &amp; VLOOKUP($C67,Letters!$C$4:$D$27,2,FALSE)</f>
        <v>FR</v>
      </c>
      <c r="E67" s="5" t="s">
        <v>626</v>
      </c>
      <c r="F67" s="5" t="s">
        <v>627</v>
      </c>
      <c r="G67" s="55">
        <f t="shared" si="7"/>
        <v>11</v>
      </c>
      <c r="H67" s="55">
        <f t="shared" si="8"/>
        <v>14</v>
      </c>
      <c r="I67" s="55"/>
    </row>
    <row r="68" ht="13.5">
      <c r="A68" s="54"/>
      <c r="B68" s="68" t="s">
        <v>12</v>
      </c>
      <c r="C68" s="68" t="s">
        <v>22</v>
      </c>
      <c r="D68" s="55" t="str">
        <f>VLOOKUP($B68,Letters!$C$4:$D$27,2,FALSE) &amp; VLOOKUP($C68,Letters!$C$4:$D$27,2,FALSE)</f>
        <v>FK</v>
      </c>
      <c r="E68" s="5" t="s">
        <v>628</v>
      </c>
      <c r="F68" s="5" t="s">
        <v>629</v>
      </c>
      <c r="G68" s="55">
        <f t="shared" si="7"/>
        <v>13</v>
      </c>
      <c r="H68" s="55">
        <f t="shared" si="8"/>
        <v>14</v>
      </c>
      <c r="I68" s="55"/>
    </row>
    <row r="69" ht="13.5">
      <c r="A69" s="60">
        <v>1.0</v>
      </c>
      <c r="B69" s="68" t="s">
        <v>12</v>
      </c>
      <c r="C69" s="68" t="s">
        <v>24</v>
      </c>
      <c r="D69" s="55" t="str">
        <f>VLOOKUP($B69,Letters!$C$4:$D$27,2,FALSE) &amp; VLOOKUP($C69,Letters!$C$4:$D$27,2,FALSE)</f>
        <v>FL</v>
      </c>
      <c r="E69" s="5" t="s">
        <v>630</v>
      </c>
      <c r="F69" s="5" t="s">
        <v>631</v>
      </c>
      <c r="G69" s="55">
        <f t="shared" si="7"/>
        <v>15</v>
      </c>
      <c r="H69" s="55">
        <f t="shared" si="8"/>
        <v>16</v>
      </c>
      <c r="I69" s="55"/>
    </row>
    <row r="70" ht="13.5">
      <c r="A70" s="54"/>
      <c r="B70" s="68" t="s">
        <v>12</v>
      </c>
      <c r="C70" s="68" t="s">
        <v>26</v>
      </c>
      <c r="D70" s="55" t="str">
        <f>VLOOKUP($B70,Letters!$C$4:$D$27,2,FALSE) &amp; VLOOKUP($C70,Letters!$C$4:$D$27,2,FALSE)</f>
        <v>FM</v>
      </c>
      <c r="E70" s="5" t="s">
        <v>632</v>
      </c>
      <c r="F70" s="5" t="s">
        <v>633</v>
      </c>
      <c r="G70" s="55">
        <f t="shared" si="7"/>
        <v>17</v>
      </c>
      <c r="H70" s="55">
        <f t="shared" si="8"/>
        <v>18</v>
      </c>
      <c r="I70" s="55"/>
    </row>
    <row r="71" ht="13.5">
      <c r="A71" s="60">
        <v>1.0</v>
      </c>
      <c r="B71" s="68" t="s">
        <v>12</v>
      </c>
      <c r="C71" s="68" t="s">
        <v>28</v>
      </c>
      <c r="D71" s="55" t="str">
        <f>VLOOKUP($B71,Letters!$C$4:$D$27,2,FALSE) &amp; VLOOKUP($C71,Letters!$C$4:$D$27,2,FALSE)</f>
        <v>FN</v>
      </c>
      <c r="E71" s="5" t="s">
        <v>634</v>
      </c>
      <c r="F71" s="5" t="s">
        <v>635</v>
      </c>
      <c r="G71" s="55">
        <f t="shared" si="7"/>
        <v>14</v>
      </c>
      <c r="H71" s="55">
        <f t="shared" si="8"/>
        <v>16</v>
      </c>
      <c r="I71" s="55"/>
    </row>
    <row r="72" ht="13.5">
      <c r="A72" s="54"/>
      <c r="B72" s="68" t="s">
        <v>12</v>
      </c>
      <c r="C72" s="68" t="s">
        <v>30</v>
      </c>
      <c r="D72" s="55" t="str">
        <f>VLOOKUP($B72,Letters!$C$4:$D$27,2,FALSE) &amp; VLOOKUP($C72,Letters!$C$4:$D$27,2,FALSE)</f>
        <v>FO</v>
      </c>
      <c r="E72" s="5" t="s">
        <v>636</v>
      </c>
      <c r="F72" s="5" t="s">
        <v>637</v>
      </c>
      <c r="G72" s="55">
        <f t="shared" si="7"/>
        <v>11</v>
      </c>
      <c r="H72" s="55">
        <f t="shared" si="8"/>
        <v>12</v>
      </c>
      <c r="I72" s="55"/>
    </row>
    <row r="73" ht="13.5">
      <c r="A73" s="54"/>
      <c r="B73" s="68" t="s">
        <v>12</v>
      </c>
      <c r="C73" s="68" t="s">
        <v>32</v>
      </c>
      <c r="D73" s="55" t="str">
        <f>VLOOKUP($B73,Letters!$C$4:$D$27,2,FALSE) &amp; VLOOKUP($C73,Letters!$C$4:$D$27,2,FALSE)</f>
        <v>FP</v>
      </c>
      <c r="E73" s="68" t="s">
        <v>638</v>
      </c>
      <c r="F73" s="5" t="s">
        <v>639</v>
      </c>
      <c r="G73" s="55">
        <f t="shared" si="7"/>
        <v>15</v>
      </c>
      <c r="H73" s="55">
        <f t="shared" si="8"/>
        <v>16</v>
      </c>
      <c r="I73" s="55"/>
    </row>
    <row r="74" ht="13.5">
      <c r="A74" s="60">
        <v>1.0</v>
      </c>
      <c r="B74" s="68" t="s">
        <v>12</v>
      </c>
      <c r="C74" s="68" t="s">
        <v>34</v>
      </c>
      <c r="D74" s="55" t="str">
        <f>VLOOKUP($B74,Letters!$C$4:$D$27,2,FALSE) &amp; VLOOKUP($C74,Letters!$C$4:$D$27,2,FALSE)</f>
        <v>FA</v>
      </c>
      <c r="E74" s="5" t="s">
        <v>640</v>
      </c>
      <c r="F74" s="5" t="s">
        <v>641</v>
      </c>
      <c r="G74" s="55">
        <f t="shared" si="7"/>
        <v>15</v>
      </c>
      <c r="H74" s="55">
        <f t="shared" si="8"/>
        <v>18</v>
      </c>
      <c r="I74" s="55"/>
    </row>
    <row r="75" ht="13.5">
      <c r="A75" s="54"/>
      <c r="B75" s="68" t="s">
        <v>12</v>
      </c>
      <c r="C75" s="68" t="s">
        <v>37</v>
      </c>
      <c r="D75" s="55" t="str">
        <f>VLOOKUP($B75,Letters!$C$4:$D$27,2,FALSE) &amp; VLOOKUP($C75,Letters!$C$4:$D$27,2,FALSE)</f>
        <v>FS</v>
      </c>
      <c r="E75" s="5" t="s">
        <v>642</v>
      </c>
      <c r="F75" s="5" t="s">
        <v>643</v>
      </c>
      <c r="G75" s="55">
        <f t="shared" si="7"/>
        <v>13</v>
      </c>
      <c r="H75" s="55">
        <f t="shared" si="8"/>
        <v>14</v>
      </c>
      <c r="I75" s="55"/>
    </row>
    <row r="76" ht="13.5">
      <c r="A76" s="54"/>
      <c r="B76" s="68" t="s">
        <v>12</v>
      </c>
      <c r="C76" s="68" t="s">
        <v>39</v>
      </c>
      <c r="D76" s="55" t="str">
        <f>VLOOKUP($B76,Letters!$C$4:$D$27,2,FALSE) &amp; VLOOKUP($C76,Letters!$C$4:$D$27,2,FALSE)</f>
        <v>FT</v>
      </c>
      <c r="E76" s="5" t="s">
        <v>644</v>
      </c>
      <c r="F76" s="5" t="s">
        <v>645</v>
      </c>
      <c r="G76" s="55">
        <f t="shared" si="7"/>
        <v>13</v>
      </c>
      <c r="H76" s="55">
        <f t="shared" si="8"/>
        <v>16</v>
      </c>
      <c r="I76" s="55"/>
    </row>
    <row r="77" ht="13.5">
      <c r="A77" s="60">
        <v>1.0</v>
      </c>
      <c r="B77" s="68" t="s">
        <v>12</v>
      </c>
      <c r="C77" s="68" t="s">
        <v>41</v>
      </c>
      <c r="D77" s="55" t="str">
        <f>VLOOKUP($B77,Letters!$C$4:$D$27,2,FALSE) &amp; VLOOKUP($C77,Letters!$C$4:$D$27,2,FALSE)</f>
        <v>FU</v>
      </c>
      <c r="E77" s="5" t="s">
        <v>646</v>
      </c>
      <c r="F77" s="5" t="s">
        <v>647</v>
      </c>
      <c r="G77" s="55">
        <f t="shared" si="7"/>
        <v>11</v>
      </c>
      <c r="H77" s="55">
        <f t="shared" si="8"/>
        <v>14</v>
      </c>
      <c r="I77" s="55"/>
    </row>
    <row r="78" ht="13.5">
      <c r="A78" s="54"/>
      <c r="B78" s="68" t="s">
        <v>12</v>
      </c>
      <c r="C78" s="68" t="s">
        <v>43</v>
      </c>
      <c r="D78" s="55" t="str">
        <f>VLOOKUP($B78,Letters!$C$4:$D$27,2,FALSE) &amp; VLOOKUP($C78,Letters!$C$4:$D$27,2,FALSE)</f>
        <v>FV</v>
      </c>
      <c r="E78" s="5" t="s">
        <v>648</v>
      </c>
      <c r="F78" s="5" t="s">
        <v>649</v>
      </c>
      <c r="G78" s="55">
        <f t="shared" si="7"/>
        <v>13</v>
      </c>
      <c r="H78" s="55">
        <f t="shared" si="8"/>
        <v>16</v>
      </c>
      <c r="I78" s="55"/>
    </row>
    <row r="79" ht="13.5">
      <c r="A79" s="54"/>
      <c r="B79" s="68" t="s">
        <v>12</v>
      </c>
      <c r="C79" s="68" t="s">
        <v>45</v>
      </c>
      <c r="D79" s="55" t="str">
        <f>VLOOKUP($B79,Letters!$C$4:$D$27,2,FALSE) &amp; VLOOKUP($C79,Letters!$C$4:$D$27,2,FALSE)</f>
        <v>FW</v>
      </c>
      <c r="E79" s="5" t="s">
        <v>650</v>
      </c>
      <c r="F79" s="5" t="s">
        <v>651</v>
      </c>
      <c r="G79" s="55">
        <f t="shared" si="7"/>
        <v>15</v>
      </c>
      <c r="H79" s="55">
        <f t="shared" si="8"/>
        <v>16</v>
      </c>
      <c r="I79" s="55"/>
    </row>
    <row r="80" ht="13.5">
      <c r="A80" s="54"/>
      <c r="B80" s="68" t="s">
        <v>12</v>
      </c>
      <c r="C80" s="68" t="s">
        <v>47</v>
      </c>
      <c r="D80" s="55" t="str">
        <f>VLOOKUP($B80,Letters!$C$4:$D$27,2,FALSE) &amp; VLOOKUP($C80,Letters!$C$4:$D$27,2,FALSE)</f>
        <v>FE</v>
      </c>
      <c r="E80" s="5" t="s">
        <v>652</v>
      </c>
      <c r="F80" s="5" t="s">
        <v>653</v>
      </c>
      <c r="G80" s="55">
        <f t="shared" si="7"/>
        <v>11</v>
      </c>
      <c r="H80" s="55">
        <f t="shared" si="8"/>
        <v>16</v>
      </c>
      <c r="I80" s="56">
        <f>AVERAGE($H63:$H80)</f>
        <v>15.33333333</v>
      </c>
    </row>
    <row r="81">
      <c r="A81" s="54"/>
      <c r="B81" s="55"/>
      <c r="C81" s="55"/>
      <c r="D81" s="55"/>
      <c r="E81" s="5"/>
      <c r="F81" s="55"/>
      <c r="G81" s="55"/>
      <c r="H81" s="55"/>
      <c r="I81" s="55"/>
    </row>
    <row r="82" ht="13.5">
      <c r="A82" s="60">
        <v>1.0</v>
      </c>
      <c r="B82" s="5" t="s">
        <v>14</v>
      </c>
      <c r="C82" s="68" t="s">
        <v>5</v>
      </c>
      <c r="D82" s="55" t="str">
        <f>VLOOKUP($B82,Letters!$C$4:$D$27,2,FALSE) &amp; VLOOKUP($C82,Letters!$C$4:$D$27,2,FALSE)</f>
        <v>GB</v>
      </c>
      <c r="E82" s="5" t="s">
        <v>654</v>
      </c>
      <c r="F82" s="5" t="s">
        <v>655</v>
      </c>
      <c r="G82" s="55">
        <f t="shared" ref="G82:G99" si="9">(len($F82)-len(SUBSTITUTE($F82,"R","")))+(len($F82)-len(SUBSTITUTE($F82,"L","")))+(len($F82)-len(SUBSTITUTE($F82,"U","")))+(len($F82)-len(SUBSTITUTE($F82,"D","")))+(len($F82)-len(SUBSTITUTE($F82,"F","")))+(len($F82)-len(SUBSTITUTE($F82,"B","")))</f>
        <v>9</v>
      </c>
      <c r="H82" s="55">
        <f t="shared" ref="H82:H99" si="10">(len($F82)-len(SUBSTITUTE($F82,"R","")))+(len($F82)-len(SUBSTITUTE($F82,"L","")))+(len($F82)-len(SUBSTITUTE($F82,"U","")))+(len($F82)-len(SUBSTITUTE($F82,"D","")))+(len($F82)-len(SUBSTITUTE($F82,"F","")))+(len($F82)-len(SUBSTITUTE($F82,"B","")))+(len($F82)-len(SUBSTITUTE($F82,"2","")))</f>
        <v>10</v>
      </c>
      <c r="I82" s="55"/>
    </row>
    <row r="83" ht="13.5">
      <c r="A83" s="60">
        <v>1.0</v>
      </c>
      <c r="B83" s="5" t="s">
        <v>14</v>
      </c>
      <c r="C83" s="68" t="s">
        <v>7</v>
      </c>
      <c r="D83" s="55" t="str">
        <f>VLOOKUP($B83,Letters!$C$4:$D$27,2,FALSE) &amp; VLOOKUP($C83,Letters!$C$4:$D$27,2,FALSE)</f>
        <v>GC</v>
      </c>
      <c r="E83" s="5" t="s">
        <v>656</v>
      </c>
      <c r="F83" s="5" t="s">
        <v>657</v>
      </c>
      <c r="G83" s="55">
        <f t="shared" si="9"/>
        <v>8</v>
      </c>
      <c r="H83" s="55">
        <f t="shared" si="10"/>
        <v>10</v>
      </c>
      <c r="I83" s="55"/>
    </row>
    <row r="84" ht="13.5">
      <c r="A84" s="60">
        <v>1.0</v>
      </c>
      <c r="B84" s="5" t="s">
        <v>14</v>
      </c>
      <c r="C84" s="68" t="s">
        <v>9</v>
      </c>
      <c r="D84" s="55" t="str">
        <f>VLOOKUP($B84,Letters!$C$4:$D$27,2,FALSE) &amp; VLOOKUP($C84,Letters!$C$4:$D$27,2,FALSE)</f>
        <v>GD</v>
      </c>
      <c r="E84" s="5" t="s">
        <v>658</v>
      </c>
      <c r="F84" s="5" t="s">
        <v>659</v>
      </c>
      <c r="G84" s="55">
        <f t="shared" si="9"/>
        <v>9</v>
      </c>
      <c r="H84" s="55">
        <f t="shared" si="10"/>
        <v>10</v>
      </c>
      <c r="I84" s="55"/>
    </row>
    <row r="85" ht="13.5">
      <c r="A85" s="60">
        <v>1.0</v>
      </c>
      <c r="B85" s="5" t="s">
        <v>14</v>
      </c>
      <c r="C85" s="68" t="s">
        <v>12</v>
      </c>
      <c r="D85" s="55" t="str">
        <f>VLOOKUP($B85,Letters!$C$4:$D$27,2,FALSE) &amp; VLOOKUP($C85,Letters!$C$4:$D$27,2,FALSE)</f>
        <v>GF</v>
      </c>
      <c r="E85" s="5" t="s">
        <v>660</v>
      </c>
      <c r="F85" s="5" t="s">
        <v>661</v>
      </c>
      <c r="G85" s="55">
        <f t="shared" si="9"/>
        <v>13</v>
      </c>
      <c r="H85" s="55">
        <f t="shared" si="10"/>
        <v>14</v>
      </c>
      <c r="I85" s="55"/>
    </row>
    <row r="86" ht="13.5">
      <c r="A86" s="60">
        <v>1.0</v>
      </c>
      <c r="B86" s="5" t="s">
        <v>14</v>
      </c>
      <c r="C86" s="68" t="s">
        <v>16</v>
      </c>
      <c r="D86" s="55" t="str">
        <f>VLOOKUP($B86,Letters!$C$4:$D$27,2,FALSE) &amp; VLOOKUP($C86,Letters!$C$4:$D$27,2,FALSE)</f>
        <v>GH</v>
      </c>
      <c r="E86" s="5" t="s">
        <v>662</v>
      </c>
      <c r="F86" s="5" t="s">
        <v>663</v>
      </c>
      <c r="G86" s="55">
        <f t="shared" si="9"/>
        <v>10</v>
      </c>
      <c r="H86" s="55">
        <f t="shared" si="10"/>
        <v>10</v>
      </c>
      <c r="I86" s="55"/>
    </row>
    <row r="87" ht="13.5">
      <c r="A87" s="60">
        <v>1.0</v>
      </c>
      <c r="B87" s="5" t="s">
        <v>14</v>
      </c>
      <c r="C87" s="68" t="s">
        <v>18</v>
      </c>
      <c r="D87" s="55" t="str">
        <f>VLOOKUP($B87,Letters!$C$4:$D$27,2,FALSE) &amp; VLOOKUP($C87,Letters!$C$4:$D$27,2,FALSE)</f>
        <v>GI</v>
      </c>
      <c r="E87" s="5" t="s">
        <v>664</v>
      </c>
      <c r="F87" s="5" t="s">
        <v>665</v>
      </c>
      <c r="G87" s="55">
        <f t="shared" si="9"/>
        <v>14</v>
      </c>
      <c r="H87" s="55">
        <f t="shared" si="10"/>
        <v>16</v>
      </c>
      <c r="I87" s="55"/>
    </row>
    <row r="88" ht="13.5">
      <c r="A88" s="60">
        <v>1.0</v>
      </c>
      <c r="B88" s="5" t="s">
        <v>14</v>
      </c>
      <c r="C88" s="68" t="s">
        <v>20</v>
      </c>
      <c r="D88" s="55" t="str">
        <f>VLOOKUP($B88,Letters!$C$4:$D$27,2,FALSE) &amp; VLOOKUP($C88,Letters!$C$4:$D$27,2,FALSE)</f>
        <v>GR</v>
      </c>
      <c r="E88" s="5" t="s">
        <v>666</v>
      </c>
      <c r="F88" s="5" t="s">
        <v>667</v>
      </c>
      <c r="G88" s="55">
        <f t="shared" si="9"/>
        <v>11</v>
      </c>
      <c r="H88" s="55">
        <f t="shared" si="10"/>
        <v>12</v>
      </c>
      <c r="I88" s="55"/>
    </row>
    <row r="89" ht="13.5">
      <c r="A89" s="60">
        <v>1.0</v>
      </c>
      <c r="B89" s="5" t="s">
        <v>14</v>
      </c>
      <c r="C89" s="68" t="s">
        <v>22</v>
      </c>
      <c r="D89" s="55" t="str">
        <f>VLOOKUP($B89,Letters!$C$4:$D$27,2,FALSE) &amp; VLOOKUP($C89,Letters!$C$4:$D$27,2,FALSE)</f>
        <v>GK</v>
      </c>
      <c r="E89" s="5" t="s">
        <v>668</v>
      </c>
      <c r="F89" s="5" t="s">
        <v>669</v>
      </c>
      <c r="G89" s="55">
        <f t="shared" si="9"/>
        <v>8</v>
      </c>
      <c r="H89" s="55">
        <f t="shared" si="10"/>
        <v>10</v>
      </c>
      <c r="I89" s="55"/>
    </row>
    <row r="90" ht="13.5">
      <c r="A90" s="60">
        <v>1.0</v>
      </c>
      <c r="B90" s="5" t="s">
        <v>14</v>
      </c>
      <c r="C90" s="68" t="s">
        <v>26</v>
      </c>
      <c r="D90" s="55" t="str">
        <f>VLOOKUP($B90,Letters!$C$4:$D$27,2,FALSE) &amp; VLOOKUP($C90,Letters!$C$4:$D$27,2,FALSE)</f>
        <v>GM</v>
      </c>
      <c r="E90" s="5" t="s">
        <v>670</v>
      </c>
      <c r="F90" s="5" t="s">
        <v>671</v>
      </c>
      <c r="G90" s="55">
        <f t="shared" si="9"/>
        <v>11</v>
      </c>
      <c r="H90" s="55">
        <f t="shared" si="10"/>
        <v>12</v>
      </c>
      <c r="I90" s="55"/>
    </row>
    <row r="91" ht="13.5">
      <c r="A91" s="60">
        <v>1.0</v>
      </c>
      <c r="B91" s="5" t="s">
        <v>14</v>
      </c>
      <c r="C91" s="68" t="s">
        <v>28</v>
      </c>
      <c r="D91" s="55" t="str">
        <f>VLOOKUP($B91,Letters!$C$4:$D$27,2,FALSE) &amp; VLOOKUP($C91,Letters!$C$4:$D$27,2,FALSE)</f>
        <v>GN</v>
      </c>
      <c r="E91" s="5" t="s">
        <v>672</v>
      </c>
      <c r="F91" s="5" t="s">
        <v>673</v>
      </c>
      <c r="G91" s="55">
        <f t="shared" si="9"/>
        <v>12</v>
      </c>
      <c r="H91" s="55">
        <f t="shared" si="10"/>
        <v>14</v>
      </c>
      <c r="I91" s="55"/>
    </row>
    <row r="92" ht="13.5">
      <c r="A92" s="60">
        <v>1.0</v>
      </c>
      <c r="B92" s="5" t="s">
        <v>14</v>
      </c>
      <c r="C92" s="68" t="s">
        <v>30</v>
      </c>
      <c r="D92" s="55" t="str">
        <f>VLOOKUP($B92,Letters!$C$4:$D$27,2,FALSE) &amp; VLOOKUP($C92,Letters!$C$4:$D$27,2,FALSE)</f>
        <v>GO</v>
      </c>
      <c r="E92" s="5" t="s">
        <v>674</v>
      </c>
      <c r="F92" s="5" t="s">
        <v>675</v>
      </c>
      <c r="G92" s="55">
        <f t="shared" si="9"/>
        <v>9</v>
      </c>
      <c r="H92" s="55">
        <f t="shared" si="10"/>
        <v>12</v>
      </c>
      <c r="I92" s="55"/>
    </row>
    <row r="93" ht="13.5">
      <c r="A93" s="60">
        <v>1.0</v>
      </c>
      <c r="B93" s="5" t="s">
        <v>14</v>
      </c>
      <c r="C93" s="68" t="s">
        <v>32</v>
      </c>
      <c r="D93" s="55" t="str">
        <f>VLOOKUP($B93,Letters!$C$4:$D$27,2,FALSE) &amp; VLOOKUP($C93,Letters!$C$4:$D$27,2,FALSE)</f>
        <v>GP</v>
      </c>
      <c r="E93" s="5" t="s">
        <v>676</v>
      </c>
      <c r="F93" s="5" t="s">
        <v>677</v>
      </c>
      <c r="G93" s="55">
        <f t="shared" si="9"/>
        <v>13</v>
      </c>
      <c r="H93" s="55">
        <f t="shared" si="10"/>
        <v>14</v>
      </c>
      <c r="I93" s="55"/>
    </row>
    <row r="94" ht="13.5">
      <c r="A94" s="60">
        <v>1.0</v>
      </c>
      <c r="B94" s="5" t="s">
        <v>14</v>
      </c>
      <c r="C94" s="68" t="s">
        <v>34</v>
      </c>
      <c r="D94" s="55" t="str">
        <f>VLOOKUP($B94,Letters!$C$4:$D$27,2,FALSE) &amp; VLOOKUP($C94,Letters!$C$4:$D$27,2,FALSE)</f>
        <v>GA</v>
      </c>
      <c r="E94" s="5" t="s">
        <v>678</v>
      </c>
      <c r="F94" s="5" t="s">
        <v>679</v>
      </c>
      <c r="G94" s="55">
        <f t="shared" si="9"/>
        <v>9</v>
      </c>
      <c r="H94" s="55">
        <f t="shared" si="10"/>
        <v>12</v>
      </c>
      <c r="I94" s="55"/>
    </row>
    <row r="95" ht="13.5">
      <c r="A95" s="60">
        <v>1.0</v>
      </c>
      <c r="B95" s="5" t="s">
        <v>14</v>
      </c>
      <c r="C95" s="68" t="s">
        <v>37</v>
      </c>
      <c r="D95" s="55" t="str">
        <f>VLOOKUP($B95,Letters!$C$4:$D$27,2,FALSE) &amp; VLOOKUP($C95,Letters!$C$4:$D$27,2,FALSE)</f>
        <v>GS</v>
      </c>
      <c r="E95" s="5" t="s">
        <v>680</v>
      </c>
      <c r="F95" s="5" t="s">
        <v>681</v>
      </c>
      <c r="G95" s="55">
        <f t="shared" si="9"/>
        <v>9</v>
      </c>
      <c r="H95" s="55">
        <f t="shared" si="10"/>
        <v>12</v>
      </c>
      <c r="I95" s="55"/>
    </row>
    <row r="96" ht="13.5">
      <c r="A96" s="60">
        <v>1.0</v>
      </c>
      <c r="B96" s="5" t="s">
        <v>14</v>
      </c>
      <c r="C96" s="68" t="s">
        <v>39</v>
      </c>
      <c r="D96" s="55" t="str">
        <f>VLOOKUP($B96,Letters!$C$4:$D$27,2,FALSE) &amp; VLOOKUP($C96,Letters!$C$4:$D$27,2,FALSE)</f>
        <v>GT</v>
      </c>
      <c r="E96" s="5" t="s">
        <v>682</v>
      </c>
      <c r="F96" s="5" t="s">
        <v>683</v>
      </c>
      <c r="G96" s="55">
        <f t="shared" si="9"/>
        <v>11</v>
      </c>
      <c r="H96" s="55">
        <f t="shared" si="10"/>
        <v>12</v>
      </c>
      <c r="I96" s="55"/>
    </row>
    <row r="97" ht="13.5">
      <c r="A97" s="60">
        <v>1.0</v>
      </c>
      <c r="B97" s="5" t="s">
        <v>14</v>
      </c>
      <c r="C97" s="68" t="s">
        <v>43</v>
      </c>
      <c r="D97" s="55" t="str">
        <f>VLOOKUP($B97,Letters!$C$4:$D$27,2,FALSE) &amp; VLOOKUP($C97,Letters!$C$4:$D$27,2,FALSE)</f>
        <v>GV</v>
      </c>
      <c r="E97" s="5" t="s">
        <v>684</v>
      </c>
      <c r="F97" s="5" t="s">
        <v>685</v>
      </c>
      <c r="G97" s="55">
        <f t="shared" si="9"/>
        <v>15</v>
      </c>
      <c r="H97" s="55">
        <f t="shared" si="10"/>
        <v>16</v>
      </c>
      <c r="I97" s="55"/>
    </row>
    <row r="98" ht="13.5">
      <c r="A98" s="60">
        <v>1.0</v>
      </c>
      <c r="B98" s="5" t="s">
        <v>14</v>
      </c>
      <c r="C98" s="68" t="s">
        <v>45</v>
      </c>
      <c r="D98" s="55" t="str">
        <f>VLOOKUP($B98,Letters!$C$4:$D$27,2,FALSE) &amp; VLOOKUP($C98,Letters!$C$4:$D$27,2,FALSE)</f>
        <v>GW</v>
      </c>
      <c r="E98" s="5" t="s">
        <v>686</v>
      </c>
      <c r="F98" s="5" t="s">
        <v>687</v>
      </c>
      <c r="G98" s="55">
        <f t="shared" si="9"/>
        <v>12</v>
      </c>
      <c r="H98" s="55">
        <f t="shared" si="10"/>
        <v>12</v>
      </c>
      <c r="I98" s="55"/>
    </row>
    <row r="99" ht="13.5">
      <c r="A99" s="60">
        <v>1.0</v>
      </c>
      <c r="B99" s="5" t="s">
        <v>14</v>
      </c>
      <c r="C99" s="68" t="s">
        <v>47</v>
      </c>
      <c r="D99" s="55" t="str">
        <f>VLOOKUP($B99,Letters!$C$4:$D$27,2,FALSE) &amp; VLOOKUP($C99,Letters!$C$4:$D$27,2,FALSE)</f>
        <v>GE</v>
      </c>
      <c r="E99" s="5" t="s">
        <v>688</v>
      </c>
      <c r="F99" s="5" t="s">
        <v>689</v>
      </c>
      <c r="G99" s="55">
        <f t="shared" si="9"/>
        <v>15</v>
      </c>
      <c r="H99" s="55">
        <f t="shared" si="10"/>
        <v>16</v>
      </c>
      <c r="I99" s="56">
        <f>AVERAGE($H82:$H99)</f>
        <v>12.44444444</v>
      </c>
    </row>
    <row r="100">
      <c r="A100" s="54"/>
      <c r="B100" s="55"/>
      <c r="C100" s="55"/>
      <c r="D100" s="55"/>
      <c r="E100" s="5"/>
      <c r="F100" s="55"/>
      <c r="G100" s="55"/>
      <c r="H100" s="55"/>
      <c r="I100" s="55"/>
    </row>
    <row r="101" ht="13.5">
      <c r="A101" s="60">
        <v>1.0</v>
      </c>
      <c r="B101" s="5" t="s">
        <v>16</v>
      </c>
      <c r="C101" s="55" t="s">
        <v>5</v>
      </c>
      <c r="D101" s="55" t="str">
        <f>VLOOKUP($B101,Letters!$C$4:$D$27,2,FALSE) &amp; VLOOKUP($C101,Letters!$C$4:$D$27,2,FALSE)</f>
        <v>HB</v>
      </c>
      <c r="E101" s="5" t="s">
        <v>690</v>
      </c>
      <c r="F101" s="5" t="s">
        <v>691</v>
      </c>
      <c r="G101" s="55">
        <f t="shared" ref="G101:G118" si="11">(len($F101)-len(SUBSTITUTE($F101,"R","")))+(len($F101)-len(SUBSTITUTE($F101,"L","")))+(len($F101)-len(SUBSTITUTE($F101,"U","")))+(len($F101)-len(SUBSTITUTE($F101,"D","")))+(len($F101)-len(SUBSTITUTE($F101,"F","")))+(len($F101)-len(SUBSTITUTE($F101,"B","")))</f>
        <v>8</v>
      </c>
      <c r="H101" s="55">
        <f t="shared" ref="H101:H118" si="12">(len($F101)-len(SUBSTITUTE($F101,"R","")))+(len($F101)-len(SUBSTITUTE($F101,"L","")))+(len($F101)-len(SUBSTITUTE($F101,"U","")))+(len($F101)-len(SUBSTITUTE($F101,"D","")))+(len($F101)-len(SUBSTITUTE($F101,"F","")))+(len($F101)-len(SUBSTITUTE($F101,"B","")))+(len($F101)-len(SUBSTITUTE($F101,"2","")))</f>
        <v>8</v>
      </c>
      <c r="I101" s="55"/>
    </row>
    <row r="102" ht="13.5">
      <c r="A102" s="54"/>
      <c r="B102" s="5" t="s">
        <v>16</v>
      </c>
      <c r="C102" s="55" t="s">
        <v>7</v>
      </c>
      <c r="D102" s="55" t="str">
        <f>VLOOKUP($B102,Letters!$C$4:$D$27,2,FALSE) &amp; VLOOKUP($C102,Letters!$C$4:$D$27,2,FALSE)</f>
        <v>HC</v>
      </c>
      <c r="E102" s="5" t="s">
        <v>692</v>
      </c>
      <c r="F102" s="5" t="s">
        <v>693</v>
      </c>
      <c r="G102" s="55">
        <f t="shared" si="11"/>
        <v>9</v>
      </c>
      <c r="H102" s="55">
        <f t="shared" si="12"/>
        <v>10</v>
      </c>
      <c r="I102" s="55"/>
    </row>
    <row r="103" ht="13.5">
      <c r="A103" s="54"/>
      <c r="B103" s="5" t="s">
        <v>16</v>
      </c>
      <c r="C103" s="55" t="s">
        <v>9</v>
      </c>
      <c r="D103" s="55" t="str">
        <f>VLOOKUP($B103,Letters!$C$4:$D$27,2,FALSE) &amp; VLOOKUP($C103,Letters!$C$4:$D$27,2,FALSE)</f>
        <v>HD</v>
      </c>
      <c r="E103" s="5" t="s">
        <v>694</v>
      </c>
      <c r="F103" s="5" t="s">
        <v>695</v>
      </c>
      <c r="G103" s="55">
        <f t="shared" si="11"/>
        <v>9</v>
      </c>
      <c r="H103" s="55">
        <f t="shared" si="12"/>
        <v>10</v>
      </c>
      <c r="I103" s="55"/>
    </row>
    <row r="104" ht="13.5">
      <c r="A104" s="54"/>
      <c r="B104" s="5" t="s">
        <v>16</v>
      </c>
      <c r="C104" s="55" t="s">
        <v>12</v>
      </c>
      <c r="D104" s="55" t="str">
        <f>VLOOKUP($B104,Letters!$C$4:$D$27,2,FALSE) &amp; VLOOKUP($C104,Letters!$C$4:$D$27,2,FALSE)</f>
        <v>HF</v>
      </c>
      <c r="E104" s="5" t="s">
        <v>696</v>
      </c>
      <c r="F104" s="5" t="s">
        <v>697</v>
      </c>
      <c r="G104" s="55">
        <f t="shared" si="11"/>
        <v>11</v>
      </c>
      <c r="H104" s="55">
        <f t="shared" si="12"/>
        <v>14</v>
      </c>
      <c r="I104" s="55"/>
    </row>
    <row r="105" ht="13.5">
      <c r="A105" s="60">
        <v>1.0</v>
      </c>
      <c r="B105" s="5" t="s">
        <v>16</v>
      </c>
      <c r="C105" s="55" t="s">
        <v>14</v>
      </c>
      <c r="D105" s="55" t="str">
        <f>VLOOKUP($B105,Letters!$C$4:$D$27,2,FALSE) &amp; VLOOKUP($C105,Letters!$C$4:$D$27,2,FALSE)</f>
        <v>HG</v>
      </c>
      <c r="E105" s="5" t="s">
        <v>698</v>
      </c>
      <c r="F105" s="5" t="s">
        <v>699</v>
      </c>
      <c r="G105" s="55">
        <f t="shared" si="11"/>
        <v>10</v>
      </c>
      <c r="H105" s="55">
        <f t="shared" si="12"/>
        <v>10</v>
      </c>
      <c r="I105" s="55"/>
    </row>
    <row r="106" ht="13.5">
      <c r="A106" s="54"/>
      <c r="B106" s="5" t="s">
        <v>16</v>
      </c>
      <c r="C106" s="55" t="s">
        <v>18</v>
      </c>
      <c r="D106" s="55" t="str">
        <f>VLOOKUP($B106,Letters!$C$4:$D$27,2,FALSE) &amp; VLOOKUP($C106,Letters!$C$4:$D$27,2,FALSE)</f>
        <v>HI</v>
      </c>
      <c r="E106" s="5" t="s">
        <v>700</v>
      </c>
      <c r="F106" s="5" t="s">
        <v>701</v>
      </c>
      <c r="G106" s="55">
        <f t="shared" si="11"/>
        <v>14</v>
      </c>
      <c r="H106" s="55">
        <f t="shared" si="12"/>
        <v>14</v>
      </c>
      <c r="I106" s="55"/>
    </row>
    <row r="107" ht="13.5">
      <c r="A107" s="54"/>
      <c r="B107" s="5" t="s">
        <v>16</v>
      </c>
      <c r="C107" s="55" t="s">
        <v>20</v>
      </c>
      <c r="D107" s="55" t="str">
        <f>VLOOKUP($B107,Letters!$C$4:$D$27,2,FALSE) &amp; VLOOKUP($C107,Letters!$C$4:$D$27,2,FALSE)</f>
        <v>HR</v>
      </c>
      <c r="E107" s="5" t="s">
        <v>702</v>
      </c>
      <c r="F107" s="5" t="s">
        <v>703</v>
      </c>
      <c r="G107" s="55">
        <f t="shared" si="11"/>
        <v>9</v>
      </c>
      <c r="H107" s="55">
        <f t="shared" si="12"/>
        <v>10</v>
      </c>
      <c r="I107" s="55"/>
    </row>
    <row r="108" ht="13.5">
      <c r="A108" s="54"/>
      <c r="B108" s="5" t="s">
        <v>16</v>
      </c>
      <c r="C108" s="55" t="s">
        <v>22</v>
      </c>
      <c r="D108" s="55" t="str">
        <f>VLOOKUP($B108,Letters!$C$4:$D$27,2,FALSE) &amp; VLOOKUP($C108,Letters!$C$4:$D$27,2,FALSE)</f>
        <v>HK</v>
      </c>
      <c r="E108" s="5" t="s">
        <v>704</v>
      </c>
      <c r="F108" s="5" t="s">
        <v>705</v>
      </c>
      <c r="G108" s="55">
        <f t="shared" si="11"/>
        <v>11</v>
      </c>
      <c r="H108" s="55">
        <f t="shared" si="12"/>
        <v>12</v>
      </c>
      <c r="I108" s="55"/>
    </row>
    <row r="109" ht="13.5">
      <c r="A109" s="60">
        <v>1.0</v>
      </c>
      <c r="B109" s="5" t="s">
        <v>16</v>
      </c>
      <c r="C109" s="55" t="s">
        <v>24</v>
      </c>
      <c r="D109" s="55" t="str">
        <f>VLOOKUP($B109,Letters!$C$4:$D$27,2,FALSE) &amp; VLOOKUP($C109,Letters!$C$4:$D$27,2,FALSE)</f>
        <v>HL</v>
      </c>
      <c r="E109" s="5" t="s">
        <v>706</v>
      </c>
      <c r="F109" s="5" t="s">
        <v>707</v>
      </c>
      <c r="G109" s="55">
        <f t="shared" si="11"/>
        <v>9</v>
      </c>
      <c r="H109" s="55">
        <f t="shared" si="12"/>
        <v>10</v>
      </c>
      <c r="I109" s="55"/>
    </row>
    <row r="110" ht="13.5">
      <c r="A110" s="54"/>
      <c r="B110" s="5" t="s">
        <v>16</v>
      </c>
      <c r="C110" s="55" t="s">
        <v>26</v>
      </c>
      <c r="D110" s="55" t="str">
        <f>VLOOKUP($B110,Letters!$C$4:$D$27,2,FALSE) &amp; VLOOKUP($C110,Letters!$C$4:$D$27,2,FALSE)</f>
        <v>HM</v>
      </c>
      <c r="E110" s="5" t="s">
        <v>708</v>
      </c>
      <c r="F110" s="5" t="s">
        <v>709</v>
      </c>
      <c r="G110" s="55">
        <f t="shared" si="11"/>
        <v>11</v>
      </c>
      <c r="H110" s="55">
        <f t="shared" si="12"/>
        <v>12</v>
      </c>
      <c r="I110" s="55"/>
    </row>
    <row r="111" ht="13.5">
      <c r="A111" s="60">
        <v>1.0</v>
      </c>
      <c r="B111" s="5" t="s">
        <v>16</v>
      </c>
      <c r="C111" s="55" t="s">
        <v>28</v>
      </c>
      <c r="D111" s="55" t="str">
        <f>VLOOKUP($B111,Letters!$C$4:$D$27,2,FALSE) &amp; VLOOKUP($C111,Letters!$C$4:$D$27,2,FALSE)</f>
        <v>HN</v>
      </c>
      <c r="E111" s="5" t="s">
        <v>710</v>
      </c>
      <c r="F111" s="5" t="s">
        <v>711</v>
      </c>
      <c r="G111" s="55">
        <f t="shared" si="11"/>
        <v>11</v>
      </c>
      <c r="H111" s="55">
        <f t="shared" si="12"/>
        <v>14</v>
      </c>
      <c r="I111" s="55"/>
    </row>
    <row r="112" ht="13.5">
      <c r="A112" s="54"/>
      <c r="B112" s="5" t="s">
        <v>16</v>
      </c>
      <c r="C112" s="55" t="s">
        <v>30</v>
      </c>
      <c r="D112" s="55" t="str">
        <f>VLOOKUP($B112,Letters!$C$4:$D$27,2,FALSE) &amp; VLOOKUP($C112,Letters!$C$4:$D$27,2,FALSE)</f>
        <v>HO</v>
      </c>
      <c r="E112" s="5" t="s">
        <v>712</v>
      </c>
      <c r="F112" s="5" t="s">
        <v>713</v>
      </c>
      <c r="G112" s="55">
        <f t="shared" si="11"/>
        <v>11</v>
      </c>
      <c r="H112" s="55">
        <f t="shared" si="12"/>
        <v>12</v>
      </c>
      <c r="I112" s="55"/>
    </row>
    <row r="113" ht="13.5">
      <c r="A113" s="54"/>
      <c r="B113" s="5" t="s">
        <v>16</v>
      </c>
      <c r="C113" s="55" t="s">
        <v>32</v>
      </c>
      <c r="D113" s="55" t="str">
        <f>VLOOKUP($B113,Letters!$C$4:$D$27,2,FALSE) &amp; VLOOKUP($C113,Letters!$C$4:$D$27,2,FALSE)</f>
        <v>HP</v>
      </c>
      <c r="E113" s="5" t="s">
        <v>714</v>
      </c>
      <c r="F113" s="5" t="s">
        <v>715</v>
      </c>
      <c r="G113" s="55">
        <f t="shared" si="11"/>
        <v>9</v>
      </c>
      <c r="H113" s="55">
        <f t="shared" si="12"/>
        <v>10</v>
      </c>
      <c r="I113" s="55"/>
    </row>
    <row r="114" ht="13.5">
      <c r="A114" s="60">
        <v>1.0</v>
      </c>
      <c r="B114" s="5" t="s">
        <v>16</v>
      </c>
      <c r="C114" s="55" t="s">
        <v>34</v>
      </c>
      <c r="D114" s="55" t="str">
        <f>VLOOKUP($B114,Letters!$C$4:$D$27,2,FALSE) &amp; VLOOKUP($C114,Letters!$C$4:$D$27,2,FALSE)</f>
        <v>HA</v>
      </c>
      <c r="E114" s="5" t="s">
        <v>716</v>
      </c>
      <c r="F114" s="5" t="s">
        <v>717</v>
      </c>
      <c r="G114" s="55">
        <f t="shared" si="11"/>
        <v>11</v>
      </c>
      <c r="H114" s="55">
        <f t="shared" si="12"/>
        <v>12</v>
      </c>
      <c r="I114" s="55"/>
    </row>
    <row r="115" ht="13.5">
      <c r="A115" s="54"/>
      <c r="B115" s="5" t="s">
        <v>16</v>
      </c>
      <c r="C115" s="55" t="s">
        <v>39</v>
      </c>
      <c r="D115" s="55" t="str">
        <f>VLOOKUP($B115,Letters!$C$4:$D$27,2,FALSE) &amp; VLOOKUP($C115,Letters!$C$4:$D$27,2,FALSE)</f>
        <v>HT</v>
      </c>
      <c r="E115" s="5" t="s">
        <v>718</v>
      </c>
      <c r="F115" s="5" t="s">
        <v>719</v>
      </c>
      <c r="G115" s="55">
        <f t="shared" si="11"/>
        <v>8</v>
      </c>
      <c r="H115" s="55">
        <f t="shared" si="12"/>
        <v>8</v>
      </c>
      <c r="I115" s="55"/>
    </row>
    <row r="116" ht="13.5">
      <c r="A116" s="60">
        <v>1.0</v>
      </c>
      <c r="B116" s="5" t="s">
        <v>16</v>
      </c>
      <c r="C116" s="55" t="s">
        <v>41</v>
      </c>
      <c r="D116" s="55" t="str">
        <f>VLOOKUP($B116,Letters!$C$4:$D$27,2,FALSE) &amp; VLOOKUP($C116,Letters!$C$4:$D$27,2,FALSE)</f>
        <v>HU</v>
      </c>
      <c r="E116" s="5" t="s">
        <v>720</v>
      </c>
      <c r="F116" s="5" t="s">
        <v>721</v>
      </c>
      <c r="G116" s="55">
        <f t="shared" si="11"/>
        <v>11</v>
      </c>
      <c r="H116" s="55">
        <f t="shared" si="12"/>
        <v>14</v>
      </c>
      <c r="I116" s="55"/>
    </row>
    <row r="117" ht="13.5">
      <c r="A117" s="54"/>
      <c r="B117" s="5" t="s">
        <v>16</v>
      </c>
      <c r="C117" s="55" t="s">
        <v>43</v>
      </c>
      <c r="D117" s="55" t="str">
        <f>VLOOKUP($B117,Letters!$C$4:$D$27,2,FALSE) &amp; VLOOKUP($C117,Letters!$C$4:$D$27,2,FALSE)</f>
        <v>HV</v>
      </c>
      <c r="E117" s="5" t="s">
        <v>722</v>
      </c>
      <c r="F117" s="5" t="s">
        <v>723</v>
      </c>
      <c r="G117" s="55">
        <f t="shared" si="11"/>
        <v>9</v>
      </c>
      <c r="H117" s="55">
        <f t="shared" si="12"/>
        <v>10</v>
      </c>
      <c r="I117" s="55"/>
    </row>
    <row r="118" ht="13.5">
      <c r="A118" s="54"/>
      <c r="B118" s="5" t="s">
        <v>16</v>
      </c>
      <c r="C118" s="55" t="s">
        <v>45</v>
      </c>
      <c r="D118" s="55" t="str">
        <f>VLOOKUP($B118,Letters!$C$4:$D$27,2,FALSE) &amp; VLOOKUP($C118,Letters!$C$4:$D$27,2,FALSE)</f>
        <v>HW</v>
      </c>
      <c r="E118" s="5" t="s">
        <v>724</v>
      </c>
      <c r="F118" s="5" t="s">
        <v>725</v>
      </c>
      <c r="G118" s="55">
        <f t="shared" si="11"/>
        <v>15</v>
      </c>
      <c r="H118" s="55">
        <f t="shared" si="12"/>
        <v>16</v>
      </c>
      <c r="I118" s="56">
        <f>AVERAGE($H101:$H118)</f>
        <v>11.44444444</v>
      </c>
    </row>
    <row r="119">
      <c r="A119" s="54"/>
      <c r="B119" s="55"/>
      <c r="C119" s="55"/>
      <c r="D119" s="55"/>
      <c r="E119" s="5"/>
      <c r="F119" s="55"/>
      <c r="G119" s="55"/>
      <c r="H119" s="55"/>
      <c r="I119" s="55"/>
    </row>
    <row r="120" ht="13.5">
      <c r="A120" s="60">
        <v>1.0</v>
      </c>
      <c r="B120" s="5" t="s">
        <v>18</v>
      </c>
      <c r="C120" s="55" t="s">
        <v>5</v>
      </c>
      <c r="D120" s="55" t="str">
        <f>VLOOKUP($B120,Letters!$C$4:$D$27,2,FALSE) &amp; VLOOKUP($C120,Letters!$C$4:$D$27,2,FALSE)</f>
        <v>IB</v>
      </c>
      <c r="E120" s="5" t="s">
        <v>726</v>
      </c>
      <c r="F120" s="5" t="s">
        <v>727</v>
      </c>
      <c r="G120" s="55">
        <f t="shared" ref="G120:G137" si="13">(len($F120)-len(SUBSTITUTE($F120,"R","")))+(len($F120)-len(SUBSTITUTE($F120,"L","")))+(len($F120)-len(SUBSTITUTE($F120,"U","")))+(len($F120)-len(SUBSTITUTE($F120,"D","")))+(len($F120)-len(SUBSTITUTE($F120,"F","")))+(len($F120)-len(SUBSTITUTE($F120,"B","")))</f>
        <v>8</v>
      </c>
      <c r="H120" s="55">
        <f t="shared" ref="H120:H137" si="14">(len($F120)-len(SUBSTITUTE($F120,"R","")))+(len($F120)-len(SUBSTITUTE($F120,"L","")))+(len($F120)-len(SUBSTITUTE($F120,"U","")))+(len($F120)-len(SUBSTITUTE($F120,"D","")))+(len($F120)-len(SUBSTITUTE($F120,"F","")))+(len($F120)-len(SUBSTITUTE($F120,"B","")))+(len($F120)-len(SUBSTITUTE($F120,"2","")))</f>
        <v>8</v>
      </c>
      <c r="I120" s="55"/>
    </row>
    <row r="121" ht="13.5">
      <c r="A121" s="54"/>
      <c r="B121" s="5" t="s">
        <v>18</v>
      </c>
      <c r="C121" s="55" t="s">
        <v>7</v>
      </c>
      <c r="D121" s="55" t="str">
        <f>VLOOKUP($B121,Letters!$C$4:$D$27,2,FALSE) &amp; VLOOKUP($C121,Letters!$C$4:$D$27,2,FALSE)</f>
        <v>IC</v>
      </c>
      <c r="E121" s="5" t="s">
        <v>728</v>
      </c>
      <c r="F121" s="5" t="s">
        <v>729</v>
      </c>
      <c r="G121" s="55">
        <f t="shared" si="13"/>
        <v>13</v>
      </c>
      <c r="H121" s="55">
        <f t="shared" si="14"/>
        <v>14</v>
      </c>
      <c r="I121" s="55"/>
    </row>
    <row r="122" ht="13.5">
      <c r="A122" s="60">
        <v>1.0</v>
      </c>
      <c r="B122" s="5" t="s">
        <v>18</v>
      </c>
      <c r="C122" s="55" t="s">
        <v>14</v>
      </c>
      <c r="D122" s="55" t="str">
        <f>VLOOKUP($B122,Letters!$C$4:$D$27,2,FALSE) &amp; VLOOKUP($C122,Letters!$C$4:$D$27,2,FALSE)</f>
        <v>IG</v>
      </c>
      <c r="E122" s="5" t="s">
        <v>730</v>
      </c>
      <c r="F122" s="5" t="s">
        <v>731</v>
      </c>
      <c r="G122" s="55">
        <f t="shared" si="13"/>
        <v>9</v>
      </c>
      <c r="H122" s="55">
        <f t="shared" si="14"/>
        <v>12</v>
      </c>
      <c r="I122" s="55"/>
    </row>
    <row r="123" ht="13.5">
      <c r="A123" s="54"/>
      <c r="B123" s="5" t="s">
        <v>18</v>
      </c>
      <c r="C123" s="55" t="s">
        <v>16</v>
      </c>
      <c r="D123" s="55" t="str">
        <f>VLOOKUP($B123,Letters!$C$4:$D$27,2,FALSE) &amp; VLOOKUP($C123,Letters!$C$4:$D$27,2,FALSE)</f>
        <v>IH</v>
      </c>
      <c r="E123" s="5" t="s">
        <v>732</v>
      </c>
      <c r="F123" s="5" t="s">
        <v>733</v>
      </c>
      <c r="G123" s="55">
        <f t="shared" si="13"/>
        <v>14</v>
      </c>
      <c r="H123" s="55">
        <f t="shared" si="14"/>
        <v>14</v>
      </c>
      <c r="I123" s="55"/>
    </row>
    <row r="124" ht="13.5">
      <c r="A124" s="54"/>
      <c r="B124" s="5" t="s">
        <v>18</v>
      </c>
      <c r="C124" s="55" t="s">
        <v>20</v>
      </c>
      <c r="D124" s="55" t="str">
        <f>VLOOKUP($B124,Letters!$C$4:$D$27,2,FALSE) &amp; VLOOKUP($C124,Letters!$C$4:$D$27,2,FALSE)</f>
        <v>IR</v>
      </c>
      <c r="E124" s="5" t="s">
        <v>734</v>
      </c>
      <c r="F124" s="5" t="s">
        <v>735</v>
      </c>
      <c r="G124" s="55">
        <f t="shared" si="13"/>
        <v>8</v>
      </c>
      <c r="H124" s="55">
        <f t="shared" si="14"/>
        <v>8</v>
      </c>
      <c r="I124" s="55"/>
    </row>
    <row r="125" ht="13.5">
      <c r="A125" s="54"/>
      <c r="B125" s="5" t="s">
        <v>18</v>
      </c>
      <c r="C125" s="55" t="s">
        <v>22</v>
      </c>
      <c r="D125" s="55" t="str">
        <f>VLOOKUP($B125,Letters!$C$4:$D$27,2,FALSE) &amp; VLOOKUP($C125,Letters!$C$4:$D$27,2,FALSE)</f>
        <v>IK</v>
      </c>
      <c r="E125" s="5" t="s">
        <v>736</v>
      </c>
      <c r="F125" s="5" t="s">
        <v>737</v>
      </c>
      <c r="G125" s="55">
        <f t="shared" si="13"/>
        <v>16</v>
      </c>
      <c r="H125" s="55">
        <f t="shared" si="14"/>
        <v>16</v>
      </c>
      <c r="I125" s="55"/>
    </row>
    <row r="126" ht="13.5">
      <c r="A126" s="60">
        <v>1.0</v>
      </c>
      <c r="B126" s="5" t="s">
        <v>18</v>
      </c>
      <c r="C126" s="55" t="s">
        <v>24</v>
      </c>
      <c r="D126" s="55" t="str">
        <f>VLOOKUP($B126,Letters!$C$4:$D$27,2,FALSE) &amp; VLOOKUP($C126,Letters!$C$4:$D$27,2,FALSE)</f>
        <v>IL</v>
      </c>
      <c r="E126" s="5" t="s">
        <v>738</v>
      </c>
      <c r="F126" s="5" t="s">
        <v>739</v>
      </c>
      <c r="G126" s="55">
        <f t="shared" si="13"/>
        <v>14</v>
      </c>
      <c r="H126" s="55">
        <f t="shared" si="14"/>
        <v>14</v>
      </c>
      <c r="I126" s="55"/>
    </row>
    <row r="127" ht="13.5">
      <c r="A127" s="54"/>
      <c r="B127" s="5" t="s">
        <v>18</v>
      </c>
      <c r="C127" s="55" t="s">
        <v>26</v>
      </c>
      <c r="D127" s="55" t="str">
        <f>VLOOKUP($B127,Letters!$C$4:$D$27,2,FALSE) &amp; VLOOKUP($C127,Letters!$C$4:$D$27,2,FALSE)</f>
        <v>IM</v>
      </c>
      <c r="E127" s="5" t="s">
        <v>740</v>
      </c>
      <c r="F127" s="5" t="s">
        <v>741</v>
      </c>
      <c r="G127" s="55">
        <f t="shared" si="13"/>
        <v>11</v>
      </c>
      <c r="H127" s="55">
        <f t="shared" si="14"/>
        <v>12</v>
      </c>
      <c r="I127" s="55"/>
    </row>
    <row r="128" ht="13.5">
      <c r="A128" s="60">
        <v>1.0</v>
      </c>
      <c r="B128" s="5" t="s">
        <v>18</v>
      </c>
      <c r="C128" s="55" t="s">
        <v>28</v>
      </c>
      <c r="D128" s="55" t="str">
        <f>VLOOKUP($B128,Letters!$C$4:$D$27,2,FALSE) &amp; VLOOKUP($C128,Letters!$C$4:$D$27,2,FALSE)</f>
        <v>IN</v>
      </c>
      <c r="E128" s="5" t="s">
        <v>742</v>
      </c>
      <c r="F128" s="5" t="s">
        <v>743</v>
      </c>
      <c r="G128" s="55">
        <f t="shared" si="13"/>
        <v>8</v>
      </c>
      <c r="H128" s="55">
        <f t="shared" si="14"/>
        <v>8</v>
      </c>
      <c r="I128" s="55"/>
    </row>
    <row r="129" ht="13.5">
      <c r="A129" s="54"/>
      <c r="B129" s="5" t="s">
        <v>18</v>
      </c>
      <c r="C129" s="55" t="s">
        <v>30</v>
      </c>
      <c r="D129" s="55" t="str">
        <f>VLOOKUP($B129,Letters!$C$4:$D$27,2,FALSE) &amp; VLOOKUP($C129,Letters!$C$4:$D$27,2,FALSE)</f>
        <v>IO</v>
      </c>
      <c r="E129" s="5" t="s">
        <v>744</v>
      </c>
      <c r="F129" s="5" t="s">
        <v>745</v>
      </c>
      <c r="G129" s="55">
        <f t="shared" si="13"/>
        <v>14</v>
      </c>
      <c r="H129" s="55">
        <f t="shared" si="14"/>
        <v>14</v>
      </c>
      <c r="I129" s="55"/>
    </row>
    <row r="130" ht="13.5">
      <c r="A130" s="54"/>
      <c r="B130" s="5" t="s">
        <v>18</v>
      </c>
      <c r="C130" s="55" t="s">
        <v>32</v>
      </c>
      <c r="D130" s="55" t="str">
        <f>VLOOKUP($B130,Letters!$C$4:$D$27,2,FALSE) &amp; VLOOKUP($C130,Letters!$C$4:$D$27,2,FALSE)</f>
        <v>IP</v>
      </c>
      <c r="E130" s="5" t="s">
        <v>746</v>
      </c>
      <c r="F130" s="5" t="s">
        <v>747</v>
      </c>
      <c r="G130" s="55">
        <f t="shared" si="13"/>
        <v>8</v>
      </c>
      <c r="H130" s="55">
        <f t="shared" si="14"/>
        <v>8</v>
      </c>
      <c r="I130" s="55"/>
    </row>
    <row r="131" ht="13.5">
      <c r="A131" s="60">
        <v>1.0</v>
      </c>
      <c r="B131" s="5" t="s">
        <v>18</v>
      </c>
      <c r="C131" s="55" t="s">
        <v>34</v>
      </c>
      <c r="D131" s="55" t="str">
        <f>VLOOKUP($B131,Letters!$C$4:$D$27,2,FALSE) &amp; VLOOKUP($C131,Letters!$C$4:$D$27,2,FALSE)</f>
        <v>IA</v>
      </c>
      <c r="E131" s="5" t="s">
        <v>748</v>
      </c>
      <c r="F131" s="5" t="s">
        <v>749</v>
      </c>
      <c r="G131" s="55">
        <f t="shared" si="13"/>
        <v>13</v>
      </c>
      <c r="H131" s="55">
        <f t="shared" si="14"/>
        <v>14</v>
      </c>
      <c r="I131" s="55"/>
    </row>
    <row r="132" ht="13.5">
      <c r="A132" s="54"/>
      <c r="B132" s="5" t="s">
        <v>18</v>
      </c>
      <c r="C132" s="55" t="s">
        <v>37</v>
      </c>
      <c r="D132" s="55" t="str">
        <f>VLOOKUP($B132,Letters!$C$4:$D$27,2,FALSE) &amp; VLOOKUP($C132,Letters!$C$4:$D$27,2,FALSE)</f>
        <v>IS</v>
      </c>
      <c r="E132" s="5" t="s">
        <v>750</v>
      </c>
      <c r="F132" s="5" t="s">
        <v>751</v>
      </c>
      <c r="G132" s="55">
        <f t="shared" si="13"/>
        <v>16</v>
      </c>
      <c r="H132" s="55">
        <f t="shared" si="14"/>
        <v>16</v>
      </c>
      <c r="I132" s="55"/>
    </row>
    <row r="133" ht="13.5">
      <c r="A133" s="54"/>
      <c r="B133" s="5" t="s">
        <v>18</v>
      </c>
      <c r="C133" s="55" t="s">
        <v>39</v>
      </c>
      <c r="D133" s="55" t="str">
        <f>VLOOKUP($B133,Letters!$C$4:$D$27,2,FALSE) &amp; VLOOKUP($C133,Letters!$C$4:$D$27,2,FALSE)</f>
        <v>IT</v>
      </c>
      <c r="E133" s="5" t="s">
        <v>752</v>
      </c>
      <c r="F133" s="5" t="s">
        <v>753</v>
      </c>
      <c r="G133" s="55">
        <f t="shared" si="13"/>
        <v>8</v>
      </c>
      <c r="H133" s="55">
        <f t="shared" si="14"/>
        <v>8</v>
      </c>
      <c r="I133" s="55"/>
    </row>
    <row r="134" ht="13.5">
      <c r="A134" s="54"/>
      <c r="B134" s="5" t="s">
        <v>18</v>
      </c>
      <c r="C134" s="55" t="s">
        <v>41</v>
      </c>
      <c r="D134" s="55" t="str">
        <f>VLOOKUP($B134,Letters!$C$4:$D$27,2,FALSE) &amp; VLOOKUP($C134,Letters!$C$4:$D$27,2,FALSE)</f>
        <v>IU</v>
      </c>
      <c r="E134" s="5" t="s">
        <v>754</v>
      </c>
      <c r="F134" s="5" t="s">
        <v>755</v>
      </c>
      <c r="G134" s="55">
        <f t="shared" si="13"/>
        <v>16</v>
      </c>
      <c r="H134" s="55">
        <f t="shared" si="14"/>
        <v>16</v>
      </c>
      <c r="I134" s="55"/>
    </row>
    <row r="135" ht="13.5">
      <c r="A135" s="54"/>
      <c r="B135" s="5" t="s">
        <v>18</v>
      </c>
      <c r="C135" s="55" t="s">
        <v>43</v>
      </c>
      <c r="D135" s="55" t="str">
        <f>VLOOKUP($B135,Letters!$C$4:$D$27,2,FALSE) &amp; VLOOKUP($C135,Letters!$C$4:$D$27,2,FALSE)</f>
        <v>IV</v>
      </c>
      <c r="E135" s="5" t="s">
        <v>756</v>
      </c>
      <c r="F135" s="5" t="s">
        <v>757</v>
      </c>
      <c r="G135" s="55">
        <f t="shared" si="13"/>
        <v>8</v>
      </c>
      <c r="H135" s="55">
        <f t="shared" si="14"/>
        <v>10</v>
      </c>
      <c r="I135" s="55"/>
    </row>
    <row r="136" ht="13.5">
      <c r="A136" s="54"/>
      <c r="B136" s="5" t="s">
        <v>18</v>
      </c>
      <c r="C136" s="55" t="s">
        <v>45</v>
      </c>
      <c r="D136" s="55" t="str">
        <f>VLOOKUP($B136,Letters!$C$4:$D$27,2,FALSE) &amp; VLOOKUP($C136,Letters!$C$4:$D$27,2,FALSE)</f>
        <v>IW</v>
      </c>
      <c r="E136" s="5" t="s">
        <v>758</v>
      </c>
      <c r="F136" s="5" t="s">
        <v>759</v>
      </c>
      <c r="G136" s="55">
        <f t="shared" si="13"/>
        <v>13</v>
      </c>
      <c r="H136" s="55">
        <f t="shared" si="14"/>
        <v>14</v>
      </c>
      <c r="I136" s="55"/>
    </row>
    <row r="137" ht="13.5">
      <c r="A137" s="54"/>
      <c r="B137" s="5" t="s">
        <v>18</v>
      </c>
      <c r="C137" s="55" t="s">
        <v>47</v>
      </c>
      <c r="D137" s="55" t="str">
        <f>VLOOKUP($B137,Letters!$C$4:$D$27,2,FALSE) &amp; VLOOKUP($C137,Letters!$C$4:$D$27,2,FALSE)</f>
        <v>IE</v>
      </c>
      <c r="E137" s="5" t="s">
        <v>760</v>
      </c>
      <c r="F137" s="5" t="s">
        <v>761</v>
      </c>
      <c r="G137" s="55">
        <f t="shared" si="13"/>
        <v>14</v>
      </c>
      <c r="H137" s="55">
        <f t="shared" si="14"/>
        <v>16</v>
      </c>
      <c r="I137" s="56">
        <f>AVERAGE($H120:$H137)</f>
        <v>12.33333333</v>
      </c>
    </row>
    <row r="138">
      <c r="A138" s="54"/>
      <c r="B138" s="55"/>
      <c r="C138" s="55"/>
      <c r="D138" s="55"/>
      <c r="E138" s="5"/>
      <c r="F138" s="55"/>
      <c r="G138" s="55"/>
      <c r="H138" s="55"/>
      <c r="I138" s="55"/>
    </row>
    <row r="139" ht="13.5">
      <c r="A139" s="60">
        <v>1.0</v>
      </c>
      <c r="B139" s="5" t="s">
        <v>20</v>
      </c>
      <c r="C139" s="55" t="s">
        <v>5</v>
      </c>
      <c r="D139" s="55" t="str">
        <f>VLOOKUP($B139,Letters!$C$4:$D$27,2,FALSE) &amp; VLOOKUP($C139,Letters!$C$4:$D$27,2,FALSE)</f>
        <v>RB</v>
      </c>
      <c r="E139" s="5" t="s">
        <v>762</v>
      </c>
      <c r="F139" s="5" t="s">
        <v>763</v>
      </c>
      <c r="G139" s="55">
        <f t="shared" ref="G139:G156" si="15">(len($F139)-len(SUBSTITUTE($F139,"R","")))+(len($F139)-len(SUBSTITUTE($F139,"L","")))+(len($F139)-len(SUBSTITUTE($F139,"U","")))+(len($F139)-len(SUBSTITUTE($F139,"D","")))+(len($F139)-len(SUBSTITUTE($F139,"F","")))+(len($F139)-len(SUBSTITUTE($F139,"B","")))</f>
        <v>11</v>
      </c>
      <c r="H139" s="55">
        <f t="shared" ref="H139:H156" si="16">(len($F139)-len(SUBSTITUTE($F139,"R","")))+(len($F139)-len(SUBSTITUTE($F139,"L","")))+(len($F139)-len(SUBSTITUTE($F139,"U","")))+(len($F139)-len(SUBSTITUTE($F139,"D","")))+(len($F139)-len(SUBSTITUTE($F139,"F","")))+(len($F139)-len(SUBSTITUTE($F139,"B","")))+(len($F139)-len(SUBSTITUTE($F139,"2","")))</f>
        <v>12</v>
      </c>
      <c r="I139" s="55"/>
    </row>
    <row r="140" ht="13.5">
      <c r="A140" s="54"/>
      <c r="B140" s="5" t="s">
        <v>20</v>
      </c>
      <c r="C140" s="55" t="s">
        <v>9</v>
      </c>
      <c r="D140" s="55" t="str">
        <f>VLOOKUP($B140,Letters!$C$4:$D$27,2,FALSE) &amp; VLOOKUP($C140,Letters!$C$4:$D$27,2,FALSE)</f>
        <v>RD</v>
      </c>
      <c r="E140" s="5" t="s">
        <v>764</v>
      </c>
      <c r="F140" s="5" t="s">
        <v>765</v>
      </c>
      <c r="G140" s="55">
        <f t="shared" si="15"/>
        <v>11</v>
      </c>
      <c r="H140" s="55">
        <f t="shared" si="16"/>
        <v>12</v>
      </c>
      <c r="I140" s="55"/>
    </row>
    <row r="141" ht="13.5">
      <c r="A141" s="54"/>
      <c r="B141" s="5" t="s">
        <v>20</v>
      </c>
      <c r="C141" s="55" t="s">
        <v>12</v>
      </c>
      <c r="D141" s="55" t="str">
        <f>VLOOKUP($B141,Letters!$C$4:$D$27,2,FALSE) &amp; VLOOKUP($C141,Letters!$C$4:$D$27,2,FALSE)</f>
        <v>RF</v>
      </c>
      <c r="E141" s="5" t="s">
        <v>766</v>
      </c>
      <c r="F141" s="5" t="s">
        <v>767</v>
      </c>
      <c r="G141" s="55">
        <f t="shared" si="15"/>
        <v>11</v>
      </c>
      <c r="H141" s="55">
        <f t="shared" si="16"/>
        <v>14</v>
      </c>
      <c r="I141" s="55"/>
    </row>
    <row r="142" ht="13.5">
      <c r="A142" s="60">
        <v>1.0</v>
      </c>
      <c r="B142" s="5" t="s">
        <v>20</v>
      </c>
      <c r="C142" s="55" t="s">
        <v>14</v>
      </c>
      <c r="D142" s="55" t="str">
        <f>VLOOKUP($B142,Letters!$C$4:$D$27,2,FALSE) &amp; VLOOKUP($C142,Letters!$C$4:$D$27,2,FALSE)</f>
        <v>RG</v>
      </c>
      <c r="E142" s="5" t="s">
        <v>768</v>
      </c>
      <c r="F142" s="5" t="s">
        <v>769</v>
      </c>
      <c r="G142" s="55">
        <f t="shared" si="15"/>
        <v>11</v>
      </c>
      <c r="H142" s="55">
        <f t="shared" si="16"/>
        <v>12</v>
      </c>
      <c r="I142" s="55"/>
    </row>
    <row r="143" ht="13.5">
      <c r="A143" s="54"/>
      <c r="B143" s="5" t="s">
        <v>20</v>
      </c>
      <c r="C143" s="55" t="s">
        <v>16</v>
      </c>
      <c r="D143" s="55" t="str">
        <f>VLOOKUP($B143,Letters!$C$4:$D$27,2,FALSE) &amp; VLOOKUP($C143,Letters!$C$4:$D$27,2,FALSE)</f>
        <v>RH</v>
      </c>
      <c r="E143" s="5" t="s">
        <v>770</v>
      </c>
      <c r="F143" s="5" t="s">
        <v>771</v>
      </c>
      <c r="G143" s="55">
        <f t="shared" si="15"/>
        <v>9</v>
      </c>
      <c r="H143" s="55">
        <f t="shared" si="16"/>
        <v>10</v>
      </c>
      <c r="I143" s="55"/>
    </row>
    <row r="144" ht="13.5">
      <c r="A144" s="54"/>
      <c r="B144" s="5" t="s">
        <v>20</v>
      </c>
      <c r="C144" s="55" t="s">
        <v>18</v>
      </c>
      <c r="D144" s="55" t="str">
        <f>VLOOKUP($B144,Letters!$C$4:$D$27,2,FALSE) &amp; VLOOKUP($C144,Letters!$C$4:$D$27,2,FALSE)</f>
        <v>RI</v>
      </c>
      <c r="E144" s="5" t="s">
        <v>772</v>
      </c>
      <c r="F144" s="5" t="s">
        <v>773</v>
      </c>
      <c r="G144" s="55">
        <f t="shared" si="15"/>
        <v>8</v>
      </c>
      <c r="H144" s="55">
        <f t="shared" si="16"/>
        <v>8</v>
      </c>
      <c r="I144" s="55"/>
    </row>
    <row r="145" ht="13.5">
      <c r="A145" s="54"/>
      <c r="B145" s="5" t="s">
        <v>20</v>
      </c>
      <c r="C145" s="55" t="s">
        <v>22</v>
      </c>
      <c r="D145" s="55" t="str">
        <f>VLOOKUP($B145,Letters!$C$4:$D$27,2,FALSE) &amp; VLOOKUP($C145,Letters!$C$4:$D$27,2,FALSE)</f>
        <v>RK</v>
      </c>
      <c r="E145" s="5" t="s">
        <v>774</v>
      </c>
      <c r="F145" s="5" t="s">
        <v>775</v>
      </c>
      <c r="G145" s="55">
        <f t="shared" si="15"/>
        <v>13</v>
      </c>
      <c r="H145" s="55">
        <f t="shared" si="16"/>
        <v>14</v>
      </c>
      <c r="I145" s="55"/>
    </row>
    <row r="146" ht="13.5">
      <c r="A146" s="60">
        <v>1.0</v>
      </c>
      <c r="B146" s="5" t="s">
        <v>20</v>
      </c>
      <c r="C146" s="55" t="s">
        <v>24</v>
      </c>
      <c r="D146" s="55" t="str">
        <f>VLOOKUP($B146,Letters!$C$4:$D$27,2,FALSE) &amp; VLOOKUP($C146,Letters!$C$4:$D$27,2,FALSE)</f>
        <v>RL</v>
      </c>
      <c r="E146" s="5" t="s">
        <v>776</v>
      </c>
      <c r="F146" s="5" t="s">
        <v>777</v>
      </c>
      <c r="G146" s="55">
        <f t="shared" si="15"/>
        <v>9</v>
      </c>
      <c r="H146" s="55">
        <f t="shared" si="16"/>
        <v>13</v>
      </c>
      <c r="I146" s="55"/>
    </row>
    <row r="147" ht="13.5">
      <c r="A147" s="60">
        <v>1.0</v>
      </c>
      <c r="B147" s="5" t="s">
        <v>20</v>
      </c>
      <c r="C147" s="55" t="s">
        <v>28</v>
      </c>
      <c r="D147" s="55" t="str">
        <f>VLOOKUP($B147,Letters!$C$4:$D$27,2,FALSE) &amp; VLOOKUP($C147,Letters!$C$4:$D$27,2,FALSE)</f>
        <v>RN</v>
      </c>
      <c r="E147" s="5" t="s">
        <v>778</v>
      </c>
      <c r="F147" s="5" t="s">
        <v>779</v>
      </c>
      <c r="G147" s="55">
        <f t="shared" si="15"/>
        <v>9</v>
      </c>
      <c r="H147" s="55">
        <f t="shared" si="16"/>
        <v>10</v>
      </c>
      <c r="I147" s="55"/>
    </row>
    <row r="148" ht="13.5">
      <c r="A148" s="54"/>
      <c r="B148" s="5" t="s">
        <v>20</v>
      </c>
      <c r="C148" s="55" t="s">
        <v>30</v>
      </c>
      <c r="D148" s="55" t="str">
        <f>VLOOKUP($B148,Letters!$C$4:$D$27,2,FALSE) &amp; VLOOKUP($C148,Letters!$C$4:$D$27,2,FALSE)</f>
        <v>RO</v>
      </c>
      <c r="E148" s="5" t="s">
        <v>780</v>
      </c>
      <c r="F148" s="5" t="s">
        <v>781</v>
      </c>
      <c r="G148" s="55">
        <f t="shared" si="15"/>
        <v>11</v>
      </c>
      <c r="H148" s="55">
        <f t="shared" si="16"/>
        <v>12</v>
      </c>
      <c r="I148" s="55"/>
    </row>
    <row r="149" ht="13.5">
      <c r="A149" s="54"/>
      <c r="B149" s="5" t="s">
        <v>20</v>
      </c>
      <c r="C149" s="55" t="s">
        <v>32</v>
      </c>
      <c r="D149" s="55" t="str">
        <f>VLOOKUP($B149,Letters!$C$4:$D$27,2,FALSE) &amp; VLOOKUP($C149,Letters!$C$4:$D$27,2,FALSE)</f>
        <v>RP</v>
      </c>
      <c r="E149" s="5" t="s">
        <v>782</v>
      </c>
      <c r="F149" s="5" t="s">
        <v>783</v>
      </c>
      <c r="G149" s="55">
        <f t="shared" si="15"/>
        <v>11</v>
      </c>
      <c r="H149" s="55">
        <f t="shared" si="16"/>
        <v>14</v>
      </c>
      <c r="I149" s="55"/>
    </row>
    <row r="150" ht="13.5">
      <c r="A150" s="60">
        <v>1.0</v>
      </c>
      <c r="B150" s="5" t="s">
        <v>20</v>
      </c>
      <c r="C150" s="55" t="s">
        <v>34</v>
      </c>
      <c r="D150" s="55" t="str">
        <f>VLOOKUP($B150,Letters!$C$4:$D$27,2,FALSE) &amp; VLOOKUP($C150,Letters!$C$4:$D$27,2,FALSE)</f>
        <v>RA</v>
      </c>
      <c r="E150" s="5" t="s">
        <v>784</v>
      </c>
      <c r="F150" s="5" t="s">
        <v>785</v>
      </c>
      <c r="G150" s="55">
        <f t="shared" si="15"/>
        <v>13</v>
      </c>
      <c r="H150" s="55">
        <f t="shared" si="16"/>
        <v>18</v>
      </c>
      <c r="I150" s="55"/>
    </row>
    <row r="151" ht="13.5">
      <c r="A151" s="54"/>
      <c r="B151" s="5" t="s">
        <v>20</v>
      </c>
      <c r="C151" s="55" t="s">
        <v>37</v>
      </c>
      <c r="D151" s="55" t="str">
        <f>VLOOKUP($B151,Letters!$C$4:$D$27,2,FALSE) &amp; VLOOKUP($C151,Letters!$C$4:$D$27,2,FALSE)</f>
        <v>RS</v>
      </c>
      <c r="E151" s="5" t="s">
        <v>786</v>
      </c>
      <c r="F151" s="5" t="s">
        <v>787</v>
      </c>
      <c r="G151" s="55">
        <f t="shared" si="15"/>
        <v>12</v>
      </c>
      <c r="H151" s="55">
        <f t="shared" si="16"/>
        <v>12</v>
      </c>
      <c r="I151" s="55"/>
    </row>
    <row r="152" ht="13.5">
      <c r="A152" s="54"/>
      <c r="B152" s="5" t="s">
        <v>20</v>
      </c>
      <c r="C152" s="55" t="s">
        <v>39</v>
      </c>
      <c r="D152" s="55" t="str">
        <f>VLOOKUP($B152,Letters!$C$4:$D$27,2,FALSE) &amp; VLOOKUP($C152,Letters!$C$4:$D$27,2,FALSE)</f>
        <v>RT</v>
      </c>
      <c r="E152" s="5" t="s">
        <v>788</v>
      </c>
      <c r="F152" s="5" t="s">
        <v>789</v>
      </c>
      <c r="G152" s="55">
        <f t="shared" si="15"/>
        <v>11</v>
      </c>
      <c r="H152" s="55">
        <f t="shared" si="16"/>
        <v>12</v>
      </c>
      <c r="I152" s="55"/>
    </row>
    <row r="153" ht="13.5">
      <c r="A153" s="54"/>
      <c r="B153" s="5" t="s">
        <v>20</v>
      </c>
      <c r="C153" s="55" t="s">
        <v>41</v>
      </c>
      <c r="D153" s="55" t="str">
        <f>VLOOKUP($B153,Letters!$C$4:$D$27,2,FALSE) &amp; VLOOKUP($C153,Letters!$C$4:$D$27,2,FALSE)</f>
        <v>RU</v>
      </c>
      <c r="E153" s="5" t="s">
        <v>790</v>
      </c>
      <c r="F153" s="5" t="s">
        <v>791</v>
      </c>
      <c r="G153" s="55">
        <f t="shared" si="15"/>
        <v>11</v>
      </c>
      <c r="H153" s="55">
        <f t="shared" si="16"/>
        <v>12</v>
      </c>
      <c r="I153" s="55"/>
    </row>
    <row r="154" ht="13.5">
      <c r="A154" s="54"/>
      <c r="B154" s="5" t="s">
        <v>20</v>
      </c>
      <c r="C154" s="55" t="s">
        <v>43</v>
      </c>
      <c r="D154" s="55" t="str">
        <f>VLOOKUP($B154,Letters!$C$4:$D$27,2,FALSE) &amp; VLOOKUP($C154,Letters!$C$4:$D$27,2,FALSE)</f>
        <v>RV</v>
      </c>
      <c r="E154" s="5" t="s">
        <v>792</v>
      </c>
      <c r="F154" s="5" t="s">
        <v>793</v>
      </c>
      <c r="G154" s="55">
        <f t="shared" si="15"/>
        <v>12</v>
      </c>
      <c r="H154" s="55">
        <f t="shared" si="16"/>
        <v>12</v>
      </c>
      <c r="I154" s="55"/>
    </row>
    <row r="155" ht="13.5">
      <c r="A155" s="54"/>
      <c r="B155" s="5" t="s">
        <v>20</v>
      </c>
      <c r="C155" s="55" t="s">
        <v>45</v>
      </c>
      <c r="D155" s="55" t="str">
        <f>VLOOKUP($B155,Letters!$C$4:$D$27,2,FALSE) &amp; VLOOKUP($C155,Letters!$C$4:$D$27,2,FALSE)</f>
        <v>RW</v>
      </c>
      <c r="E155" s="5" t="s">
        <v>794</v>
      </c>
      <c r="F155" s="5" t="s">
        <v>795</v>
      </c>
      <c r="G155" s="55">
        <f t="shared" si="15"/>
        <v>11</v>
      </c>
      <c r="H155" s="55">
        <f t="shared" si="16"/>
        <v>12</v>
      </c>
      <c r="I155" s="55"/>
    </row>
    <row r="156" ht="13.5">
      <c r="A156" s="54"/>
      <c r="B156" s="5" t="s">
        <v>20</v>
      </c>
      <c r="C156" s="55" t="s">
        <v>47</v>
      </c>
      <c r="D156" s="55" t="str">
        <f>VLOOKUP($B156,Letters!$C$4:$D$27,2,FALSE) &amp; VLOOKUP($C156,Letters!$C$4:$D$27,2,FALSE)</f>
        <v>RE</v>
      </c>
      <c r="E156" s="5" t="s">
        <v>796</v>
      </c>
      <c r="F156" s="5" t="s">
        <v>797</v>
      </c>
      <c r="G156" s="55">
        <f t="shared" si="15"/>
        <v>13</v>
      </c>
      <c r="H156" s="55">
        <f t="shared" si="16"/>
        <v>14</v>
      </c>
      <c r="I156" s="56">
        <f>AVERAGE($H139:$H156)</f>
        <v>12.38888889</v>
      </c>
    </row>
    <row r="157">
      <c r="A157" s="54"/>
      <c r="B157" s="55"/>
      <c r="C157" s="55"/>
      <c r="D157" s="55"/>
      <c r="E157" s="5"/>
      <c r="F157" s="55"/>
      <c r="G157" s="55"/>
      <c r="H157" s="55"/>
      <c r="I157" s="55"/>
    </row>
    <row r="158" ht="13.5">
      <c r="A158" s="60">
        <v>1.0</v>
      </c>
      <c r="B158" s="5" t="s">
        <v>22</v>
      </c>
      <c r="C158" s="55" t="s">
        <v>5</v>
      </c>
      <c r="D158" s="55" t="str">
        <f>VLOOKUP($B158,Letters!$C$4:$D$27,2,FALSE) &amp; VLOOKUP($C158,Letters!$C$4:$D$27,2,FALSE)</f>
        <v>KB</v>
      </c>
      <c r="E158" s="5" t="s">
        <v>798</v>
      </c>
      <c r="F158" s="5" t="s">
        <v>799</v>
      </c>
      <c r="G158" s="55">
        <f t="shared" ref="G158:G175" si="17">(len($F158)-len(SUBSTITUTE($F158,"R","")))+(len($F158)-len(SUBSTITUTE($F158,"L","")))+(len($F158)-len(SUBSTITUTE($F158,"U","")))+(len($F158)-len(SUBSTITUTE($F158,"D","")))+(len($F158)-len(SUBSTITUTE($F158,"F","")))+(len($F158)-len(SUBSTITUTE($F158,"B","")))</f>
        <v>11</v>
      </c>
      <c r="H158" s="55">
        <f t="shared" ref="H158:H175" si="18">(len($F158)-len(SUBSTITUTE($F158,"R","")))+(len($F158)-len(SUBSTITUTE($F158,"L","")))+(len($F158)-len(SUBSTITUTE($F158,"U","")))+(len($F158)-len(SUBSTITUTE($F158,"D","")))+(len($F158)-len(SUBSTITUTE($F158,"F","")))+(len($F158)-len(SUBSTITUTE($F158,"B","")))+(len($F158)-len(SUBSTITUTE($F158,"2","")))</f>
        <v>12</v>
      </c>
      <c r="I158" s="55"/>
    </row>
    <row r="159" ht="13.5">
      <c r="A159" s="60">
        <v>1.0</v>
      </c>
      <c r="B159" s="5" t="s">
        <v>22</v>
      </c>
      <c r="C159" s="55" t="s">
        <v>7</v>
      </c>
      <c r="D159" s="55" t="str">
        <f>VLOOKUP($B159,Letters!$C$4:$D$27,2,FALSE) &amp; VLOOKUP($C159,Letters!$C$4:$D$27,2,FALSE)</f>
        <v>KC</v>
      </c>
      <c r="E159" s="5" t="s">
        <v>800</v>
      </c>
      <c r="F159" s="5" t="s">
        <v>801</v>
      </c>
      <c r="G159" s="55">
        <f t="shared" si="17"/>
        <v>11</v>
      </c>
      <c r="H159" s="55">
        <f t="shared" si="18"/>
        <v>12</v>
      </c>
      <c r="I159" s="55"/>
    </row>
    <row r="160" ht="13.5">
      <c r="A160" s="54"/>
      <c r="B160" s="5" t="s">
        <v>22</v>
      </c>
      <c r="C160" s="55" t="s">
        <v>9</v>
      </c>
      <c r="D160" s="55" t="str">
        <f>VLOOKUP($B160,Letters!$C$4:$D$27,2,FALSE) &amp; VLOOKUP($C160,Letters!$C$4:$D$27,2,FALSE)</f>
        <v>KD</v>
      </c>
      <c r="E160" s="69" t="s">
        <v>802</v>
      </c>
      <c r="F160" s="67" t="s">
        <v>803</v>
      </c>
      <c r="G160" s="55">
        <f t="shared" si="17"/>
        <v>11</v>
      </c>
      <c r="H160" s="55">
        <f t="shared" si="18"/>
        <v>12</v>
      </c>
      <c r="I160" s="55"/>
    </row>
    <row r="161" ht="13.5">
      <c r="A161" s="54"/>
      <c r="B161" s="5" t="s">
        <v>22</v>
      </c>
      <c r="C161" s="55" t="s">
        <v>12</v>
      </c>
      <c r="D161" s="55" t="str">
        <f>VLOOKUP($B161,Letters!$C$4:$D$27,2,FALSE) &amp; VLOOKUP($C161,Letters!$C$4:$D$27,2,FALSE)</f>
        <v>KF</v>
      </c>
      <c r="E161" s="5" t="s">
        <v>804</v>
      </c>
      <c r="F161" s="5" t="s">
        <v>805</v>
      </c>
      <c r="G161" s="55">
        <f t="shared" si="17"/>
        <v>13</v>
      </c>
      <c r="H161" s="55">
        <f t="shared" si="18"/>
        <v>14</v>
      </c>
      <c r="I161" s="55"/>
    </row>
    <row r="162" ht="13.5">
      <c r="A162" s="60">
        <v>1.0</v>
      </c>
      <c r="B162" s="5" t="s">
        <v>22</v>
      </c>
      <c r="C162" s="55" t="s">
        <v>14</v>
      </c>
      <c r="D162" s="55" t="str">
        <f>VLOOKUP($B162,Letters!$C$4:$D$27,2,FALSE) &amp; VLOOKUP($C162,Letters!$C$4:$D$27,2,FALSE)</f>
        <v>KG</v>
      </c>
      <c r="E162" s="5" t="s">
        <v>806</v>
      </c>
      <c r="F162" s="5" t="s">
        <v>807</v>
      </c>
      <c r="G162" s="55">
        <f t="shared" si="17"/>
        <v>8</v>
      </c>
      <c r="H162" s="55">
        <f t="shared" si="18"/>
        <v>10</v>
      </c>
      <c r="I162" s="55"/>
    </row>
    <row r="163" ht="13.5">
      <c r="A163" s="54"/>
      <c r="B163" s="5" t="s">
        <v>22</v>
      </c>
      <c r="C163" s="55" t="s">
        <v>16</v>
      </c>
      <c r="D163" s="55" t="str">
        <f>VLOOKUP($B163,Letters!$C$4:$D$27,2,FALSE) &amp; VLOOKUP($C163,Letters!$C$4:$D$27,2,FALSE)</f>
        <v>KH</v>
      </c>
      <c r="E163" s="5" t="s">
        <v>808</v>
      </c>
      <c r="F163" s="5" t="s">
        <v>809</v>
      </c>
      <c r="G163" s="55">
        <f t="shared" si="17"/>
        <v>11</v>
      </c>
      <c r="H163" s="55">
        <f t="shared" si="18"/>
        <v>12</v>
      </c>
      <c r="I163" s="55"/>
    </row>
    <row r="164" ht="13.5">
      <c r="A164" s="54"/>
      <c r="B164" s="5" t="s">
        <v>22</v>
      </c>
      <c r="C164" s="55" t="s">
        <v>18</v>
      </c>
      <c r="D164" s="55" t="str">
        <f>VLOOKUP($B164,Letters!$C$4:$D$27,2,FALSE) &amp; VLOOKUP($C164,Letters!$C$4:$D$27,2,FALSE)</f>
        <v>KI</v>
      </c>
      <c r="E164" s="5" t="s">
        <v>810</v>
      </c>
      <c r="F164" s="5" t="s">
        <v>811</v>
      </c>
      <c r="G164" s="55">
        <f t="shared" si="17"/>
        <v>16</v>
      </c>
      <c r="H164" s="55">
        <f t="shared" si="18"/>
        <v>16</v>
      </c>
      <c r="I164" s="55"/>
    </row>
    <row r="165" ht="13.5">
      <c r="A165" s="54"/>
      <c r="B165" s="5" t="s">
        <v>22</v>
      </c>
      <c r="C165" s="55" t="s">
        <v>20</v>
      </c>
      <c r="D165" s="55" t="str">
        <f>VLOOKUP($B165,Letters!$C$4:$D$27,2,FALSE) &amp; VLOOKUP($C165,Letters!$C$4:$D$27,2,FALSE)</f>
        <v>KR</v>
      </c>
      <c r="E165" s="5" t="s">
        <v>812</v>
      </c>
      <c r="F165" s="5" t="s">
        <v>813</v>
      </c>
      <c r="G165" s="55">
        <f t="shared" si="17"/>
        <v>13</v>
      </c>
      <c r="H165" s="55">
        <f t="shared" si="18"/>
        <v>14</v>
      </c>
      <c r="I165" s="55"/>
    </row>
    <row r="166" ht="13.5">
      <c r="A166" s="60">
        <v>1.0</v>
      </c>
      <c r="B166" s="5" t="s">
        <v>22</v>
      </c>
      <c r="C166" s="55" t="s">
        <v>24</v>
      </c>
      <c r="D166" s="55" t="str">
        <f>VLOOKUP($B166,Letters!$C$4:$D$27,2,FALSE) &amp; VLOOKUP($C166,Letters!$C$4:$D$27,2,FALSE)</f>
        <v>KL</v>
      </c>
      <c r="E166" s="5" t="s">
        <v>814</v>
      </c>
      <c r="F166" s="5" t="s">
        <v>815</v>
      </c>
      <c r="G166" s="55">
        <f t="shared" si="17"/>
        <v>12</v>
      </c>
      <c r="H166" s="55">
        <f t="shared" si="18"/>
        <v>14</v>
      </c>
      <c r="I166" s="55"/>
    </row>
    <row r="167" ht="13.5">
      <c r="A167" s="54"/>
      <c r="B167" s="5" t="s">
        <v>22</v>
      </c>
      <c r="C167" s="55" t="s">
        <v>26</v>
      </c>
      <c r="D167" s="55" t="str">
        <f>VLOOKUP($B167,Letters!$C$4:$D$27,2,FALSE) &amp; VLOOKUP($C167,Letters!$C$4:$D$27,2,FALSE)</f>
        <v>KM</v>
      </c>
      <c r="E167" s="5" t="s">
        <v>816</v>
      </c>
      <c r="F167" s="5" t="s">
        <v>817</v>
      </c>
      <c r="G167" s="55">
        <f t="shared" si="17"/>
        <v>13</v>
      </c>
      <c r="H167" s="55">
        <f t="shared" si="18"/>
        <v>14</v>
      </c>
      <c r="I167" s="55"/>
    </row>
    <row r="168" ht="13.5">
      <c r="A168" s="60">
        <v>1.0</v>
      </c>
      <c r="B168" s="5" t="s">
        <v>22</v>
      </c>
      <c r="C168" s="55" t="s">
        <v>28</v>
      </c>
      <c r="D168" s="55" t="str">
        <f>VLOOKUP($B168,Letters!$C$4:$D$27,2,FALSE) &amp; VLOOKUP($C168,Letters!$C$4:$D$27,2,FALSE)</f>
        <v>KN</v>
      </c>
      <c r="E168" s="5" t="s">
        <v>818</v>
      </c>
      <c r="F168" s="5" t="s">
        <v>819</v>
      </c>
      <c r="G168" s="55">
        <f t="shared" si="17"/>
        <v>11</v>
      </c>
      <c r="H168" s="55">
        <f t="shared" si="18"/>
        <v>12</v>
      </c>
      <c r="I168" s="55"/>
    </row>
    <row r="169" ht="13.5">
      <c r="A169" s="60">
        <v>1.0</v>
      </c>
      <c r="B169" s="5" t="s">
        <v>22</v>
      </c>
      <c r="C169" s="55" t="s">
        <v>30</v>
      </c>
      <c r="D169" s="55" t="str">
        <f>VLOOKUP($B169,Letters!$C$4:$D$27,2,FALSE) &amp; VLOOKUP($C169,Letters!$C$4:$D$27,2,FALSE)</f>
        <v>KO</v>
      </c>
      <c r="E169" s="5" t="s">
        <v>820</v>
      </c>
      <c r="F169" s="5" t="s">
        <v>821</v>
      </c>
      <c r="G169" s="55">
        <f t="shared" si="17"/>
        <v>8</v>
      </c>
      <c r="H169" s="55">
        <f t="shared" si="18"/>
        <v>10</v>
      </c>
      <c r="I169" s="55"/>
    </row>
    <row r="170" ht="13.5">
      <c r="A170" s="60">
        <v>1.0</v>
      </c>
      <c r="B170" s="5" t="s">
        <v>22</v>
      </c>
      <c r="C170" s="55" t="s">
        <v>34</v>
      </c>
      <c r="D170" s="55" t="str">
        <f>VLOOKUP($B170,Letters!$C$4:$D$27,2,FALSE) &amp; VLOOKUP($C170,Letters!$C$4:$D$27,2,FALSE)</f>
        <v>KA</v>
      </c>
      <c r="E170" s="5" t="s">
        <v>822</v>
      </c>
      <c r="F170" s="5" t="s">
        <v>823</v>
      </c>
      <c r="G170" s="55">
        <f t="shared" si="17"/>
        <v>11</v>
      </c>
      <c r="H170" s="55">
        <f t="shared" si="18"/>
        <v>14</v>
      </c>
      <c r="I170" s="55"/>
    </row>
    <row r="171" ht="13.5">
      <c r="A171" s="60">
        <v>1.0</v>
      </c>
      <c r="B171" s="5" t="s">
        <v>22</v>
      </c>
      <c r="C171" s="55" t="s">
        <v>37</v>
      </c>
      <c r="D171" s="55" t="str">
        <f>VLOOKUP($B171,Letters!$C$4:$D$27,2,FALSE) &amp; VLOOKUP($C171,Letters!$C$4:$D$27,2,FALSE)</f>
        <v>KS</v>
      </c>
      <c r="E171" s="5" t="s">
        <v>824</v>
      </c>
      <c r="F171" s="5" t="s">
        <v>825</v>
      </c>
      <c r="G171" s="55">
        <f t="shared" si="17"/>
        <v>8</v>
      </c>
      <c r="H171" s="55">
        <f t="shared" si="18"/>
        <v>12</v>
      </c>
      <c r="I171" s="55"/>
    </row>
    <row r="172" ht="13.5">
      <c r="A172" s="54"/>
      <c r="B172" s="5" t="s">
        <v>22</v>
      </c>
      <c r="C172" s="55" t="s">
        <v>39</v>
      </c>
      <c r="D172" s="55" t="str">
        <f>VLOOKUP($B172,Letters!$C$4:$D$27,2,FALSE) &amp; VLOOKUP($C172,Letters!$C$4:$D$27,2,FALSE)</f>
        <v>KT</v>
      </c>
      <c r="E172" s="5" t="s">
        <v>826</v>
      </c>
      <c r="F172" s="5" t="s">
        <v>827</v>
      </c>
      <c r="G172" s="55">
        <f t="shared" si="17"/>
        <v>13</v>
      </c>
      <c r="H172" s="55">
        <f t="shared" si="18"/>
        <v>14</v>
      </c>
      <c r="I172" s="55"/>
    </row>
    <row r="173" ht="13.5">
      <c r="A173" s="54"/>
      <c r="B173" s="5" t="s">
        <v>22</v>
      </c>
      <c r="C173" s="55" t="s">
        <v>41</v>
      </c>
      <c r="D173" s="55" t="str">
        <f>VLOOKUP($B173,Letters!$C$4:$D$27,2,FALSE) &amp; VLOOKUP($C173,Letters!$C$4:$D$27,2,FALSE)</f>
        <v>KU</v>
      </c>
      <c r="E173" s="5" t="s">
        <v>828</v>
      </c>
      <c r="F173" s="5" t="s">
        <v>829</v>
      </c>
      <c r="G173" s="55">
        <f t="shared" si="17"/>
        <v>11</v>
      </c>
      <c r="H173" s="55">
        <f t="shared" si="18"/>
        <v>18</v>
      </c>
      <c r="I173" s="55"/>
    </row>
    <row r="174" ht="13.5">
      <c r="A174" s="54"/>
      <c r="B174" s="5" t="s">
        <v>22</v>
      </c>
      <c r="C174" s="55" t="s">
        <v>45</v>
      </c>
      <c r="D174" s="55" t="str">
        <f>VLOOKUP($B174,Letters!$C$4:$D$27,2,FALSE) &amp; VLOOKUP($C174,Letters!$C$4:$D$27,2,FALSE)</f>
        <v>KW</v>
      </c>
      <c r="E174" s="5" t="s">
        <v>830</v>
      </c>
      <c r="F174" s="5" t="s">
        <v>831</v>
      </c>
      <c r="G174" s="55">
        <f t="shared" si="17"/>
        <v>12</v>
      </c>
      <c r="H174" s="55">
        <f t="shared" si="18"/>
        <v>14</v>
      </c>
      <c r="I174" s="55"/>
    </row>
    <row r="175" ht="13.5">
      <c r="A175" s="54"/>
      <c r="B175" s="5" t="s">
        <v>22</v>
      </c>
      <c r="C175" s="55" t="s">
        <v>47</v>
      </c>
      <c r="D175" s="55" t="str">
        <f>VLOOKUP($B175,Letters!$C$4:$D$27,2,FALSE) &amp; VLOOKUP($C175,Letters!$C$4:$D$27,2,FALSE)</f>
        <v>KE</v>
      </c>
      <c r="E175" s="5" t="s">
        <v>832</v>
      </c>
      <c r="F175" s="5" t="s">
        <v>833</v>
      </c>
      <c r="G175" s="55">
        <f t="shared" si="17"/>
        <v>9</v>
      </c>
      <c r="H175" s="55">
        <f t="shared" si="18"/>
        <v>12</v>
      </c>
      <c r="I175" s="56">
        <f>AVERAGE($H158:$H175)</f>
        <v>13.11111111</v>
      </c>
    </row>
    <row r="176">
      <c r="A176" s="54"/>
      <c r="B176" s="55"/>
      <c r="C176" s="55"/>
      <c r="D176" s="55"/>
      <c r="E176" s="5"/>
      <c r="F176" s="55"/>
      <c r="G176" s="55"/>
      <c r="H176" s="55"/>
      <c r="I176" s="55"/>
    </row>
    <row r="177" ht="13.5">
      <c r="A177" s="60">
        <v>1.0</v>
      </c>
      <c r="B177" s="5" t="s">
        <v>24</v>
      </c>
      <c r="C177" s="55" t="s">
        <v>5</v>
      </c>
      <c r="D177" s="55" t="str">
        <f>VLOOKUP($B177,Letters!$C$4:$D$27,2,FALSE) &amp; VLOOKUP($C177,Letters!$C$4:$D$27,2,FALSE)</f>
        <v>LB</v>
      </c>
      <c r="E177" s="5" t="s">
        <v>834</v>
      </c>
      <c r="F177" s="5" t="s">
        <v>835</v>
      </c>
      <c r="G177" s="55">
        <f t="shared" ref="G177:G194" si="19">(len($F177)-len(SUBSTITUTE($F177,"R","")))+(len($F177)-len(SUBSTITUTE($F177,"L","")))+(len($F177)-len(SUBSTITUTE($F177,"U","")))+(len($F177)-len(SUBSTITUTE($F177,"D","")))+(len($F177)-len(SUBSTITUTE($F177,"F","")))+(len($F177)-len(SUBSTITUTE($F177,"B","")))</f>
        <v>8</v>
      </c>
      <c r="H177" s="55">
        <f t="shared" ref="H177:H194" si="20">(len($F177)-len(SUBSTITUTE($F177,"R","")))+(len($F177)-len(SUBSTITUTE($F177,"L","")))+(len($F177)-len(SUBSTITUTE($F177,"U","")))+(len($F177)-len(SUBSTITUTE($F177,"D","")))+(len($F177)-len(SUBSTITUTE($F177,"F","")))+(len($F177)-len(SUBSTITUTE($F177,"B","")))+(len($F177)-len(SUBSTITUTE($F177,"2","")))</f>
        <v>10</v>
      </c>
      <c r="I177" s="55"/>
    </row>
    <row r="178" ht="13.5">
      <c r="A178" s="60">
        <v>1.0</v>
      </c>
      <c r="B178" s="5" t="s">
        <v>24</v>
      </c>
      <c r="C178" s="55" t="s">
        <v>7</v>
      </c>
      <c r="D178" s="55" t="str">
        <f>VLOOKUP($B178,Letters!$C$4:$D$27,2,FALSE) &amp; VLOOKUP($C178,Letters!$C$4:$D$27,2,FALSE)</f>
        <v>LC</v>
      </c>
      <c r="E178" s="5" t="s">
        <v>836</v>
      </c>
      <c r="F178" s="5" t="s">
        <v>837</v>
      </c>
      <c r="G178" s="55">
        <f t="shared" si="19"/>
        <v>10</v>
      </c>
      <c r="H178" s="55">
        <f t="shared" si="20"/>
        <v>12</v>
      </c>
      <c r="I178" s="55"/>
    </row>
    <row r="179" ht="13.5">
      <c r="A179" s="60">
        <v>1.0</v>
      </c>
      <c r="B179" s="5" t="s">
        <v>24</v>
      </c>
      <c r="C179" s="55" t="s">
        <v>9</v>
      </c>
      <c r="D179" s="55" t="str">
        <f>VLOOKUP($B179,Letters!$C$4:$D$27,2,FALSE) &amp; VLOOKUP($C179,Letters!$C$4:$D$27,2,FALSE)</f>
        <v>LD</v>
      </c>
      <c r="E179" s="5" t="s">
        <v>838</v>
      </c>
      <c r="F179" s="5" t="s">
        <v>839</v>
      </c>
      <c r="G179" s="55">
        <f t="shared" si="19"/>
        <v>11</v>
      </c>
      <c r="H179" s="55">
        <f t="shared" si="20"/>
        <v>12</v>
      </c>
      <c r="I179" s="55"/>
    </row>
    <row r="180" ht="13.5">
      <c r="A180" s="60">
        <v>1.0</v>
      </c>
      <c r="B180" s="5" t="s">
        <v>24</v>
      </c>
      <c r="C180" s="55" t="s">
        <v>12</v>
      </c>
      <c r="D180" s="55" t="str">
        <f>VLOOKUP($B180,Letters!$C$4:$D$27,2,FALSE) &amp; VLOOKUP($C180,Letters!$C$4:$D$27,2,FALSE)</f>
        <v>LF</v>
      </c>
      <c r="E180" s="5" t="s">
        <v>840</v>
      </c>
      <c r="F180" s="5" t="s">
        <v>841</v>
      </c>
      <c r="G180" s="55">
        <f t="shared" si="19"/>
        <v>15</v>
      </c>
      <c r="H180" s="55">
        <f t="shared" si="20"/>
        <v>16</v>
      </c>
      <c r="I180" s="55"/>
    </row>
    <row r="181" ht="13.5">
      <c r="A181" s="60">
        <v>1.0</v>
      </c>
      <c r="B181" s="5" t="s">
        <v>24</v>
      </c>
      <c r="C181" s="55" t="s">
        <v>16</v>
      </c>
      <c r="D181" s="55" t="str">
        <f>VLOOKUP($B181,Letters!$C$4:$D$27,2,FALSE) &amp; VLOOKUP($C181,Letters!$C$4:$D$27,2,FALSE)</f>
        <v>LH</v>
      </c>
      <c r="E181" s="5" t="s">
        <v>842</v>
      </c>
      <c r="F181" s="5" t="s">
        <v>843</v>
      </c>
      <c r="G181" s="55">
        <f t="shared" si="19"/>
        <v>9</v>
      </c>
      <c r="H181" s="55">
        <f t="shared" si="20"/>
        <v>10</v>
      </c>
      <c r="I181" s="55"/>
    </row>
    <row r="182" ht="13.5">
      <c r="A182" s="60">
        <v>1.0</v>
      </c>
      <c r="B182" s="5" t="s">
        <v>24</v>
      </c>
      <c r="C182" s="55" t="s">
        <v>18</v>
      </c>
      <c r="D182" s="55" t="str">
        <f>VLOOKUP($B182,Letters!$C$4:$D$27,2,FALSE) &amp; VLOOKUP($C182,Letters!$C$4:$D$27,2,FALSE)</f>
        <v>LI</v>
      </c>
      <c r="E182" s="5" t="s">
        <v>844</v>
      </c>
      <c r="F182" s="5" t="s">
        <v>845</v>
      </c>
      <c r="G182" s="55">
        <f t="shared" si="19"/>
        <v>14</v>
      </c>
      <c r="H182" s="55">
        <f t="shared" si="20"/>
        <v>14</v>
      </c>
      <c r="I182" s="55"/>
    </row>
    <row r="183" ht="13.5">
      <c r="A183" s="60">
        <v>1.0</v>
      </c>
      <c r="B183" s="5" t="s">
        <v>24</v>
      </c>
      <c r="C183" s="55" t="s">
        <v>20</v>
      </c>
      <c r="D183" s="55" t="str">
        <f>VLOOKUP($B183,Letters!$C$4:$D$27,2,FALSE) &amp; VLOOKUP($C183,Letters!$C$4:$D$27,2,FALSE)</f>
        <v>LR</v>
      </c>
      <c r="E183" s="5" t="s">
        <v>846</v>
      </c>
      <c r="F183" s="5" t="s">
        <v>847</v>
      </c>
      <c r="G183" s="55">
        <f t="shared" si="19"/>
        <v>9</v>
      </c>
      <c r="H183" s="55">
        <f t="shared" si="20"/>
        <v>12</v>
      </c>
      <c r="I183" s="55"/>
    </row>
    <row r="184" ht="13.5">
      <c r="A184" s="60">
        <v>1.0</v>
      </c>
      <c r="B184" s="5" t="s">
        <v>24</v>
      </c>
      <c r="C184" s="55" t="s">
        <v>22</v>
      </c>
      <c r="D184" s="55" t="str">
        <f>VLOOKUP($B184,Letters!$C$4:$D$27,2,FALSE) &amp; VLOOKUP($C184,Letters!$C$4:$D$27,2,FALSE)</f>
        <v>LK</v>
      </c>
      <c r="E184" s="5" t="s">
        <v>848</v>
      </c>
      <c r="F184" s="5" t="s">
        <v>849</v>
      </c>
      <c r="G184" s="55">
        <f t="shared" si="19"/>
        <v>12</v>
      </c>
      <c r="H184" s="55">
        <f t="shared" si="20"/>
        <v>14</v>
      </c>
      <c r="I184" s="55"/>
    </row>
    <row r="185" ht="13.5">
      <c r="A185" s="60">
        <v>1.0</v>
      </c>
      <c r="B185" s="5" t="s">
        <v>24</v>
      </c>
      <c r="C185" s="55" t="s">
        <v>26</v>
      </c>
      <c r="D185" s="55" t="str">
        <f>VLOOKUP($B185,Letters!$C$4:$D$27,2,FALSE) &amp; VLOOKUP($C185,Letters!$C$4:$D$27,2,FALSE)</f>
        <v>LM</v>
      </c>
      <c r="E185" s="5" t="s">
        <v>850</v>
      </c>
      <c r="F185" s="5" t="s">
        <v>851</v>
      </c>
      <c r="G185" s="55">
        <f t="shared" si="19"/>
        <v>11</v>
      </c>
      <c r="H185" s="55">
        <f t="shared" si="20"/>
        <v>12</v>
      </c>
      <c r="I185" s="55"/>
    </row>
    <row r="186" ht="13.5">
      <c r="A186" s="60">
        <v>1.0</v>
      </c>
      <c r="B186" s="5" t="s">
        <v>24</v>
      </c>
      <c r="C186" s="55" t="s">
        <v>28</v>
      </c>
      <c r="D186" s="55" t="str">
        <f>VLOOKUP($B186,Letters!$C$4:$D$27,2,FALSE) &amp; VLOOKUP($C186,Letters!$C$4:$D$27,2,FALSE)</f>
        <v>LN</v>
      </c>
      <c r="E186" s="5" t="s">
        <v>852</v>
      </c>
      <c r="F186" s="5" t="s">
        <v>853</v>
      </c>
      <c r="G186" s="55">
        <f t="shared" si="19"/>
        <v>11</v>
      </c>
      <c r="H186" s="55">
        <f t="shared" si="20"/>
        <v>14</v>
      </c>
      <c r="I186" s="55"/>
    </row>
    <row r="187" ht="13.5">
      <c r="A187" s="60">
        <v>1.0</v>
      </c>
      <c r="B187" s="5" t="s">
        <v>24</v>
      </c>
      <c r="C187" s="55" t="s">
        <v>30</v>
      </c>
      <c r="D187" s="55" t="str">
        <f>VLOOKUP($B187,Letters!$C$4:$D$27,2,FALSE) &amp; VLOOKUP($C187,Letters!$C$4:$D$27,2,FALSE)</f>
        <v>LO</v>
      </c>
      <c r="E187" s="5" t="s">
        <v>854</v>
      </c>
      <c r="F187" s="5" t="s">
        <v>855</v>
      </c>
      <c r="G187" s="55">
        <f t="shared" si="19"/>
        <v>11</v>
      </c>
      <c r="H187" s="55">
        <f t="shared" si="20"/>
        <v>12</v>
      </c>
      <c r="I187" s="55"/>
    </row>
    <row r="188" ht="13.5">
      <c r="A188" s="60">
        <v>1.0</v>
      </c>
      <c r="B188" s="5" t="s">
        <v>24</v>
      </c>
      <c r="C188" s="55" t="s">
        <v>32</v>
      </c>
      <c r="D188" s="55" t="str">
        <f>VLOOKUP($B188,Letters!$C$4:$D$27,2,FALSE) &amp; VLOOKUP($C188,Letters!$C$4:$D$27,2,FALSE)</f>
        <v>LP</v>
      </c>
      <c r="E188" s="5" t="s">
        <v>856</v>
      </c>
      <c r="F188" s="5" t="s">
        <v>857</v>
      </c>
      <c r="G188" s="55">
        <f t="shared" si="19"/>
        <v>9</v>
      </c>
      <c r="H188" s="55">
        <f t="shared" si="20"/>
        <v>10</v>
      </c>
      <c r="I188" s="55"/>
    </row>
    <row r="189" ht="13.5">
      <c r="A189" s="60">
        <v>1.0</v>
      </c>
      <c r="B189" s="5" t="s">
        <v>24</v>
      </c>
      <c r="C189" s="55" t="s">
        <v>34</v>
      </c>
      <c r="D189" s="55" t="str">
        <f>VLOOKUP($B189,Letters!$C$4:$D$27,2,FALSE) &amp; VLOOKUP($C189,Letters!$C$4:$D$27,2,FALSE)</f>
        <v>LA</v>
      </c>
      <c r="E189" s="5" t="s">
        <v>858</v>
      </c>
      <c r="F189" s="5" t="s">
        <v>859</v>
      </c>
      <c r="G189" s="55">
        <f t="shared" si="19"/>
        <v>12</v>
      </c>
      <c r="H189" s="55">
        <f t="shared" si="20"/>
        <v>14</v>
      </c>
      <c r="I189" s="55"/>
    </row>
    <row r="190" ht="13.5">
      <c r="A190" s="60">
        <v>1.0</v>
      </c>
      <c r="B190" s="5" t="s">
        <v>24</v>
      </c>
      <c r="C190" s="55" t="s">
        <v>37</v>
      </c>
      <c r="D190" s="55" t="str">
        <f>VLOOKUP($B190,Letters!$C$4:$D$27,2,FALSE) &amp; VLOOKUP($C190,Letters!$C$4:$D$27,2,FALSE)</f>
        <v>LS</v>
      </c>
      <c r="E190" s="5" t="s">
        <v>860</v>
      </c>
      <c r="F190" s="5" t="s">
        <v>861</v>
      </c>
      <c r="G190" s="55">
        <f t="shared" si="19"/>
        <v>13</v>
      </c>
      <c r="H190" s="55">
        <f t="shared" si="20"/>
        <v>14</v>
      </c>
      <c r="I190" s="55"/>
    </row>
    <row r="191" ht="13.5">
      <c r="A191" s="60">
        <v>1.0</v>
      </c>
      <c r="B191" s="5" t="s">
        <v>24</v>
      </c>
      <c r="C191" s="55" t="s">
        <v>39</v>
      </c>
      <c r="D191" s="55" t="str">
        <f>VLOOKUP($B191,Letters!$C$4:$D$27,2,FALSE) &amp; VLOOKUP($C191,Letters!$C$4:$D$27,2,FALSE)</f>
        <v>LT</v>
      </c>
      <c r="E191" s="5" t="s">
        <v>862</v>
      </c>
      <c r="F191" s="5" t="s">
        <v>863</v>
      </c>
      <c r="G191" s="55">
        <f t="shared" si="19"/>
        <v>8</v>
      </c>
      <c r="H191" s="55">
        <f t="shared" si="20"/>
        <v>10</v>
      </c>
      <c r="I191" s="55"/>
    </row>
    <row r="192" ht="13.5">
      <c r="A192" s="60">
        <v>1.0</v>
      </c>
      <c r="B192" s="5" t="s">
        <v>24</v>
      </c>
      <c r="C192" s="55" t="s">
        <v>43</v>
      </c>
      <c r="D192" s="55" t="str">
        <f>VLOOKUP($B192,Letters!$C$4:$D$27,2,FALSE) &amp; VLOOKUP($C192,Letters!$C$4:$D$27,2,FALSE)</f>
        <v>LV</v>
      </c>
      <c r="E192" s="5" t="s">
        <v>864</v>
      </c>
      <c r="F192" s="5" t="s">
        <v>865</v>
      </c>
      <c r="G192" s="55">
        <f t="shared" si="19"/>
        <v>9</v>
      </c>
      <c r="H192" s="55">
        <f t="shared" si="20"/>
        <v>12</v>
      </c>
      <c r="I192" s="55"/>
    </row>
    <row r="193" ht="13.5">
      <c r="A193" s="60">
        <v>1.0</v>
      </c>
      <c r="B193" s="5" t="s">
        <v>24</v>
      </c>
      <c r="C193" s="55" t="s">
        <v>45</v>
      </c>
      <c r="D193" s="55" t="str">
        <f>VLOOKUP($B193,Letters!$C$4:$D$27,2,FALSE) &amp; VLOOKUP($C193,Letters!$C$4:$D$27,2,FALSE)</f>
        <v>LW</v>
      </c>
      <c r="E193" s="5" t="s">
        <v>866</v>
      </c>
      <c r="F193" s="5" t="s">
        <v>867</v>
      </c>
      <c r="G193" s="55">
        <f t="shared" si="19"/>
        <v>11</v>
      </c>
      <c r="H193" s="55">
        <f t="shared" si="20"/>
        <v>12</v>
      </c>
      <c r="I193" s="55"/>
    </row>
    <row r="194" ht="13.5">
      <c r="A194" s="60">
        <v>1.0</v>
      </c>
      <c r="B194" s="5" t="s">
        <v>24</v>
      </c>
      <c r="C194" s="55" t="s">
        <v>47</v>
      </c>
      <c r="D194" s="55" t="str">
        <f>VLOOKUP($B194,Letters!$C$4:$D$27,2,FALSE) &amp; VLOOKUP($C194,Letters!$C$4:$D$27,2,FALSE)</f>
        <v>LE</v>
      </c>
      <c r="E194" s="5" t="s">
        <v>868</v>
      </c>
      <c r="F194" s="5" t="s">
        <v>869</v>
      </c>
      <c r="G194" s="55">
        <f t="shared" si="19"/>
        <v>9</v>
      </c>
      <c r="H194" s="55">
        <f t="shared" si="20"/>
        <v>12</v>
      </c>
      <c r="I194" s="56">
        <f>AVERAGE($H177:$H194)</f>
        <v>12.33333333</v>
      </c>
    </row>
    <row r="195">
      <c r="A195" s="54"/>
      <c r="B195" s="55"/>
      <c r="C195" s="55"/>
      <c r="D195" s="55"/>
      <c r="E195" s="55"/>
      <c r="F195" s="55"/>
      <c r="G195" s="55"/>
      <c r="H195" s="55"/>
      <c r="I195" s="55"/>
    </row>
    <row r="196" ht="13.5">
      <c r="A196" s="60">
        <v>1.0</v>
      </c>
      <c r="B196" s="5" t="s">
        <v>26</v>
      </c>
      <c r="C196" s="55" t="s">
        <v>5</v>
      </c>
      <c r="D196" s="55" t="str">
        <f>VLOOKUP($B196,Letters!$C$4:$D$27,2,FALSE) &amp; VLOOKUP($C196,Letters!$C$4:$D$27,2,FALSE)</f>
        <v>MB</v>
      </c>
      <c r="E196" s="5" t="s">
        <v>870</v>
      </c>
      <c r="F196" s="5" t="s">
        <v>871</v>
      </c>
      <c r="G196" s="55">
        <f t="shared" ref="G196:G213" si="21">(len($F196)-len(SUBSTITUTE($F196,"R","")))+(len($F196)-len(SUBSTITUTE($F196,"L","")))+(len($F196)-len(SUBSTITUTE($F196,"U","")))+(len($F196)-len(SUBSTITUTE($F196,"D","")))+(len($F196)-len(SUBSTITUTE($F196,"F","")))+(len($F196)-len(SUBSTITUTE($F196,"B","")))</f>
        <v>11</v>
      </c>
      <c r="H196" s="55">
        <f t="shared" ref="H196:H213" si="22">(len($F196)-len(SUBSTITUTE($F196,"R","")))+(len($F196)-len(SUBSTITUTE($F196,"L","")))+(len($F196)-len(SUBSTITUTE($F196,"U","")))+(len($F196)-len(SUBSTITUTE($F196,"D","")))+(len($F196)-len(SUBSTITUTE($F196,"F","")))+(len($F196)-len(SUBSTITUTE($F196,"B","")))+(len($F196)-len(SUBSTITUTE($F196,"2","")))</f>
        <v>14</v>
      </c>
      <c r="I196" s="55"/>
    </row>
    <row r="197" ht="13.5">
      <c r="A197" s="54"/>
      <c r="B197" s="5" t="s">
        <v>26</v>
      </c>
      <c r="C197" s="55" t="s">
        <v>9</v>
      </c>
      <c r="D197" s="55" t="str">
        <f>VLOOKUP($B197,Letters!$C$4:$D$27,2,FALSE) &amp; VLOOKUP($C197,Letters!$C$4:$D$27,2,FALSE)</f>
        <v>MD</v>
      </c>
      <c r="E197" s="5" t="s">
        <v>872</v>
      </c>
      <c r="F197" s="5" t="s">
        <v>873</v>
      </c>
      <c r="G197" s="55">
        <f t="shared" si="21"/>
        <v>8</v>
      </c>
      <c r="H197" s="55">
        <f t="shared" si="22"/>
        <v>8</v>
      </c>
      <c r="I197" s="55"/>
    </row>
    <row r="198" ht="13.5">
      <c r="A198" s="54"/>
      <c r="B198" s="5" t="s">
        <v>26</v>
      </c>
      <c r="C198" s="55" t="s">
        <v>12</v>
      </c>
      <c r="D198" s="55" t="str">
        <f>VLOOKUP($B198,Letters!$C$4:$D$27,2,FALSE) &amp; VLOOKUP($C198,Letters!$C$4:$D$27,2,FALSE)</f>
        <v>MF</v>
      </c>
      <c r="E198" s="5" t="s">
        <v>874</v>
      </c>
      <c r="F198" s="5" t="s">
        <v>875</v>
      </c>
      <c r="G198" s="55">
        <f t="shared" si="21"/>
        <v>17</v>
      </c>
      <c r="H198" s="55">
        <f t="shared" si="22"/>
        <v>18</v>
      </c>
      <c r="I198" s="55"/>
    </row>
    <row r="199" ht="13.5">
      <c r="A199" s="60">
        <v>1.0</v>
      </c>
      <c r="B199" s="5" t="s">
        <v>26</v>
      </c>
      <c r="C199" s="55" t="s">
        <v>14</v>
      </c>
      <c r="D199" s="55" t="str">
        <f>VLOOKUP($B199,Letters!$C$4:$D$27,2,FALSE) &amp; VLOOKUP($C199,Letters!$C$4:$D$27,2,FALSE)</f>
        <v>MG</v>
      </c>
      <c r="E199" s="5" t="s">
        <v>876</v>
      </c>
      <c r="F199" s="5" t="s">
        <v>877</v>
      </c>
      <c r="G199" s="55">
        <f t="shared" si="21"/>
        <v>11</v>
      </c>
      <c r="H199" s="55">
        <f t="shared" si="22"/>
        <v>12</v>
      </c>
      <c r="I199" s="55"/>
    </row>
    <row r="200" ht="13.5">
      <c r="A200" s="54"/>
      <c r="B200" s="5" t="s">
        <v>26</v>
      </c>
      <c r="C200" s="55" t="s">
        <v>16</v>
      </c>
      <c r="D200" s="55" t="str">
        <f>VLOOKUP($B200,Letters!$C$4:$D$27,2,FALSE) &amp; VLOOKUP($C200,Letters!$C$4:$D$27,2,FALSE)</f>
        <v>MH</v>
      </c>
      <c r="E200" s="5" t="s">
        <v>878</v>
      </c>
      <c r="F200" s="5" t="s">
        <v>879</v>
      </c>
      <c r="G200" s="55">
        <f t="shared" si="21"/>
        <v>11</v>
      </c>
      <c r="H200" s="55">
        <f t="shared" si="22"/>
        <v>12</v>
      </c>
      <c r="I200" s="55"/>
    </row>
    <row r="201" ht="13.5">
      <c r="A201" s="54"/>
      <c r="B201" s="5" t="s">
        <v>26</v>
      </c>
      <c r="C201" s="55" t="s">
        <v>18</v>
      </c>
      <c r="D201" s="55" t="str">
        <f>VLOOKUP($B201,Letters!$C$4:$D$27,2,FALSE) &amp; VLOOKUP($C201,Letters!$C$4:$D$27,2,FALSE)</f>
        <v>MI</v>
      </c>
      <c r="E201" s="5" t="s">
        <v>880</v>
      </c>
      <c r="F201" s="5" t="s">
        <v>881</v>
      </c>
      <c r="G201" s="55">
        <f t="shared" si="21"/>
        <v>11</v>
      </c>
      <c r="H201" s="55">
        <f t="shared" si="22"/>
        <v>12</v>
      </c>
      <c r="I201" s="55"/>
    </row>
    <row r="202" ht="13.5">
      <c r="A202" s="54"/>
      <c r="B202" s="5" t="s">
        <v>26</v>
      </c>
      <c r="C202" s="55" t="s">
        <v>22</v>
      </c>
      <c r="D202" s="55" t="str">
        <f>VLOOKUP($B202,Letters!$C$4:$D$27,2,FALSE) &amp; VLOOKUP($C202,Letters!$C$4:$D$27,2,FALSE)</f>
        <v>MK</v>
      </c>
      <c r="E202" s="5" t="s">
        <v>882</v>
      </c>
      <c r="F202" s="5" t="s">
        <v>883</v>
      </c>
      <c r="G202" s="55">
        <f t="shared" si="21"/>
        <v>13</v>
      </c>
      <c r="H202" s="55">
        <f t="shared" si="22"/>
        <v>14</v>
      </c>
      <c r="I202" s="55"/>
    </row>
    <row r="203" ht="13.5">
      <c r="A203" s="60">
        <v>1.0</v>
      </c>
      <c r="B203" s="5" t="s">
        <v>26</v>
      </c>
      <c r="C203" s="55" t="s">
        <v>24</v>
      </c>
      <c r="D203" s="55" t="str">
        <f>VLOOKUP($B203,Letters!$C$4:$D$27,2,FALSE) &amp; VLOOKUP($C203,Letters!$C$4:$D$27,2,FALSE)</f>
        <v>ML</v>
      </c>
      <c r="E203" s="5" t="s">
        <v>884</v>
      </c>
      <c r="F203" s="5" t="s">
        <v>885</v>
      </c>
      <c r="G203" s="55">
        <f t="shared" si="21"/>
        <v>11</v>
      </c>
      <c r="H203" s="55">
        <f t="shared" si="22"/>
        <v>12</v>
      </c>
      <c r="I203" s="55"/>
    </row>
    <row r="204" ht="13.5">
      <c r="A204" s="60">
        <v>1.0</v>
      </c>
      <c r="B204" s="5" t="s">
        <v>26</v>
      </c>
      <c r="C204" s="55" t="s">
        <v>28</v>
      </c>
      <c r="D204" s="55" t="str">
        <f>VLOOKUP($B204,Letters!$C$4:$D$27,2,FALSE) &amp; VLOOKUP($C204,Letters!$C$4:$D$27,2,FALSE)</f>
        <v>MN</v>
      </c>
      <c r="E204" s="68" t="s">
        <v>886</v>
      </c>
      <c r="F204" s="5" t="s">
        <v>887</v>
      </c>
      <c r="G204" s="55">
        <f t="shared" si="21"/>
        <v>8</v>
      </c>
      <c r="H204" s="55">
        <f t="shared" si="22"/>
        <v>8</v>
      </c>
      <c r="I204" s="55"/>
    </row>
    <row r="205" ht="13.5">
      <c r="A205" s="54"/>
      <c r="B205" s="5" t="s">
        <v>26</v>
      </c>
      <c r="C205" s="55" t="s">
        <v>30</v>
      </c>
      <c r="D205" s="55" t="str">
        <f>VLOOKUP($B205,Letters!$C$4:$D$27,2,FALSE) &amp; VLOOKUP($C205,Letters!$C$4:$D$27,2,FALSE)</f>
        <v>MO</v>
      </c>
      <c r="E205" s="5" t="s">
        <v>888</v>
      </c>
      <c r="F205" s="5" t="s">
        <v>889</v>
      </c>
      <c r="G205" s="55">
        <f t="shared" si="21"/>
        <v>11</v>
      </c>
      <c r="H205" s="55">
        <f t="shared" si="22"/>
        <v>12</v>
      </c>
      <c r="I205" s="55"/>
    </row>
    <row r="206" ht="13.5">
      <c r="A206" s="54"/>
      <c r="B206" s="5" t="s">
        <v>26</v>
      </c>
      <c r="C206" s="55" t="s">
        <v>32</v>
      </c>
      <c r="D206" s="55" t="str">
        <f>VLOOKUP($B206,Letters!$C$4:$D$27,2,FALSE) &amp; VLOOKUP($C206,Letters!$C$4:$D$27,2,FALSE)</f>
        <v>MP</v>
      </c>
      <c r="E206" s="5" t="s">
        <v>890</v>
      </c>
      <c r="F206" s="5" t="s">
        <v>891</v>
      </c>
      <c r="G206" s="55">
        <f t="shared" si="21"/>
        <v>13</v>
      </c>
      <c r="H206" s="55">
        <f t="shared" si="22"/>
        <v>14</v>
      </c>
      <c r="I206" s="55"/>
    </row>
    <row r="207" ht="13.5">
      <c r="A207" s="60">
        <v>1.0</v>
      </c>
      <c r="B207" s="5" t="s">
        <v>26</v>
      </c>
      <c r="C207" s="55" t="s">
        <v>34</v>
      </c>
      <c r="D207" s="55" t="str">
        <f>VLOOKUP($B207,Letters!$C$4:$D$27,2,FALSE) &amp; VLOOKUP($C207,Letters!$C$4:$D$27,2,FALSE)</f>
        <v>MA</v>
      </c>
      <c r="E207" s="5" t="s">
        <v>892</v>
      </c>
      <c r="F207" s="5" t="s">
        <v>893</v>
      </c>
      <c r="G207" s="55">
        <f t="shared" si="21"/>
        <v>9</v>
      </c>
      <c r="H207" s="55">
        <f t="shared" si="22"/>
        <v>12</v>
      </c>
      <c r="I207" s="55"/>
    </row>
    <row r="208" ht="13.5">
      <c r="A208" s="54"/>
      <c r="B208" s="5" t="s">
        <v>26</v>
      </c>
      <c r="C208" s="55" t="s">
        <v>37</v>
      </c>
      <c r="D208" s="55" t="str">
        <f>VLOOKUP($B208,Letters!$C$4:$D$27,2,FALSE) &amp; VLOOKUP($C208,Letters!$C$4:$D$27,2,FALSE)</f>
        <v>MS</v>
      </c>
      <c r="E208" s="5" t="s">
        <v>894</v>
      </c>
      <c r="F208" s="5" t="s">
        <v>895</v>
      </c>
      <c r="G208" s="55">
        <f t="shared" si="21"/>
        <v>13</v>
      </c>
      <c r="H208" s="55">
        <f t="shared" si="22"/>
        <v>14</v>
      </c>
      <c r="I208" s="55"/>
    </row>
    <row r="209" ht="13.5">
      <c r="A209" s="54"/>
      <c r="B209" s="5" t="s">
        <v>26</v>
      </c>
      <c r="C209" s="55" t="s">
        <v>39</v>
      </c>
      <c r="D209" s="55" t="str">
        <f>VLOOKUP($B209,Letters!$C$4:$D$27,2,FALSE) &amp; VLOOKUP($C209,Letters!$C$4:$D$27,2,FALSE)</f>
        <v>MT</v>
      </c>
      <c r="E209" s="5" t="s">
        <v>896</v>
      </c>
      <c r="F209" s="5" t="s">
        <v>897</v>
      </c>
      <c r="G209" s="55">
        <f t="shared" si="21"/>
        <v>11</v>
      </c>
      <c r="H209" s="55">
        <f t="shared" si="22"/>
        <v>12</v>
      </c>
      <c r="I209" s="55"/>
    </row>
    <row r="210" ht="13.5">
      <c r="A210" s="54"/>
      <c r="B210" s="5" t="s">
        <v>26</v>
      </c>
      <c r="C210" s="55" t="s">
        <v>41</v>
      </c>
      <c r="D210" s="55" t="str">
        <f>VLOOKUP($B210,Letters!$C$4:$D$27,2,FALSE) &amp; VLOOKUP($C210,Letters!$C$4:$D$27,2,FALSE)</f>
        <v>MU</v>
      </c>
      <c r="E210" s="5" t="s">
        <v>898</v>
      </c>
      <c r="F210" s="5" t="s">
        <v>899</v>
      </c>
      <c r="G210" s="55">
        <f t="shared" si="21"/>
        <v>11</v>
      </c>
      <c r="H210" s="55">
        <f t="shared" si="22"/>
        <v>12</v>
      </c>
      <c r="I210" s="55"/>
    </row>
    <row r="211" ht="13.5">
      <c r="A211" s="54"/>
      <c r="B211" s="5" t="s">
        <v>26</v>
      </c>
      <c r="C211" s="55" t="s">
        <v>43</v>
      </c>
      <c r="D211" s="55" t="str">
        <f>VLOOKUP($B211,Letters!$C$4:$D$27,2,FALSE) &amp; VLOOKUP($C211,Letters!$C$4:$D$27,2,FALSE)</f>
        <v>MV</v>
      </c>
      <c r="E211" s="5" t="s">
        <v>900</v>
      </c>
      <c r="F211" s="5" t="s">
        <v>901</v>
      </c>
      <c r="G211" s="55">
        <f t="shared" si="21"/>
        <v>9</v>
      </c>
      <c r="H211" s="55">
        <f t="shared" si="22"/>
        <v>10</v>
      </c>
      <c r="I211" s="55"/>
    </row>
    <row r="212" ht="13.5">
      <c r="A212" s="54"/>
      <c r="B212" s="5" t="s">
        <v>26</v>
      </c>
      <c r="C212" s="55" t="s">
        <v>45</v>
      </c>
      <c r="D212" s="55" t="str">
        <f>VLOOKUP($B212,Letters!$C$4:$D$27,2,FALSE) &amp; VLOOKUP($C212,Letters!$C$4:$D$27,2,FALSE)</f>
        <v>MW</v>
      </c>
      <c r="E212" s="5" t="s">
        <v>902</v>
      </c>
      <c r="F212" s="5" t="s">
        <v>903</v>
      </c>
      <c r="G212" s="55">
        <f t="shared" si="21"/>
        <v>11</v>
      </c>
      <c r="H212" s="55">
        <f t="shared" si="22"/>
        <v>12</v>
      </c>
      <c r="I212" s="55"/>
    </row>
    <row r="213" ht="13.5">
      <c r="A213" s="54"/>
      <c r="B213" s="5" t="s">
        <v>26</v>
      </c>
      <c r="C213" s="55" t="s">
        <v>47</v>
      </c>
      <c r="D213" s="55" t="str">
        <f>VLOOKUP($B213,Letters!$C$4:$D$27,2,FALSE) &amp; VLOOKUP($C213,Letters!$C$4:$D$27,2,FALSE)</f>
        <v>ME</v>
      </c>
      <c r="E213" s="5" t="s">
        <v>904</v>
      </c>
      <c r="F213" s="5" t="s">
        <v>905</v>
      </c>
      <c r="G213" s="55">
        <f t="shared" si="21"/>
        <v>11</v>
      </c>
      <c r="H213" s="55">
        <f t="shared" si="22"/>
        <v>14</v>
      </c>
      <c r="I213" s="56">
        <f>AVERAGE($H196:$H213)</f>
        <v>12.33333333</v>
      </c>
    </row>
    <row r="214">
      <c r="A214" s="54"/>
      <c r="B214" s="55"/>
      <c r="C214" s="55"/>
      <c r="D214" s="55"/>
      <c r="E214" s="55"/>
      <c r="F214" s="55"/>
      <c r="G214" s="55"/>
      <c r="H214" s="55"/>
      <c r="I214" s="55"/>
    </row>
    <row r="215" ht="13.5">
      <c r="A215" s="60">
        <v>1.0</v>
      </c>
      <c r="B215" s="5" t="s">
        <v>28</v>
      </c>
      <c r="C215" s="55" t="s">
        <v>7</v>
      </c>
      <c r="D215" s="55" t="str">
        <f>VLOOKUP($B215,Letters!$C$4:$D$27,2,FALSE) &amp; VLOOKUP($C215,Letters!$C$4:$D$27,2,FALSE)</f>
        <v>NC</v>
      </c>
      <c r="E215" s="5" t="s">
        <v>906</v>
      </c>
      <c r="F215" s="5" t="s">
        <v>907</v>
      </c>
      <c r="G215" s="55">
        <f t="shared" ref="G215:G232" si="23">(len($F215)-len(SUBSTITUTE($F215,"R","")))+(len($F215)-len(SUBSTITUTE($F215,"L","")))+(len($F215)-len(SUBSTITUTE($F215,"U","")))+(len($F215)-len(SUBSTITUTE($F215,"D","")))+(len($F215)-len(SUBSTITUTE($F215,"F","")))+(len($F215)-len(SUBSTITUTE($F215,"B","")))</f>
        <v>15</v>
      </c>
      <c r="H215" s="55">
        <f t="shared" ref="H215:H232" si="24">(len($F215)-len(SUBSTITUTE($F215,"R","")))+(len($F215)-len(SUBSTITUTE($F215,"L","")))+(len($F215)-len(SUBSTITUTE($F215,"U","")))+(len($F215)-len(SUBSTITUTE($F215,"D","")))+(len($F215)-len(SUBSTITUTE($F215,"F","")))+(len($F215)-len(SUBSTITUTE($F215,"B","")))+(len($F215)-len(SUBSTITUTE($F215,"2","")))</f>
        <v>16</v>
      </c>
      <c r="I215" s="55"/>
    </row>
    <row r="216" ht="13.5">
      <c r="A216" s="60">
        <v>1.0</v>
      </c>
      <c r="B216" s="5" t="s">
        <v>28</v>
      </c>
      <c r="C216" s="55" t="s">
        <v>9</v>
      </c>
      <c r="D216" s="55" t="str">
        <f>VLOOKUP($B216,Letters!$C$4:$D$27,2,FALSE) &amp; VLOOKUP($C216,Letters!$C$4:$D$27,2,FALSE)</f>
        <v>ND</v>
      </c>
      <c r="E216" s="5" t="s">
        <v>908</v>
      </c>
      <c r="F216" s="5" t="s">
        <v>909</v>
      </c>
      <c r="G216" s="55">
        <f t="shared" si="23"/>
        <v>11</v>
      </c>
      <c r="H216" s="55">
        <f t="shared" si="24"/>
        <v>12</v>
      </c>
      <c r="I216" s="55"/>
    </row>
    <row r="217" ht="13.5">
      <c r="A217" s="60">
        <v>1.0</v>
      </c>
      <c r="B217" s="5" t="s">
        <v>28</v>
      </c>
      <c r="C217" s="55" t="s">
        <v>12</v>
      </c>
      <c r="D217" s="55" t="str">
        <f>VLOOKUP($B217,Letters!$C$4:$D$27,2,FALSE) &amp; VLOOKUP($C217,Letters!$C$4:$D$27,2,FALSE)</f>
        <v>NF</v>
      </c>
      <c r="E217" s="5" t="s">
        <v>910</v>
      </c>
      <c r="F217" s="5" t="s">
        <v>911</v>
      </c>
      <c r="G217" s="55">
        <f t="shared" si="23"/>
        <v>14</v>
      </c>
      <c r="H217" s="55">
        <f t="shared" si="24"/>
        <v>16</v>
      </c>
      <c r="I217" s="55"/>
    </row>
    <row r="218" ht="13.5">
      <c r="A218" s="60">
        <v>1.0</v>
      </c>
      <c r="B218" s="5" t="s">
        <v>28</v>
      </c>
      <c r="C218" s="55" t="s">
        <v>14</v>
      </c>
      <c r="D218" s="55" t="str">
        <f>VLOOKUP($B218,Letters!$C$4:$D$27,2,FALSE) &amp; VLOOKUP($C218,Letters!$C$4:$D$27,2,FALSE)</f>
        <v>NG</v>
      </c>
      <c r="E218" s="5" t="s">
        <v>912</v>
      </c>
      <c r="F218" s="5" t="s">
        <v>913</v>
      </c>
      <c r="G218" s="55">
        <f t="shared" si="23"/>
        <v>12</v>
      </c>
      <c r="H218" s="55">
        <f t="shared" si="24"/>
        <v>14</v>
      </c>
      <c r="I218" s="55"/>
    </row>
    <row r="219" ht="13.5">
      <c r="A219" s="60">
        <v>1.0</v>
      </c>
      <c r="B219" s="5" t="s">
        <v>28</v>
      </c>
      <c r="C219" s="55" t="s">
        <v>16</v>
      </c>
      <c r="D219" s="55" t="str">
        <f>VLOOKUP($B219,Letters!$C$4:$D$27,2,FALSE) &amp; VLOOKUP($C219,Letters!$C$4:$D$27,2,FALSE)</f>
        <v>NH</v>
      </c>
      <c r="E219" s="5" t="s">
        <v>914</v>
      </c>
      <c r="F219" s="5" t="s">
        <v>915</v>
      </c>
      <c r="G219" s="55">
        <f t="shared" si="23"/>
        <v>11</v>
      </c>
      <c r="H219" s="55">
        <f t="shared" si="24"/>
        <v>14</v>
      </c>
      <c r="I219" s="55"/>
    </row>
    <row r="220" ht="13.5">
      <c r="A220" s="60">
        <v>1.0</v>
      </c>
      <c r="B220" s="5" t="s">
        <v>28</v>
      </c>
      <c r="C220" s="55" t="s">
        <v>18</v>
      </c>
      <c r="D220" s="55" t="str">
        <f>VLOOKUP($B220,Letters!$C$4:$D$27,2,FALSE) &amp; VLOOKUP($C220,Letters!$C$4:$D$27,2,FALSE)</f>
        <v>NI</v>
      </c>
      <c r="E220" s="55" t="s">
        <v>916</v>
      </c>
      <c r="F220" s="5" t="s">
        <v>917</v>
      </c>
      <c r="G220" s="55">
        <f t="shared" si="23"/>
        <v>8</v>
      </c>
      <c r="H220" s="55">
        <f t="shared" si="24"/>
        <v>8</v>
      </c>
      <c r="I220" s="55"/>
    </row>
    <row r="221" ht="13.5">
      <c r="A221" s="60">
        <v>1.0</v>
      </c>
      <c r="B221" s="5" t="s">
        <v>28</v>
      </c>
      <c r="C221" s="55" t="s">
        <v>20</v>
      </c>
      <c r="D221" s="55" t="str">
        <f>VLOOKUP($B221,Letters!$C$4:$D$27,2,FALSE) &amp; VLOOKUP($C221,Letters!$C$4:$D$27,2,FALSE)</f>
        <v>NR</v>
      </c>
      <c r="E221" s="5" t="s">
        <v>918</v>
      </c>
      <c r="F221" s="5" t="s">
        <v>919</v>
      </c>
      <c r="G221" s="55">
        <f t="shared" si="23"/>
        <v>9</v>
      </c>
      <c r="H221" s="55">
        <f t="shared" si="24"/>
        <v>10</v>
      </c>
      <c r="I221" s="55"/>
    </row>
    <row r="222" ht="13.5">
      <c r="A222" s="60">
        <v>1.0</v>
      </c>
      <c r="B222" s="5" t="s">
        <v>28</v>
      </c>
      <c r="C222" s="55" t="s">
        <v>22</v>
      </c>
      <c r="D222" s="55" t="str">
        <f>VLOOKUP($B222,Letters!$C$4:$D$27,2,FALSE) &amp; VLOOKUP($C222,Letters!$C$4:$D$27,2,FALSE)</f>
        <v>NK</v>
      </c>
      <c r="E222" s="5" t="s">
        <v>920</v>
      </c>
      <c r="F222" s="5" t="s">
        <v>921</v>
      </c>
      <c r="G222" s="55">
        <f t="shared" si="23"/>
        <v>11</v>
      </c>
      <c r="H222" s="55">
        <f t="shared" si="24"/>
        <v>12</v>
      </c>
      <c r="I222" s="55"/>
    </row>
    <row r="223" ht="13.5">
      <c r="A223" s="60">
        <v>1.0</v>
      </c>
      <c r="B223" s="5" t="s">
        <v>28</v>
      </c>
      <c r="C223" s="55" t="s">
        <v>24</v>
      </c>
      <c r="D223" s="55" t="str">
        <f>VLOOKUP($B223,Letters!$C$4:$D$27,2,FALSE) &amp; VLOOKUP($C223,Letters!$C$4:$D$27,2,FALSE)</f>
        <v>NL</v>
      </c>
      <c r="E223" s="5" t="s">
        <v>922</v>
      </c>
      <c r="F223" s="5" t="s">
        <v>923</v>
      </c>
      <c r="G223" s="55">
        <f t="shared" si="23"/>
        <v>11</v>
      </c>
      <c r="H223" s="55">
        <f t="shared" si="24"/>
        <v>14</v>
      </c>
      <c r="I223" s="55"/>
    </row>
    <row r="224" ht="13.5">
      <c r="A224" s="60">
        <v>1.0</v>
      </c>
      <c r="B224" s="5" t="s">
        <v>28</v>
      </c>
      <c r="C224" s="55" t="s">
        <v>26</v>
      </c>
      <c r="D224" s="55" t="str">
        <f>VLOOKUP($B224,Letters!$C$4:$D$27,2,FALSE) &amp; VLOOKUP($C224,Letters!$C$4:$D$27,2,FALSE)</f>
        <v>NM</v>
      </c>
      <c r="E224" s="5" t="s">
        <v>924</v>
      </c>
      <c r="F224" s="5" t="s">
        <v>925</v>
      </c>
      <c r="G224" s="55">
        <f t="shared" si="23"/>
        <v>8</v>
      </c>
      <c r="H224" s="55">
        <f t="shared" si="24"/>
        <v>8</v>
      </c>
      <c r="I224" s="55"/>
    </row>
    <row r="225" ht="13.5">
      <c r="A225" s="60">
        <v>1.0</v>
      </c>
      <c r="B225" s="5" t="s">
        <v>28</v>
      </c>
      <c r="C225" s="55" t="s">
        <v>30</v>
      </c>
      <c r="D225" s="55" t="str">
        <f>VLOOKUP($B225,Letters!$C$4:$D$27,2,FALSE) &amp; VLOOKUP($C225,Letters!$C$4:$D$27,2,FALSE)</f>
        <v>NO</v>
      </c>
      <c r="E225" s="5" t="s">
        <v>926</v>
      </c>
      <c r="F225" s="5" t="s">
        <v>927</v>
      </c>
      <c r="G225" s="55">
        <f t="shared" si="23"/>
        <v>8</v>
      </c>
      <c r="H225" s="55">
        <f t="shared" si="24"/>
        <v>8</v>
      </c>
      <c r="I225" s="55"/>
    </row>
    <row r="226" ht="13.5">
      <c r="A226" s="60">
        <v>1.0</v>
      </c>
      <c r="B226" s="5" t="s">
        <v>28</v>
      </c>
      <c r="C226" s="55" t="s">
        <v>32</v>
      </c>
      <c r="D226" s="55" t="str">
        <f>VLOOKUP($B226,Letters!$C$4:$D$27,2,FALSE) &amp; VLOOKUP($C226,Letters!$C$4:$D$27,2,FALSE)</f>
        <v>NP</v>
      </c>
      <c r="E226" s="69" t="s">
        <v>928</v>
      </c>
      <c r="F226" s="5" t="s">
        <v>929</v>
      </c>
      <c r="G226" s="55">
        <f t="shared" si="23"/>
        <v>8</v>
      </c>
      <c r="H226" s="55">
        <f t="shared" si="24"/>
        <v>10</v>
      </c>
      <c r="I226" s="55"/>
    </row>
    <row r="227" ht="13.5">
      <c r="A227" s="60">
        <v>1.0</v>
      </c>
      <c r="B227" s="5" t="s">
        <v>28</v>
      </c>
      <c r="C227" s="55" t="s">
        <v>37</v>
      </c>
      <c r="D227" s="55" t="str">
        <f>VLOOKUP($B227,Letters!$C$4:$D$27,2,FALSE) &amp; VLOOKUP($C227,Letters!$C$4:$D$27,2,FALSE)</f>
        <v>NS</v>
      </c>
      <c r="E227" s="55" t="s">
        <v>930</v>
      </c>
      <c r="F227" s="5" t="s">
        <v>931</v>
      </c>
      <c r="G227" s="55">
        <f t="shared" si="23"/>
        <v>8</v>
      </c>
      <c r="H227" s="55">
        <f t="shared" si="24"/>
        <v>8</v>
      </c>
      <c r="I227" s="55"/>
    </row>
    <row r="228" ht="13.5">
      <c r="A228" s="60">
        <v>1.0</v>
      </c>
      <c r="B228" s="5" t="s">
        <v>28</v>
      </c>
      <c r="C228" s="55" t="s">
        <v>39</v>
      </c>
      <c r="D228" s="55" t="str">
        <f>VLOOKUP($B228,Letters!$C$4:$D$27,2,FALSE) &amp; VLOOKUP($C228,Letters!$C$4:$D$27,2,FALSE)</f>
        <v>NT</v>
      </c>
      <c r="E228" s="5" t="s">
        <v>932</v>
      </c>
      <c r="F228" s="5" t="s">
        <v>933</v>
      </c>
      <c r="G228" s="55">
        <f t="shared" si="23"/>
        <v>13</v>
      </c>
      <c r="H228" s="55">
        <f t="shared" si="24"/>
        <v>16</v>
      </c>
      <c r="I228" s="55"/>
    </row>
    <row r="229" ht="13.5">
      <c r="A229" s="60">
        <v>1.0</v>
      </c>
      <c r="B229" s="5" t="s">
        <v>28</v>
      </c>
      <c r="C229" s="55" t="s">
        <v>41</v>
      </c>
      <c r="D229" s="55" t="str">
        <f>VLOOKUP($B229,Letters!$C$4:$D$27,2,FALSE) &amp; VLOOKUP($C229,Letters!$C$4:$D$27,2,FALSE)</f>
        <v>NU</v>
      </c>
      <c r="E229" s="68" t="s">
        <v>934</v>
      </c>
      <c r="F229" s="5" t="s">
        <v>935</v>
      </c>
      <c r="G229" s="55">
        <f t="shared" si="23"/>
        <v>8</v>
      </c>
      <c r="H229" s="55">
        <f t="shared" si="24"/>
        <v>10</v>
      </c>
      <c r="I229" s="55"/>
    </row>
    <row r="230" ht="13.5">
      <c r="A230" s="60">
        <v>1.0</v>
      </c>
      <c r="B230" s="5" t="s">
        <v>28</v>
      </c>
      <c r="C230" s="55" t="s">
        <v>43</v>
      </c>
      <c r="D230" s="55" t="str">
        <f>VLOOKUP($B230,Letters!$C$4:$D$27,2,FALSE) &amp; VLOOKUP($C230,Letters!$C$4:$D$27,2,FALSE)</f>
        <v>NV</v>
      </c>
      <c r="E230" s="5" t="s">
        <v>936</v>
      </c>
      <c r="F230" s="5" t="s">
        <v>937</v>
      </c>
      <c r="G230" s="55">
        <f t="shared" si="23"/>
        <v>11</v>
      </c>
      <c r="H230" s="55">
        <f t="shared" si="24"/>
        <v>14</v>
      </c>
      <c r="I230" s="55"/>
    </row>
    <row r="231" ht="13.5">
      <c r="A231" s="60">
        <v>1.0</v>
      </c>
      <c r="B231" s="5" t="s">
        <v>28</v>
      </c>
      <c r="C231" s="55" t="s">
        <v>45</v>
      </c>
      <c r="D231" s="55" t="str">
        <f>VLOOKUP($B231,Letters!$C$4:$D$27,2,FALSE) &amp; VLOOKUP($C231,Letters!$C$4:$D$27,2,FALSE)</f>
        <v>NW</v>
      </c>
      <c r="E231" s="5" t="s">
        <v>938</v>
      </c>
      <c r="F231" s="5" t="s">
        <v>939</v>
      </c>
      <c r="G231" s="55">
        <f t="shared" si="23"/>
        <v>12</v>
      </c>
      <c r="H231" s="55">
        <f t="shared" si="24"/>
        <v>12</v>
      </c>
      <c r="I231" s="55"/>
    </row>
    <row r="232" ht="13.5">
      <c r="A232" s="60">
        <v>1.0</v>
      </c>
      <c r="B232" s="5" t="s">
        <v>28</v>
      </c>
      <c r="C232" s="55" t="s">
        <v>47</v>
      </c>
      <c r="D232" s="55" t="str">
        <f>VLOOKUP($B232,Letters!$C$4:$D$27,2,FALSE) &amp; VLOOKUP($C232,Letters!$C$4:$D$27,2,FALSE)</f>
        <v>NE</v>
      </c>
      <c r="E232" s="5" t="s">
        <v>940</v>
      </c>
      <c r="F232" s="5" t="s">
        <v>941</v>
      </c>
      <c r="G232" s="55">
        <f t="shared" si="23"/>
        <v>14</v>
      </c>
      <c r="H232" s="55">
        <f t="shared" si="24"/>
        <v>14</v>
      </c>
      <c r="I232" s="56">
        <f>AVERAGE($H215:$H232)</f>
        <v>12</v>
      </c>
    </row>
    <row r="233">
      <c r="A233" s="54"/>
      <c r="B233" s="55"/>
      <c r="C233" s="55"/>
      <c r="D233" s="55"/>
      <c r="G233" s="55"/>
      <c r="H233" s="55"/>
      <c r="I233" s="55"/>
    </row>
    <row r="234" ht="13.5">
      <c r="A234" s="60">
        <v>1.0</v>
      </c>
      <c r="B234" s="5" t="s">
        <v>30</v>
      </c>
      <c r="C234" s="55" t="s">
        <v>5</v>
      </c>
      <c r="D234" s="55" t="str">
        <f>VLOOKUP($B234,Letters!$C$4:$D$27,2,FALSE) &amp; VLOOKUP($C234,Letters!$C$4:$D$27,2,FALSE)</f>
        <v>OB</v>
      </c>
      <c r="E234" s="5" t="s">
        <v>942</v>
      </c>
      <c r="F234" s="5" t="s">
        <v>943</v>
      </c>
      <c r="G234" s="55">
        <f t="shared" ref="G234:G251" si="25">(len($F234)-len(SUBSTITUTE($F234,"R","")))+(len($F234)-len(SUBSTITUTE($F234,"L","")))+(len($F234)-len(SUBSTITUTE($F234,"U","")))+(len($F234)-len(SUBSTITUTE($F234,"D","")))+(len($F234)-len(SUBSTITUTE($F234,"F","")))+(len($F234)-len(SUBSTITUTE($F234,"B","")))</f>
        <v>8</v>
      </c>
      <c r="H234" s="55">
        <f t="shared" ref="H234:H251" si="26">(len($F234)-len(SUBSTITUTE($F234,"R","")))+(len($F234)-len(SUBSTITUTE($F234,"L","")))+(len($F234)-len(SUBSTITUTE($F234,"U","")))+(len($F234)-len(SUBSTITUTE($F234,"D","")))+(len($F234)-len(SUBSTITUTE($F234,"F","")))+(len($F234)-len(SUBSTITUTE($F234,"B","")))+(len($F234)-len(SUBSTITUTE($F234,"2","")))</f>
        <v>8</v>
      </c>
      <c r="I234" s="55"/>
    </row>
    <row r="235" ht="13.5">
      <c r="A235" s="54"/>
      <c r="B235" s="5" t="s">
        <v>30</v>
      </c>
      <c r="C235" s="55" t="s">
        <v>7</v>
      </c>
      <c r="D235" s="55" t="str">
        <f>VLOOKUP($B235,Letters!$C$4:$D$27,2,FALSE) &amp; VLOOKUP($C235,Letters!$C$4:$D$27,2,FALSE)</f>
        <v>OC</v>
      </c>
      <c r="E235" s="5" t="s">
        <v>944</v>
      </c>
      <c r="F235" s="5" t="s">
        <v>945</v>
      </c>
      <c r="G235" s="55">
        <f t="shared" si="25"/>
        <v>9</v>
      </c>
      <c r="H235" s="55">
        <f t="shared" si="26"/>
        <v>10</v>
      </c>
      <c r="I235" s="55"/>
    </row>
    <row r="236" ht="13.5">
      <c r="A236" s="60">
        <v>1.0</v>
      </c>
      <c r="B236" s="5" t="s">
        <v>30</v>
      </c>
      <c r="C236" s="55" t="s">
        <v>9</v>
      </c>
      <c r="D236" s="55" t="str">
        <f>VLOOKUP($B236,Letters!$C$4:$D$27,2,FALSE) &amp; VLOOKUP($C236,Letters!$C$4:$D$27,2,FALSE)</f>
        <v>OD</v>
      </c>
      <c r="E236" s="5" t="s">
        <v>946</v>
      </c>
      <c r="F236" s="5" t="s">
        <v>947</v>
      </c>
      <c r="G236" s="55">
        <f t="shared" si="25"/>
        <v>9</v>
      </c>
      <c r="H236" s="55">
        <f t="shared" si="26"/>
        <v>10</v>
      </c>
      <c r="I236" s="55"/>
    </row>
    <row r="237" ht="13.5">
      <c r="A237" s="54"/>
      <c r="B237" s="5" t="s">
        <v>30</v>
      </c>
      <c r="C237" s="55" t="s">
        <v>12</v>
      </c>
      <c r="D237" s="55" t="str">
        <f>VLOOKUP($B237,Letters!$C$4:$D$27,2,FALSE) &amp; VLOOKUP($C237,Letters!$C$4:$D$27,2,FALSE)</f>
        <v>OF</v>
      </c>
      <c r="E237" s="5" t="s">
        <v>948</v>
      </c>
      <c r="F237" s="5" t="s">
        <v>949</v>
      </c>
      <c r="G237" s="55">
        <f t="shared" si="25"/>
        <v>11</v>
      </c>
      <c r="H237" s="55">
        <f t="shared" si="26"/>
        <v>12</v>
      </c>
      <c r="I237" s="55"/>
    </row>
    <row r="238" ht="13.5">
      <c r="A238" s="60">
        <v>1.0</v>
      </c>
      <c r="B238" s="5" t="s">
        <v>30</v>
      </c>
      <c r="C238" s="55" t="s">
        <v>14</v>
      </c>
      <c r="D238" s="55" t="str">
        <f>VLOOKUP($B238,Letters!$C$4:$D$27,2,FALSE) &amp; VLOOKUP($C238,Letters!$C$4:$D$27,2,FALSE)</f>
        <v>OG</v>
      </c>
      <c r="E238" s="5" t="s">
        <v>950</v>
      </c>
      <c r="F238" s="5" t="s">
        <v>951</v>
      </c>
      <c r="G238" s="55">
        <f t="shared" si="25"/>
        <v>9</v>
      </c>
      <c r="H238" s="55">
        <f t="shared" si="26"/>
        <v>12</v>
      </c>
      <c r="I238" s="55"/>
    </row>
    <row r="239" ht="13.5">
      <c r="A239" s="54"/>
      <c r="B239" s="5" t="s">
        <v>30</v>
      </c>
      <c r="C239" s="55" t="s">
        <v>16</v>
      </c>
      <c r="D239" s="55" t="str">
        <f>VLOOKUP($B239,Letters!$C$4:$D$27,2,FALSE) &amp; VLOOKUP($C239,Letters!$C$4:$D$27,2,FALSE)</f>
        <v>OH</v>
      </c>
      <c r="E239" s="5" t="s">
        <v>952</v>
      </c>
      <c r="F239" s="5" t="s">
        <v>953</v>
      </c>
      <c r="G239" s="55">
        <f t="shared" si="25"/>
        <v>11</v>
      </c>
      <c r="H239" s="55">
        <f t="shared" si="26"/>
        <v>12</v>
      </c>
      <c r="I239" s="55"/>
    </row>
    <row r="240" ht="13.5">
      <c r="A240" s="54"/>
      <c r="B240" s="5" t="s">
        <v>30</v>
      </c>
      <c r="C240" s="55" t="s">
        <v>18</v>
      </c>
      <c r="D240" s="55" t="str">
        <f>VLOOKUP($B240,Letters!$C$4:$D$27,2,FALSE) &amp; VLOOKUP($C240,Letters!$C$4:$D$27,2,FALSE)</f>
        <v>OI</v>
      </c>
      <c r="E240" s="5" t="s">
        <v>954</v>
      </c>
      <c r="F240" s="5" t="s">
        <v>955</v>
      </c>
      <c r="G240" s="55">
        <f t="shared" si="25"/>
        <v>14</v>
      </c>
      <c r="H240" s="55">
        <f t="shared" si="26"/>
        <v>14</v>
      </c>
      <c r="I240" s="55"/>
    </row>
    <row r="241" ht="13.5">
      <c r="A241" s="54"/>
      <c r="B241" s="5" t="s">
        <v>30</v>
      </c>
      <c r="C241" s="55" t="s">
        <v>20</v>
      </c>
      <c r="D241" s="55" t="str">
        <f>VLOOKUP($B241,Letters!$C$4:$D$27,2,FALSE) &amp; VLOOKUP($C241,Letters!$C$4:$D$27,2,FALSE)</f>
        <v>OR</v>
      </c>
      <c r="E241" s="5" t="s">
        <v>956</v>
      </c>
      <c r="F241" s="5" t="s">
        <v>957</v>
      </c>
      <c r="G241" s="55">
        <f t="shared" si="25"/>
        <v>11</v>
      </c>
      <c r="H241" s="55">
        <f t="shared" si="26"/>
        <v>12</v>
      </c>
      <c r="I241" s="55"/>
    </row>
    <row r="242" ht="13.5">
      <c r="A242" s="60">
        <v>1.0</v>
      </c>
      <c r="B242" s="5" t="s">
        <v>30</v>
      </c>
      <c r="C242" s="55" t="s">
        <v>22</v>
      </c>
      <c r="D242" s="55" t="str">
        <f>VLOOKUP($B242,Letters!$C$4:$D$27,2,FALSE) &amp; VLOOKUP($C242,Letters!$C$4:$D$27,2,FALSE)</f>
        <v>OK</v>
      </c>
      <c r="E242" s="5" t="s">
        <v>958</v>
      </c>
      <c r="F242" s="5" t="s">
        <v>959</v>
      </c>
      <c r="G242" s="55">
        <f t="shared" si="25"/>
        <v>8</v>
      </c>
      <c r="H242" s="55">
        <f t="shared" si="26"/>
        <v>10</v>
      </c>
      <c r="I242" s="55"/>
    </row>
    <row r="243" ht="13.5">
      <c r="A243" s="60">
        <v>1.0</v>
      </c>
      <c r="B243" s="5" t="s">
        <v>30</v>
      </c>
      <c r="C243" s="55" t="s">
        <v>24</v>
      </c>
      <c r="D243" s="55" t="str">
        <f>VLOOKUP($B243,Letters!$C$4:$D$27,2,FALSE) &amp; VLOOKUP($C243,Letters!$C$4:$D$27,2,FALSE)</f>
        <v>OL</v>
      </c>
      <c r="E243" s="5" t="s">
        <v>960</v>
      </c>
      <c r="F243" s="5" t="s">
        <v>961</v>
      </c>
      <c r="G243" s="55">
        <f t="shared" si="25"/>
        <v>11</v>
      </c>
      <c r="H243" s="55">
        <f t="shared" si="26"/>
        <v>12</v>
      </c>
      <c r="I243" s="55"/>
    </row>
    <row r="244" ht="13.5">
      <c r="A244" s="54"/>
      <c r="B244" s="5" t="s">
        <v>30</v>
      </c>
      <c r="C244" s="55" t="s">
        <v>26</v>
      </c>
      <c r="D244" s="55" t="str">
        <f>VLOOKUP($B244,Letters!$C$4:$D$27,2,FALSE) &amp; VLOOKUP($C244,Letters!$C$4:$D$27,2,FALSE)</f>
        <v>OM</v>
      </c>
      <c r="E244" s="5" t="s">
        <v>962</v>
      </c>
      <c r="F244" s="5" t="s">
        <v>963</v>
      </c>
      <c r="G244" s="55">
        <f t="shared" si="25"/>
        <v>11</v>
      </c>
      <c r="H244" s="55">
        <f t="shared" si="26"/>
        <v>12</v>
      </c>
      <c r="I244" s="55"/>
    </row>
    <row r="245" ht="13.5">
      <c r="A245" s="60">
        <v>1.0</v>
      </c>
      <c r="B245" s="5" t="s">
        <v>30</v>
      </c>
      <c r="C245" s="55" t="s">
        <v>28</v>
      </c>
      <c r="D245" s="55" t="str">
        <f>VLOOKUP($B245,Letters!$C$4:$D$27,2,FALSE) &amp; VLOOKUP($C245,Letters!$C$4:$D$27,2,FALSE)</f>
        <v>ON</v>
      </c>
      <c r="E245" s="5" t="s">
        <v>964</v>
      </c>
      <c r="F245" s="5" t="s">
        <v>965</v>
      </c>
      <c r="G245" s="55">
        <f t="shared" si="25"/>
        <v>8</v>
      </c>
      <c r="H245" s="55">
        <f t="shared" si="26"/>
        <v>8</v>
      </c>
      <c r="I245" s="55"/>
    </row>
    <row r="246" ht="13.5">
      <c r="A246" s="54"/>
      <c r="B246" s="5" t="s">
        <v>30</v>
      </c>
      <c r="C246" s="55" t="s">
        <v>32</v>
      </c>
      <c r="D246" s="55" t="str">
        <f>VLOOKUP($B246,Letters!$C$4:$D$27,2,FALSE) &amp; VLOOKUP($C246,Letters!$C$4:$D$27,2,FALSE)</f>
        <v>OP</v>
      </c>
      <c r="E246" s="5" t="s">
        <v>966</v>
      </c>
      <c r="F246" s="5" t="s">
        <v>967</v>
      </c>
      <c r="G246" s="55">
        <f t="shared" si="25"/>
        <v>9</v>
      </c>
      <c r="H246" s="55">
        <f t="shared" si="26"/>
        <v>10</v>
      </c>
      <c r="I246" s="55"/>
    </row>
    <row r="247" ht="13.5">
      <c r="A247" s="60">
        <v>1.0</v>
      </c>
      <c r="B247" s="5" t="s">
        <v>30</v>
      </c>
      <c r="C247" s="55" t="s">
        <v>34</v>
      </c>
      <c r="D247" s="55" t="str">
        <f>VLOOKUP($B247,Letters!$C$4:$D$27,2,FALSE) &amp; VLOOKUP($C247,Letters!$C$4:$D$27,2,FALSE)</f>
        <v>OA</v>
      </c>
      <c r="E247" s="5" t="s">
        <v>968</v>
      </c>
      <c r="F247" s="5" t="s">
        <v>969</v>
      </c>
      <c r="G247" s="55">
        <f t="shared" si="25"/>
        <v>11</v>
      </c>
      <c r="H247" s="55">
        <f t="shared" si="26"/>
        <v>16</v>
      </c>
      <c r="I247" s="55"/>
    </row>
    <row r="248" ht="13.5">
      <c r="A248" s="54"/>
      <c r="B248" s="5" t="s">
        <v>30</v>
      </c>
      <c r="C248" s="55" t="s">
        <v>37</v>
      </c>
      <c r="D248" s="55" t="str">
        <f>VLOOKUP($B248,Letters!$C$4:$D$27,2,FALSE) &amp; VLOOKUP($C248,Letters!$C$4:$D$27,2,FALSE)</f>
        <v>OS</v>
      </c>
      <c r="E248" s="5" t="s">
        <v>970</v>
      </c>
      <c r="F248" s="5" t="s">
        <v>971</v>
      </c>
      <c r="G248" s="55">
        <f t="shared" si="25"/>
        <v>9</v>
      </c>
      <c r="H248" s="55">
        <f t="shared" si="26"/>
        <v>12</v>
      </c>
      <c r="I248" s="55"/>
    </row>
    <row r="249" ht="13.5">
      <c r="A249" s="54"/>
      <c r="B249" s="5" t="s">
        <v>30</v>
      </c>
      <c r="C249" s="55" t="s">
        <v>41</v>
      </c>
      <c r="D249" s="55" t="str">
        <f>VLOOKUP($B249,Letters!$C$4:$D$27,2,FALSE) &amp; VLOOKUP($C249,Letters!$C$4:$D$27,2,FALSE)</f>
        <v>OU</v>
      </c>
      <c r="E249" s="5" t="s">
        <v>972</v>
      </c>
      <c r="F249" s="5" t="s">
        <v>973</v>
      </c>
      <c r="G249" s="55">
        <f t="shared" si="25"/>
        <v>11</v>
      </c>
      <c r="H249" s="55">
        <f t="shared" si="26"/>
        <v>12</v>
      </c>
      <c r="I249" s="55"/>
    </row>
    <row r="250" ht="13.5">
      <c r="A250" s="54"/>
      <c r="B250" s="5" t="s">
        <v>30</v>
      </c>
      <c r="C250" s="55" t="s">
        <v>43</v>
      </c>
      <c r="D250" s="55" t="str">
        <f>VLOOKUP($B250,Letters!$C$4:$D$27,2,FALSE) &amp; VLOOKUP($C250,Letters!$C$4:$D$27,2,FALSE)</f>
        <v>OV</v>
      </c>
      <c r="E250" s="5" t="s">
        <v>974</v>
      </c>
      <c r="F250" s="5" t="s">
        <v>975</v>
      </c>
      <c r="G250" s="55">
        <f t="shared" si="25"/>
        <v>13</v>
      </c>
      <c r="H250" s="55">
        <f t="shared" si="26"/>
        <v>16</v>
      </c>
      <c r="I250" s="55"/>
    </row>
    <row r="251" ht="13.5">
      <c r="A251" s="54"/>
      <c r="B251" s="5" t="s">
        <v>30</v>
      </c>
      <c r="C251" s="55" t="s">
        <v>47</v>
      </c>
      <c r="D251" s="55" t="str">
        <f>VLOOKUP($B251,Letters!$C$4:$D$27,2,FALSE) &amp; VLOOKUP($C251,Letters!$C$4:$D$27,2,FALSE)</f>
        <v>OE</v>
      </c>
      <c r="E251" s="5" t="s">
        <v>976</v>
      </c>
      <c r="F251" s="5" t="s">
        <v>977</v>
      </c>
      <c r="G251" s="55">
        <f t="shared" si="25"/>
        <v>11</v>
      </c>
      <c r="H251" s="55">
        <f t="shared" si="26"/>
        <v>14</v>
      </c>
      <c r="I251" s="56">
        <f>AVERAGE($H234:$H251)</f>
        <v>11.77777778</v>
      </c>
    </row>
    <row r="252">
      <c r="A252" s="54"/>
      <c r="B252" s="55"/>
      <c r="C252" s="55"/>
      <c r="D252" s="55"/>
      <c r="E252" s="55"/>
      <c r="F252" s="55"/>
      <c r="G252" s="55"/>
      <c r="H252" s="55"/>
      <c r="I252" s="55"/>
    </row>
    <row r="253" ht="13.5">
      <c r="A253" s="60">
        <v>1.0</v>
      </c>
      <c r="B253" s="5" t="s">
        <v>32</v>
      </c>
      <c r="C253" s="55" t="s">
        <v>5</v>
      </c>
      <c r="D253" s="55" t="str">
        <f>VLOOKUP($B253,Letters!$C$4:$D$27,2,FALSE) &amp; VLOOKUP($C253,Letters!$C$4:$D$27,2,FALSE)</f>
        <v>PB</v>
      </c>
      <c r="E253" s="67" t="s">
        <v>978</v>
      </c>
      <c r="F253" s="5" t="s">
        <v>979</v>
      </c>
      <c r="G253" s="55">
        <f t="shared" ref="G253:G270" si="27">(len($F253)-len(SUBSTITUTE($F253,"R","")))+(len($F253)-len(SUBSTITUTE($F253,"L","")))+(len($F253)-len(SUBSTITUTE($F253,"U","")))+(len($F253)-len(SUBSTITUTE($F253,"D","")))+(len($F253)-len(SUBSTITUTE($F253,"F","")))+(len($F253)-len(SUBSTITUTE($F253,"B","")))</f>
        <v>9</v>
      </c>
      <c r="H253" s="55">
        <f t="shared" ref="H253:H270" si="28">(len($F253)-len(SUBSTITUTE($F253,"R","")))+(len($F253)-len(SUBSTITUTE($F253,"L","")))+(len($F253)-len(SUBSTITUTE($F253,"U","")))+(len($F253)-len(SUBSTITUTE($F253,"D","")))+(len($F253)-len(SUBSTITUTE($F253,"F","")))+(len($F253)-len(SUBSTITUTE($F253,"B","")))+(len($F253)-len(SUBSTITUTE($F253,"2","")))</f>
        <v>10</v>
      </c>
      <c r="I253" s="55"/>
    </row>
    <row r="254" ht="13.5">
      <c r="A254" s="60">
        <v>1.0</v>
      </c>
      <c r="B254" s="5" t="s">
        <v>32</v>
      </c>
      <c r="C254" s="55" t="s">
        <v>7</v>
      </c>
      <c r="D254" s="55" t="str">
        <f>VLOOKUP($B254,Letters!$C$4:$D$27,2,FALSE) &amp; VLOOKUP($C254,Letters!$C$4:$D$27,2,FALSE)</f>
        <v>PC</v>
      </c>
      <c r="E254" s="5" t="s">
        <v>980</v>
      </c>
      <c r="F254" s="5" t="s">
        <v>981</v>
      </c>
      <c r="G254" s="55">
        <f t="shared" si="27"/>
        <v>8</v>
      </c>
      <c r="H254" s="55">
        <f t="shared" si="28"/>
        <v>10</v>
      </c>
      <c r="I254" s="55"/>
    </row>
    <row r="255" ht="13.5">
      <c r="A255" s="60">
        <v>1.0</v>
      </c>
      <c r="B255" s="5" t="s">
        <v>32</v>
      </c>
      <c r="C255" s="55" t="s">
        <v>9</v>
      </c>
      <c r="D255" s="55" t="str">
        <f>VLOOKUP($B255,Letters!$C$4:$D$27,2,FALSE) &amp; VLOOKUP($C255,Letters!$C$4:$D$27,2,FALSE)</f>
        <v>PD</v>
      </c>
      <c r="E255" s="5" t="s">
        <v>982</v>
      </c>
      <c r="F255" s="5" t="s">
        <v>983</v>
      </c>
      <c r="G255" s="55">
        <f t="shared" si="27"/>
        <v>9</v>
      </c>
      <c r="H255" s="55">
        <f t="shared" si="28"/>
        <v>10</v>
      </c>
      <c r="I255" s="55"/>
    </row>
    <row r="256" ht="13.5">
      <c r="A256" s="54"/>
      <c r="B256" s="5" t="s">
        <v>32</v>
      </c>
      <c r="C256" s="55" t="s">
        <v>12</v>
      </c>
      <c r="D256" s="55" t="str">
        <f>VLOOKUP($B256,Letters!$C$4:$D$27,2,FALSE) &amp; VLOOKUP($C256,Letters!$C$4:$D$27,2,FALSE)</f>
        <v>PF</v>
      </c>
      <c r="E256" s="5" t="s">
        <v>984</v>
      </c>
      <c r="F256" s="5" t="s">
        <v>985</v>
      </c>
      <c r="G256" s="55">
        <f t="shared" si="27"/>
        <v>15</v>
      </c>
      <c r="H256" s="55">
        <f t="shared" si="28"/>
        <v>16</v>
      </c>
      <c r="I256" s="55"/>
    </row>
    <row r="257" ht="13.5">
      <c r="A257" s="60">
        <v>1.0</v>
      </c>
      <c r="B257" s="5" t="s">
        <v>32</v>
      </c>
      <c r="C257" s="55" t="s">
        <v>14</v>
      </c>
      <c r="D257" s="55" t="str">
        <f>VLOOKUP($B257,Letters!$C$4:$D$27,2,FALSE) &amp; VLOOKUP($C257,Letters!$C$4:$D$27,2,FALSE)</f>
        <v>PG</v>
      </c>
      <c r="E257" s="5" t="s">
        <v>986</v>
      </c>
      <c r="F257" s="5" t="s">
        <v>987</v>
      </c>
      <c r="G257" s="55">
        <f t="shared" si="27"/>
        <v>13</v>
      </c>
      <c r="H257" s="55">
        <f t="shared" si="28"/>
        <v>14</v>
      </c>
      <c r="I257" s="55"/>
    </row>
    <row r="258" ht="13.5">
      <c r="A258" s="54"/>
      <c r="B258" s="5" t="s">
        <v>32</v>
      </c>
      <c r="C258" s="55" t="s">
        <v>16</v>
      </c>
      <c r="D258" s="55" t="str">
        <f>VLOOKUP($B258,Letters!$C$4:$D$27,2,FALSE) &amp; VLOOKUP($C258,Letters!$C$4:$D$27,2,FALSE)</f>
        <v>PH</v>
      </c>
      <c r="E258" s="5" t="s">
        <v>988</v>
      </c>
      <c r="F258" s="5" t="s">
        <v>989</v>
      </c>
      <c r="G258" s="55">
        <f t="shared" si="27"/>
        <v>9</v>
      </c>
      <c r="H258" s="55">
        <f t="shared" si="28"/>
        <v>10</v>
      </c>
      <c r="I258" s="55"/>
    </row>
    <row r="259" ht="13.5">
      <c r="A259" s="54"/>
      <c r="B259" s="5" t="s">
        <v>32</v>
      </c>
      <c r="C259" s="55" t="s">
        <v>18</v>
      </c>
      <c r="D259" s="55" t="str">
        <f>VLOOKUP($B259,Letters!$C$4:$D$27,2,FALSE) &amp; VLOOKUP($C259,Letters!$C$4:$D$27,2,FALSE)</f>
        <v>PI</v>
      </c>
      <c r="E259" s="5" t="s">
        <v>990</v>
      </c>
      <c r="F259" s="5" t="s">
        <v>991</v>
      </c>
      <c r="G259" s="55">
        <f t="shared" si="27"/>
        <v>8</v>
      </c>
      <c r="H259" s="55">
        <f t="shared" si="28"/>
        <v>8</v>
      </c>
      <c r="I259" s="55"/>
    </row>
    <row r="260" ht="13.5">
      <c r="A260" s="54"/>
      <c r="B260" s="5" t="s">
        <v>32</v>
      </c>
      <c r="C260" s="55" t="s">
        <v>20</v>
      </c>
      <c r="D260" s="55" t="str">
        <f>VLOOKUP($B260,Letters!$C$4:$D$27,2,FALSE) &amp; VLOOKUP($C260,Letters!$C$4:$D$27,2,FALSE)</f>
        <v>PR</v>
      </c>
      <c r="E260" s="5" t="s">
        <v>992</v>
      </c>
      <c r="F260" s="5" t="s">
        <v>993</v>
      </c>
      <c r="G260" s="55">
        <f t="shared" si="27"/>
        <v>11</v>
      </c>
      <c r="H260" s="55">
        <f t="shared" si="28"/>
        <v>14</v>
      </c>
      <c r="I260" s="55"/>
    </row>
    <row r="261" ht="13.5">
      <c r="A261" s="60">
        <v>1.0</v>
      </c>
      <c r="B261" s="5" t="s">
        <v>32</v>
      </c>
      <c r="C261" s="55" t="s">
        <v>24</v>
      </c>
      <c r="D261" s="55" t="str">
        <f>VLOOKUP($B261,Letters!$C$4:$D$27,2,FALSE) &amp; VLOOKUP($C261,Letters!$C$4:$D$27,2,FALSE)</f>
        <v>PL</v>
      </c>
      <c r="E261" s="5" t="s">
        <v>994</v>
      </c>
      <c r="F261" s="5" t="s">
        <v>995</v>
      </c>
      <c r="G261" s="55">
        <f t="shared" si="27"/>
        <v>9</v>
      </c>
      <c r="H261" s="55">
        <f t="shared" si="28"/>
        <v>10</v>
      </c>
      <c r="I261" s="55"/>
    </row>
    <row r="262" ht="13.5">
      <c r="A262" s="54"/>
      <c r="B262" s="5" t="s">
        <v>32</v>
      </c>
      <c r="C262" s="55" t="s">
        <v>26</v>
      </c>
      <c r="D262" s="55" t="str">
        <f>VLOOKUP($B262,Letters!$C$4:$D$27,2,FALSE) &amp; VLOOKUP($C262,Letters!$C$4:$D$27,2,FALSE)</f>
        <v>PM</v>
      </c>
      <c r="E262" s="5" t="s">
        <v>996</v>
      </c>
      <c r="F262" s="5" t="s">
        <v>997</v>
      </c>
      <c r="G262" s="55">
        <f t="shared" si="27"/>
        <v>13</v>
      </c>
      <c r="H262" s="55">
        <f t="shared" si="28"/>
        <v>14</v>
      </c>
      <c r="I262" s="55"/>
    </row>
    <row r="263" ht="13.5">
      <c r="A263" s="60">
        <v>1.0</v>
      </c>
      <c r="B263" s="5" t="s">
        <v>32</v>
      </c>
      <c r="C263" s="55" t="s">
        <v>28</v>
      </c>
      <c r="D263" s="55" t="str">
        <f>VLOOKUP($B263,Letters!$C$4:$D$27,2,FALSE) &amp; VLOOKUP($C263,Letters!$C$4:$D$27,2,FALSE)</f>
        <v>PN</v>
      </c>
      <c r="E263" s="5" t="s">
        <v>998</v>
      </c>
      <c r="F263" s="5" t="s">
        <v>999</v>
      </c>
      <c r="G263" s="55">
        <f t="shared" si="27"/>
        <v>8</v>
      </c>
      <c r="H263" s="55">
        <f t="shared" si="28"/>
        <v>10</v>
      </c>
      <c r="I263" s="55"/>
    </row>
    <row r="264" ht="13.5">
      <c r="A264" s="54"/>
      <c r="B264" s="5" t="s">
        <v>32</v>
      </c>
      <c r="C264" s="55" t="s">
        <v>30</v>
      </c>
      <c r="D264" s="55" t="str">
        <f>VLOOKUP($B264,Letters!$C$4:$D$27,2,FALSE) &amp; VLOOKUP($C264,Letters!$C$4:$D$27,2,FALSE)</f>
        <v>PO</v>
      </c>
      <c r="E264" s="5" t="s">
        <v>1000</v>
      </c>
      <c r="F264" s="5" t="s">
        <v>1001</v>
      </c>
      <c r="G264" s="55">
        <f t="shared" si="27"/>
        <v>9</v>
      </c>
      <c r="H264" s="55">
        <f t="shared" si="28"/>
        <v>10</v>
      </c>
      <c r="I264" s="55"/>
    </row>
    <row r="265" ht="13.5">
      <c r="A265" s="60">
        <v>1.0</v>
      </c>
      <c r="B265" s="5" t="s">
        <v>32</v>
      </c>
      <c r="C265" s="55" t="s">
        <v>34</v>
      </c>
      <c r="D265" s="55" t="str">
        <f>VLOOKUP($B265,Letters!$C$4:$D$27,2,FALSE) &amp; VLOOKUP($C265,Letters!$C$4:$D$27,2,FALSE)</f>
        <v>PA</v>
      </c>
      <c r="E265" s="5" t="s">
        <v>1002</v>
      </c>
      <c r="F265" s="5" t="s">
        <v>1003</v>
      </c>
      <c r="G265" s="55">
        <f t="shared" si="27"/>
        <v>11</v>
      </c>
      <c r="H265" s="55">
        <f t="shared" si="28"/>
        <v>12</v>
      </c>
      <c r="I265" s="55"/>
    </row>
    <row r="266" ht="13.5">
      <c r="A266" s="54"/>
      <c r="B266" s="5" t="s">
        <v>32</v>
      </c>
      <c r="C266" s="55" t="s">
        <v>37</v>
      </c>
      <c r="D266" s="55" t="str">
        <f>VLOOKUP($B266,Letters!$C$4:$D$27,2,FALSE) &amp; VLOOKUP($C266,Letters!$C$4:$D$27,2,FALSE)</f>
        <v>PS</v>
      </c>
      <c r="E266" s="5" t="s">
        <v>1004</v>
      </c>
      <c r="F266" s="5" t="s">
        <v>1005</v>
      </c>
      <c r="G266" s="55">
        <f t="shared" si="27"/>
        <v>11</v>
      </c>
      <c r="H266" s="55">
        <f t="shared" si="28"/>
        <v>14</v>
      </c>
      <c r="I266" s="55"/>
    </row>
    <row r="267" ht="13.5">
      <c r="A267" s="60">
        <v>1.0</v>
      </c>
      <c r="B267" s="5" t="s">
        <v>32</v>
      </c>
      <c r="C267" s="55" t="s">
        <v>39</v>
      </c>
      <c r="D267" s="55" t="str">
        <f>VLOOKUP($B267,Letters!$C$4:$D$27,2,FALSE) &amp; VLOOKUP($C267,Letters!$C$4:$D$27,2,FALSE)</f>
        <v>PT</v>
      </c>
      <c r="E267" s="5" t="s">
        <v>1006</v>
      </c>
      <c r="F267" s="5" t="s">
        <v>1007</v>
      </c>
      <c r="G267" s="55">
        <f t="shared" si="27"/>
        <v>8</v>
      </c>
      <c r="H267" s="55">
        <f t="shared" si="28"/>
        <v>8</v>
      </c>
      <c r="I267" s="55"/>
    </row>
    <row r="268" ht="13.5">
      <c r="A268" s="54"/>
      <c r="B268" s="5" t="s">
        <v>32</v>
      </c>
      <c r="C268" s="55" t="s">
        <v>41</v>
      </c>
      <c r="D268" s="55" t="str">
        <f>VLOOKUP($B268,Letters!$C$4:$D$27,2,FALSE) &amp; VLOOKUP($C268,Letters!$C$4:$D$27,2,FALSE)</f>
        <v>PU</v>
      </c>
      <c r="E268" s="5" t="s">
        <v>1008</v>
      </c>
      <c r="F268" s="5" t="s">
        <v>1009</v>
      </c>
      <c r="G268" s="55">
        <f t="shared" si="27"/>
        <v>8</v>
      </c>
      <c r="H268" s="55">
        <f t="shared" si="28"/>
        <v>10</v>
      </c>
      <c r="I268" s="55"/>
    </row>
    <row r="269" ht="13.5">
      <c r="A269" s="54"/>
      <c r="B269" s="5" t="s">
        <v>32</v>
      </c>
      <c r="C269" s="55" t="s">
        <v>45</v>
      </c>
      <c r="D269" s="55" t="str">
        <f>VLOOKUP($B269,Letters!$C$4:$D$27,2,FALSE) &amp; VLOOKUP($C269,Letters!$C$4:$D$27,2,FALSE)</f>
        <v>PW</v>
      </c>
      <c r="E269" s="5" t="s">
        <v>1010</v>
      </c>
      <c r="F269" s="5" t="s">
        <v>1011</v>
      </c>
      <c r="G269" s="55">
        <f t="shared" si="27"/>
        <v>11</v>
      </c>
      <c r="H269" s="55">
        <f t="shared" si="28"/>
        <v>14</v>
      </c>
      <c r="I269" s="55"/>
    </row>
    <row r="270" ht="13.5">
      <c r="A270" s="54"/>
      <c r="B270" s="5" t="s">
        <v>32</v>
      </c>
      <c r="C270" s="55" t="s">
        <v>47</v>
      </c>
      <c r="D270" s="55" t="str">
        <f>VLOOKUP($B270,Letters!$C$4:$D$27,2,FALSE) &amp; VLOOKUP($C270,Letters!$C$4:$D$27,2,FALSE)</f>
        <v>PE</v>
      </c>
      <c r="E270" s="5" t="s">
        <v>1012</v>
      </c>
      <c r="F270" s="5" t="s">
        <v>1013</v>
      </c>
      <c r="G270" s="55">
        <f t="shared" si="27"/>
        <v>13</v>
      </c>
      <c r="H270" s="55">
        <f t="shared" si="28"/>
        <v>16</v>
      </c>
      <c r="I270" s="56">
        <f>AVERAGE($H253:$H270)</f>
        <v>11.66666667</v>
      </c>
    </row>
    <row r="271">
      <c r="A271" s="54"/>
      <c r="B271" s="55"/>
      <c r="C271" s="55"/>
      <c r="D271" s="55"/>
      <c r="E271" s="55"/>
      <c r="F271" s="55"/>
      <c r="G271" s="55"/>
      <c r="H271" s="55"/>
      <c r="I271" s="55"/>
    </row>
    <row r="272" ht="13.5">
      <c r="A272" s="60">
        <v>1.0</v>
      </c>
      <c r="B272" s="5" t="s">
        <v>34</v>
      </c>
      <c r="C272" s="55" t="s">
        <v>7</v>
      </c>
      <c r="D272" s="55" t="str">
        <f>VLOOKUP($B272,Letters!$C$4:$D$27,2,FALSE) &amp; VLOOKUP($C272,Letters!$C$4:$D$27,2,FALSE)</f>
        <v>AC</v>
      </c>
      <c r="E272" s="5" t="s">
        <v>1014</v>
      </c>
      <c r="F272" s="5" t="s">
        <v>1015</v>
      </c>
      <c r="G272" s="55">
        <f t="shared" ref="G272:G289" si="29">(len($F272)-len(SUBSTITUTE($F272,"R","")))+(len($F272)-len(SUBSTITUTE($F272,"L","")))+(len($F272)-len(SUBSTITUTE($F272,"U","")))+(len($F272)-len(SUBSTITUTE($F272,"D","")))+(len($F272)-len(SUBSTITUTE($F272,"F","")))+(len($F272)-len(SUBSTITUTE($F272,"B","")))</f>
        <v>12</v>
      </c>
      <c r="H272" s="55">
        <f t="shared" ref="H272:H289" si="30">(len($F272)-len(SUBSTITUTE($F272,"R","")))+(len($F272)-len(SUBSTITUTE($F272,"L","")))+(len($F272)-len(SUBSTITUTE($F272,"U","")))+(len($F272)-len(SUBSTITUTE($F272,"D","")))+(len($F272)-len(SUBSTITUTE($F272,"F","")))+(len($F272)-len(SUBSTITUTE($F272,"B","")))+(len($F272)-len(SUBSTITUTE($F272,"2","")))</f>
        <v>14</v>
      </c>
      <c r="I272" s="55"/>
    </row>
    <row r="273" ht="13.5">
      <c r="A273" s="60">
        <v>1.0</v>
      </c>
      <c r="B273" s="5" t="s">
        <v>34</v>
      </c>
      <c r="C273" s="55" t="s">
        <v>9</v>
      </c>
      <c r="D273" s="55" t="str">
        <f>VLOOKUP($B273,Letters!$C$4:$D$27,2,FALSE) &amp; VLOOKUP($C273,Letters!$C$4:$D$27,2,FALSE)</f>
        <v>AD</v>
      </c>
      <c r="E273" s="5" t="s">
        <v>1016</v>
      </c>
      <c r="F273" s="5" t="s">
        <v>1017</v>
      </c>
      <c r="G273" s="55">
        <f t="shared" si="29"/>
        <v>11</v>
      </c>
      <c r="H273" s="55">
        <f t="shared" si="30"/>
        <v>12</v>
      </c>
      <c r="I273" s="55"/>
    </row>
    <row r="274" ht="13.5">
      <c r="A274" s="60">
        <v>1.0</v>
      </c>
      <c r="B274" s="5" t="s">
        <v>34</v>
      </c>
      <c r="C274" s="55" t="s">
        <v>12</v>
      </c>
      <c r="D274" s="55" t="str">
        <f>VLOOKUP($B274,Letters!$C$4:$D$27,2,FALSE) &amp; VLOOKUP($C274,Letters!$C$4:$D$27,2,FALSE)</f>
        <v>AF</v>
      </c>
      <c r="E274" s="5" t="s">
        <v>1018</v>
      </c>
      <c r="F274" s="5" t="s">
        <v>1019</v>
      </c>
      <c r="G274" s="55">
        <f t="shared" si="29"/>
        <v>15</v>
      </c>
      <c r="H274" s="55">
        <f t="shared" si="30"/>
        <v>18</v>
      </c>
      <c r="I274" s="55"/>
    </row>
    <row r="275" ht="13.5">
      <c r="A275" s="60">
        <v>1.0</v>
      </c>
      <c r="B275" s="5" t="s">
        <v>34</v>
      </c>
      <c r="C275" s="55" t="s">
        <v>14</v>
      </c>
      <c r="D275" s="55" t="str">
        <f>VLOOKUP($B275,Letters!$C$4:$D$27,2,FALSE) &amp; VLOOKUP($C275,Letters!$C$4:$D$27,2,FALSE)</f>
        <v>AG</v>
      </c>
      <c r="E275" s="5" t="s">
        <v>1020</v>
      </c>
      <c r="F275" s="5" t="s">
        <v>1021</v>
      </c>
      <c r="G275" s="55">
        <f t="shared" si="29"/>
        <v>9</v>
      </c>
      <c r="H275" s="55">
        <f t="shared" si="30"/>
        <v>12</v>
      </c>
      <c r="I275" s="55"/>
    </row>
    <row r="276" ht="13.5">
      <c r="A276" s="60">
        <v>1.0</v>
      </c>
      <c r="B276" s="5" t="s">
        <v>34</v>
      </c>
      <c r="C276" s="55" t="s">
        <v>16</v>
      </c>
      <c r="D276" s="55" t="str">
        <f>VLOOKUP($B276,Letters!$C$4:$D$27,2,FALSE) &amp; VLOOKUP($C276,Letters!$C$4:$D$27,2,FALSE)</f>
        <v>AH</v>
      </c>
      <c r="E276" s="5" t="s">
        <v>1022</v>
      </c>
      <c r="F276" s="5" t="s">
        <v>1023</v>
      </c>
      <c r="G276" s="55">
        <f t="shared" si="29"/>
        <v>11</v>
      </c>
      <c r="H276" s="55">
        <f t="shared" si="30"/>
        <v>12</v>
      </c>
      <c r="I276" s="55"/>
    </row>
    <row r="277" ht="13.5">
      <c r="A277" s="60">
        <v>1.0</v>
      </c>
      <c r="B277" s="5" t="s">
        <v>34</v>
      </c>
      <c r="C277" s="55" t="s">
        <v>18</v>
      </c>
      <c r="D277" s="55" t="str">
        <f>VLOOKUP($B277,Letters!$C$4:$D$27,2,FALSE) &amp; VLOOKUP($C277,Letters!$C$4:$D$27,2,FALSE)</f>
        <v>AI</v>
      </c>
      <c r="E277" s="5" t="s">
        <v>1024</v>
      </c>
      <c r="F277" s="5" t="s">
        <v>1025</v>
      </c>
      <c r="G277" s="55">
        <f t="shared" si="29"/>
        <v>13</v>
      </c>
      <c r="H277" s="55">
        <f t="shared" si="30"/>
        <v>14</v>
      </c>
      <c r="I277" s="55"/>
    </row>
    <row r="278" ht="13.5">
      <c r="A278" s="60">
        <v>1.0</v>
      </c>
      <c r="B278" s="5" t="s">
        <v>34</v>
      </c>
      <c r="C278" s="55" t="s">
        <v>20</v>
      </c>
      <c r="D278" s="55" t="str">
        <f>VLOOKUP($B278,Letters!$C$4:$D$27,2,FALSE) &amp; VLOOKUP($C278,Letters!$C$4:$D$27,2,FALSE)</f>
        <v>AR</v>
      </c>
      <c r="E278" s="5" t="s">
        <v>1026</v>
      </c>
      <c r="F278" s="5" t="s">
        <v>1027</v>
      </c>
      <c r="G278" s="55">
        <f t="shared" si="29"/>
        <v>13</v>
      </c>
      <c r="H278" s="55">
        <f t="shared" si="30"/>
        <v>18</v>
      </c>
      <c r="I278" s="55"/>
    </row>
    <row r="279" ht="13.5">
      <c r="A279" s="60">
        <v>1.0</v>
      </c>
      <c r="B279" s="5" t="s">
        <v>34</v>
      </c>
      <c r="C279" s="55" t="s">
        <v>22</v>
      </c>
      <c r="D279" s="55" t="str">
        <f>VLOOKUP($B279,Letters!$C$4:$D$27,2,FALSE) &amp; VLOOKUP($C279,Letters!$C$4:$D$27,2,FALSE)</f>
        <v>AK</v>
      </c>
      <c r="E279" s="5" t="s">
        <v>1028</v>
      </c>
      <c r="F279" s="5" t="s">
        <v>1029</v>
      </c>
      <c r="G279" s="55">
        <f t="shared" si="29"/>
        <v>11</v>
      </c>
      <c r="H279" s="55">
        <f t="shared" si="30"/>
        <v>14</v>
      </c>
      <c r="I279" s="55"/>
    </row>
    <row r="280" ht="13.5">
      <c r="A280" s="60">
        <v>1.0</v>
      </c>
      <c r="B280" s="5" t="s">
        <v>34</v>
      </c>
      <c r="C280" s="55" t="s">
        <v>24</v>
      </c>
      <c r="D280" s="55" t="str">
        <f>VLOOKUP($B280,Letters!$C$4:$D$27,2,FALSE) &amp; VLOOKUP($C280,Letters!$C$4:$D$27,2,FALSE)</f>
        <v>AL</v>
      </c>
      <c r="E280" s="5" t="s">
        <v>1030</v>
      </c>
      <c r="F280" s="5" t="s">
        <v>1031</v>
      </c>
      <c r="G280" s="55">
        <f t="shared" si="29"/>
        <v>12</v>
      </c>
      <c r="H280" s="55">
        <f t="shared" si="30"/>
        <v>14</v>
      </c>
      <c r="I280" s="55"/>
    </row>
    <row r="281" ht="13.5">
      <c r="A281" s="60">
        <v>1.0</v>
      </c>
      <c r="B281" s="5" t="s">
        <v>34</v>
      </c>
      <c r="C281" s="55" t="s">
        <v>26</v>
      </c>
      <c r="D281" s="55" t="str">
        <f>VLOOKUP($B281,Letters!$C$4:$D$27,2,FALSE) &amp; VLOOKUP($C281,Letters!$C$4:$D$27,2,FALSE)</f>
        <v>AM</v>
      </c>
      <c r="E281" s="5" t="s">
        <v>1032</v>
      </c>
      <c r="F281" s="5" t="s">
        <v>1033</v>
      </c>
      <c r="G281" s="55">
        <f t="shared" si="29"/>
        <v>9</v>
      </c>
      <c r="H281" s="55">
        <f t="shared" si="30"/>
        <v>12</v>
      </c>
      <c r="I281" s="55"/>
    </row>
    <row r="282" ht="13.5">
      <c r="A282" s="60">
        <v>1.0</v>
      </c>
      <c r="B282" s="5" t="s">
        <v>34</v>
      </c>
      <c r="C282" s="55" t="s">
        <v>30</v>
      </c>
      <c r="D282" s="55" t="str">
        <f>VLOOKUP($B282,Letters!$C$4:$D$27,2,FALSE) &amp; VLOOKUP($C282,Letters!$C$4:$D$27,2,FALSE)</f>
        <v>AO</v>
      </c>
      <c r="E282" s="5" t="s">
        <v>1034</v>
      </c>
      <c r="F282" s="5" t="s">
        <v>1035</v>
      </c>
      <c r="G282" s="55">
        <f t="shared" si="29"/>
        <v>11</v>
      </c>
      <c r="H282" s="55">
        <f t="shared" si="30"/>
        <v>16</v>
      </c>
      <c r="I282" s="55"/>
    </row>
    <row r="283" ht="13.5">
      <c r="A283" s="60">
        <v>1.0</v>
      </c>
      <c r="B283" s="5" t="s">
        <v>34</v>
      </c>
      <c r="C283" s="55" t="s">
        <v>32</v>
      </c>
      <c r="D283" s="55" t="str">
        <f>VLOOKUP($B283,Letters!$C$4:$D$27,2,FALSE) &amp; VLOOKUP($C283,Letters!$C$4:$D$27,2,FALSE)</f>
        <v>AP</v>
      </c>
      <c r="E283" s="5" t="s">
        <v>1036</v>
      </c>
      <c r="F283" s="5" t="s">
        <v>1037</v>
      </c>
      <c r="G283" s="55">
        <f t="shared" si="29"/>
        <v>11</v>
      </c>
      <c r="H283" s="55">
        <f t="shared" si="30"/>
        <v>12</v>
      </c>
      <c r="I283" s="55"/>
    </row>
    <row r="284" ht="13.5">
      <c r="A284" s="60">
        <v>1.0</v>
      </c>
      <c r="B284" s="5" t="s">
        <v>34</v>
      </c>
      <c r="C284" s="55" t="s">
        <v>37</v>
      </c>
      <c r="D284" s="55" t="str">
        <f>VLOOKUP($B284,Letters!$C$4:$D$27,2,FALSE) &amp; VLOOKUP($C284,Letters!$C$4:$D$27,2,FALSE)</f>
        <v>AS</v>
      </c>
      <c r="E284" s="5" t="s">
        <v>1038</v>
      </c>
      <c r="F284" s="5" t="s">
        <v>1039</v>
      </c>
      <c r="G284" s="55">
        <f t="shared" si="29"/>
        <v>9</v>
      </c>
      <c r="H284" s="55">
        <f t="shared" si="30"/>
        <v>14</v>
      </c>
      <c r="I284" s="55"/>
    </row>
    <row r="285" ht="13.5">
      <c r="A285" s="60">
        <v>1.0</v>
      </c>
      <c r="B285" s="5" t="s">
        <v>34</v>
      </c>
      <c r="C285" s="55" t="s">
        <v>39</v>
      </c>
      <c r="D285" s="55" t="str">
        <f>VLOOKUP($B285,Letters!$C$4:$D$27,2,FALSE) &amp; VLOOKUP($C285,Letters!$C$4:$D$27,2,FALSE)</f>
        <v>AT</v>
      </c>
      <c r="E285" s="5" t="s">
        <v>1040</v>
      </c>
      <c r="F285" s="5" t="s">
        <v>1041</v>
      </c>
      <c r="G285" s="55">
        <f t="shared" si="29"/>
        <v>13</v>
      </c>
      <c r="H285" s="55">
        <f t="shared" si="30"/>
        <v>14</v>
      </c>
      <c r="I285" s="55"/>
    </row>
    <row r="286" ht="13.5">
      <c r="A286" s="60">
        <v>1.0</v>
      </c>
      <c r="B286" s="5" t="s">
        <v>34</v>
      </c>
      <c r="C286" s="55" t="s">
        <v>41</v>
      </c>
      <c r="D286" s="55" t="str">
        <f>VLOOKUP($B286,Letters!$C$4:$D$27,2,FALSE) &amp; VLOOKUP($C286,Letters!$C$4:$D$27,2,FALSE)</f>
        <v>AU</v>
      </c>
      <c r="E286" s="5" t="s">
        <v>1042</v>
      </c>
      <c r="F286" s="5" t="s">
        <v>1043</v>
      </c>
      <c r="G286" s="55">
        <f t="shared" si="29"/>
        <v>15</v>
      </c>
      <c r="H286" s="55">
        <f t="shared" si="30"/>
        <v>16</v>
      </c>
      <c r="I286" s="55"/>
    </row>
    <row r="287" ht="13.5">
      <c r="A287" s="60">
        <v>1.0</v>
      </c>
      <c r="B287" s="5" t="s">
        <v>34</v>
      </c>
      <c r="C287" s="55" t="s">
        <v>43</v>
      </c>
      <c r="D287" s="55" t="str">
        <f>VLOOKUP($B287,Letters!$C$4:$D$27,2,FALSE) &amp; VLOOKUP($C287,Letters!$C$4:$D$27,2,FALSE)</f>
        <v>AV</v>
      </c>
      <c r="E287" s="5" t="s">
        <v>1044</v>
      </c>
      <c r="F287" s="5" t="s">
        <v>1045</v>
      </c>
      <c r="G287" s="55">
        <f t="shared" si="29"/>
        <v>13</v>
      </c>
      <c r="H287" s="55">
        <f t="shared" si="30"/>
        <v>14</v>
      </c>
      <c r="I287" s="55"/>
    </row>
    <row r="288" ht="13.5">
      <c r="A288" s="60">
        <v>1.0</v>
      </c>
      <c r="B288" s="5" t="s">
        <v>34</v>
      </c>
      <c r="C288" s="55" t="s">
        <v>45</v>
      </c>
      <c r="D288" s="55" t="str">
        <f>VLOOKUP($B288,Letters!$C$4:$D$27,2,FALSE) &amp; VLOOKUP($C288,Letters!$C$4:$D$27,2,FALSE)</f>
        <v>AW</v>
      </c>
      <c r="E288" s="5" t="s">
        <v>1046</v>
      </c>
      <c r="F288" s="5" t="s">
        <v>1047</v>
      </c>
      <c r="G288" s="55">
        <f t="shared" si="29"/>
        <v>10</v>
      </c>
      <c r="H288" s="55">
        <f t="shared" si="30"/>
        <v>12</v>
      </c>
      <c r="I288" s="55"/>
    </row>
    <row r="289" ht="13.5">
      <c r="A289" s="60">
        <v>1.0</v>
      </c>
      <c r="B289" s="5" t="s">
        <v>34</v>
      </c>
      <c r="C289" s="55" t="s">
        <v>47</v>
      </c>
      <c r="D289" s="55" t="str">
        <f>VLOOKUP($B289,Letters!$C$4:$D$27,2,FALSE) &amp; VLOOKUP($C289,Letters!$C$4:$D$27,2,FALSE)</f>
        <v>AE</v>
      </c>
      <c r="E289" s="5" t="s">
        <v>1048</v>
      </c>
      <c r="F289" s="5" t="s">
        <v>1049</v>
      </c>
      <c r="G289" s="55">
        <f t="shared" si="29"/>
        <v>10</v>
      </c>
      <c r="H289" s="55">
        <f t="shared" si="30"/>
        <v>12</v>
      </c>
      <c r="I289" s="56">
        <f>AVERAGE($H272:$H289)</f>
        <v>13.88888889</v>
      </c>
    </row>
    <row r="290">
      <c r="A290" s="54"/>
      <c r="B290" s="5"/>
      <c r="C290" s="55"/>
      <c r="D290" s="55"/>
      <c r="E290" s="55"/>
      <c r="F290" s="55"/>
      <c r="G290" s="55"/>
      <c r="H290" s="55"/>
      <c r="I290" s="55"/>
    </row>
    <row r="291" ht="13.5">
      <c r="A291" s="60">
        <v>1.0</v>
      </c>
      <c r="B291" s="5" t="s">
        <v>37</v>
      </c>
      <c r="C291" s="55" t="s">
        <v>5</v>
      </c>
      <c r="D291" s="55" t="str">
        <f>VLOOKUP($B291,Letters!$C$4:$D$27,2,FALSE) &amp; VLOOKUP($C291,Letters!$C$4:$D$27,2,FALSE)</f>
        <v>SB</v>
      </c>
      <c r="E291" s="5" t="s">
        <v>1050</v>
      </c>
      <c r="F291" s="5" t="s">
        <v>1051</v>
      </c>
      <c r="G291" s="55">
        <f t="shared" ref="G291:G308" si="31">(len($F291)-len(SUBSTITUTE($F291,"R","")))+(len($F291)-len(SUBSTITUTE($F291,"L","")))+(len($F291)-len(SUBSTITUTE($F291,"U","")))+(len($F291)-len(SUBSTITUTE($F291,"D","")))+(len($F291)-len(SUBSTITUTE($F291,"F","")))+(len($F291)-len(SUBSTITUTE($F291,"B","")))</f>
        <v>10</v>
      </c>
      <c r="H291" s="55">
        <f t="shared" ref="H291:H308" si="32">(len($F291)-len(SUBSTITUTE($F291,"R","")))+(len($F291)-len(SUBSTITUTE($F291,"L","")))+(len($F291)-len(SUBSTITUTE($F291,"U","")))+(len($F291)-len(SUBSTITUTE($F291,"D","")))+(len($F291)-len(SUBSTITUTE($F291,"F","")))+(len($F291)-len(SUBSTITUTE($F291,"B","")))+(len($F291)-len(SUBSTITUTE($F291,"2","")))</f>
        <v>10</v>
      </c>
      <c r="I291" s="55"/>
    </row>
    <row r="292" ht="13.5">
      <c r="A292" s="54"/>
      <c r="B292" s="5" t="s">
        <v>37</v>
      </c>
      <c r="C292" s="55" t="s">
        <v>7</v>
      </c>
      <c r="D292" s="55" t="str">
        <f>VLOOKUP($B292,Letters!$C$4:$D$27,2,FALSE) &amp; VLOOKUP($C292,Letters!$C$4:$D$27,2,FALSE)</f>
        <v>SC</v>
      </c>
      <c r="E292" s="5" t="s">
        <v>1052</v>
      </c>
      <c r="F292" s="5" t="s">
        <v>1053</v>
      </c>
      <c r="G292" s="55">
        <f t="shared" si="31"/>
        <v>11</v>
      </c>
      <c r="H292" s="55">
        <f t="shared" si="32"/>
        <v>12</v>
      </c>
      <c r="I292" s="55"/>
    </row>
    <row r="293" ht="13.5">
      <c r="A293" s="54"/>
      <c r="B293" s="5" t="s">
        <v>37</v>
      </c>
      <c r="C293" s="55" t="s">
        <v>9</v>
      </c>
      <c r="D293" s="55" t="str">
        <f>VLOOKUP($B293,Letters!$C$4:$D$27,2,FALSE) &amp; VLOOKUP($C293,Letters!$C$4:$D$27,2,FALSE)</f>
        <v>SD</v>
      </c>
      <c r="E293" s="5" t="s">
        <v>1054</v>
      </c>
      <c r="F293" s="5" t="s">
        <v>1055</v>
      </c>
      <c r="G293" s="55">
        <f t="shared" si="31"/>
        <v>11</v>
      </c>
      <c r="H293" s="55">
        <f t="shared" si="32"/>
        <v>12</v>
      </c>
      <c r="I293" s="55"/>
    </row>
    <row r="294" ht="13.5">
      <c r="A294" s="54"/>
      <c r="B294" s="5" t="s">
        <v>37</v>
      </c>
      <c r="C294" s="55" t="s">
        <v>12</v>
      </c>
      <c r="D294" s="55" t="str">
        <f>VLOOKUP($B294,Letters!$C$4:$D$27,2,FALSE) &amp; VLOOKUP($C294,Letters!$C$4:$D$27,2,FALSE)</f>
        <v>SF</v>
      </c>
      <c r="E294" s="5" t="s">
        <v>1056</v>
      </c>
      <c r="F294" s="5" t="s">
        <v>1057</v>
      </c>
      <c r="G294" s="55">
        <f t="shared" si="31"/>
        <v>13</v>
      </c>
      <c r="H294" s="55">
        <f t="shared" si="32"/>
        <v>14</v>
      </c>
      <c r="I294" s="55"/>
    </row>
    <row r="295" ht="13.5">
      <c r="A295" s="60">
        <v>1.0</v>
      </c>
      <c r="B295" s="5" t="s">
        <v>37</v>
      </c>
      <c r="C295" s="55" t="s">
        <v>14</v>
      </c>
      <c r="D295" s="55" t="str">
        <f>VLOOKUP($B295,Letters!$C$4:$D$27,2,FALSE) &amp; VLOOKUP($C295,Letters!$C$4:$D$27,2,FALSE)</f>
        <v>SG</v>
      </c>
      <c r="E295" s="5" t="s">
        <v>1058</v>
      </c>
      <c r="F295" s="5" t="s">
        <v>1059</v>
      </c>
      <c r="G295" s="55">
        <f t="shared" si="31"/>
        <v>9</v>
      </c>
      <c r="H295" s="55">
        <f t="shared" si="32"/>
        <v>12</v>
      </c>
      <c r="I295" s="55"/>
    </row>
    <row r="296" ht="13.5">
      <c r="A296" s="54"/>
      <c r="B296" s="5" t="s">
        <v>37</v>
      </c>
      <c r="C296" s="55" t="s">
        <v>18</v>
      </c>
      <c r="D296" s="55" t="str">
        <f>VLOOKUP($B296,Letters!$C$4:$D$27,2,FALSE) &amp; VLOOKUP($C296,Letters!$C$4:$D$27,2,FALSE)</f>
        <v>SI</v>
      </c>
      <c r="E296" s="5" t="s">
        <v>1060</v>
      </c>
      <c r="F296" s="5" t="s">
        <v>1061</v>
      </c>
      <c r="G296" s="55">
        <f t="shared" si="31"/>
        <v>16</v>
      </c>
      <c r="H296" s="55">
        <f t="shared" si="32"/>
        <v>16</v>
      </c>
      <c r="I296" s="55"/>
    </row>
    <row r="297" ht="13.5">
      <c r="A297" s="54"/>
      <c r="B297" s="5" t="s">
        <v>37</v>
      </c>
      <c r="C297" s="55" t="s">
        <v>20</v>
      </c>
      <c r="D297" s="55" t="str">
        <f>VLOOKUP($B297,Letters!$C$4:$D$27,2,FALSE) &amp; VLOOKUP($C297,Letters!$C$4:$D$27,2,FALSE)</f>
        <v>SR</v>
      </c>
      <c r="E297" s="5" t="s">
        <v>1062</v>
      </c>
      <c r="F297" s="5" t="s">
        <v>1063</v>
      </c>
      <c r="G297" s="55">
        <f t="shared" si="31"/>
        <v>12</v>
      </c>
      <c r="H297" s="55">
        <f t="shared" si="32"/>
        <v>12</v>
      </c>
      <c r="I297" s="55"/>
    </row>
    <row r="298" ht="13.5">
      <c r="A298" s="60">
        <v>1.0</v>
      </c>
      <c r="B298" s="5" t="s">
        <v>37</v>
      </c>
      <c r="C298" s="55" t="s">
        <v>22</v>
      </c>
      <c r="D298" s="55" t="str">
        <f>VLOOKUP($B298,Letters!$C$4:$D$27,2,FALSE) &amp; VLOOKUP($C298,Letters!$C$4:$D$27,2,FALSE)</f>
        <v>SK</v>
      </c>
      <c r="E298" s="5" t="s">
        <v>1064</v>
      </c>
      <c r="F298" s="5" t="s">
        <v>1065</v>
      </c>
      <c r="G298" s="55">
        <f t="shared" si="31"/>
        <v>8</v>
      </c>
      <c r="H298" s="55">
        <f t="shared" si="32"/>
        <v>12</v>
      </c>
      <c r="I298" s="55"/>
    </row>
    <row r="299" ht="13.5">
      <c r="A299" s="60">
        <v>1.0</v>
      </c>
      <c r="B299" s="5" t="s">
        <v>37</v>
      </c>
      <c r="C299" s="55" t="s">
        <v>24</v>
      </c>
      <c r="D299" s="55" t="str">
        <f>VLOOKUP($B299,Letters!$C$4:$D$27,2,FALSE) &amp; VLOOKUP($C299,Letters!$C$4:$D$27,2,FALSE)</f>
        <v>SL</v>
      </c>
      <c r="E299" s="5" t="s">
        <v>1066</v>
      </c>
      <c r="F299" s="5" t="s">
        <v>1067</v>
      </c>
      <c r="G299" s="55">
        <f t="shared" si="31"/>
        <v>13</v>
      </c>
      <c r="H299" s="55">
        <f t="shared" si="32"/>
        <v>14</v>
      </c>
      <c r="I299" s="55"/>
    </row>
    <row r="300" ht="13.5">
      <c r="A300" s="54"/>
      <c r="B300" s="5" t="s">
        <v>37</v>
      </c>
      <c r="C300" s="55" t="s">
        <v>26</v>
      </c>
      <c r="D300" s="55" t="str">
        <f>VLOOKUP($B300,Letters!$C$4:$D$27,2,FALSE) &amp; VLOOKUP($C300,Letters!$C$4:$D$27,2,FALSE)</f>
        <v>SM</v>
      </c>
      <c r="E300" s="5" t="s">
        <v>1068</v>
      </c>
      <c r="F300" s="5" t="s">
        <v>1069</v>
      </c>
      <c r="G300" s="55">
        <f t="shared" si="31"/>
        <v>13</v>
      </c>
      <c r="H300" s="55">
        <f t="shared" si="32"/>
        <v>14</v>
      </c>
      <c r="I300" s="55"/>
    </row>
    <row r="301" ht="13.5">
      <c r="A301" s="60">
        <v>1.0</v>
      </c>
      <c r="B301" s="5" t="s">
        <v>37</v>
      </c>
      <c r="C301" s="55" t="s">
        <v>28</v>
      </c>
      <c r="D301" s="55" t="str">
        <f>VLOOKUP($B301,Letters!$C$4:$D$27,2,FALSE) &amp; VLOOKUP($C301,Letters!$C$4:$D$27,2,FALSE)</f>
        <v>SN</v>
      </c>
      <c r="E301" s="5" t="s">
        <v>1070</v>
      </c>
      <c r="F301" s="5" t="s">
        <v>1071</v>
      </c>
      <c r="G301" s="55">
        <f t="shared" si="31"/>
        <v>8</v>
      </c>
      <c r="H301" s="55">
        <f t="shared" si="32"/>
        <v>8</v>
      </c>
      <c r="I301" s="55"/>
    </row>
    <row r="302" ht="13.5">
      <c r="A302" s="54"/>
      <c r="B302" s="5" t="s">
        <v>37</v>
      </c>
      <c r="C302" s="55" t="s">
        <v>30</v>
      </c>
      <c r="D302" s="55" t="str">
        <f>VLOOKUP($B302,Letters!$C$4:$D$27,2,FALSE) &amp; VLOOKUP($C302,Letters!$C$4:$D$27,2,FALSE)</f>
        <v>SO</v>
      </c>
      <c r="E302" s="5" t="s">
        <v>1072</v>
      </c>
      <c r="F302" s="5" t="s">
        <v>1073</v>
      </c>
      <c r="G302" s="55">
        <f t="shared" si="31"/>
        <v>10</v>
      </c>
      <c r="H302" s="55">
        <f t="shared" si="32"/>
        <v>10</v>
      </c>
      <c r="I302" s="55"/>
    </row>
    <row r="303" ht="13.5">
      <c r="A303" s="54"/>
      <c r="B303" s="5" t="s">
        <v>37</v>
      </c>
      <c r="C303" s="55" t="s">
        <v>32</v>
      </c>
      <c r="D303" s="55" t="str">
        <f>VLOOKUP($B303,Letters!$C$4:$D$27,2,FALSE) &amp; VLOOKUP($C303,Letters!$C$4:$D$27,2,FALSE)</f>
        <v>SP</v>
      </c>
      <c r="E303" s="5" t="s">
        <v>1074</v>
      </c>
      <c r="F303" s="5" t="s">
        <v>1075</v>
      </c>
      <c r="G303" s="55">
        <f t="shared" si="31"/>
        <v>11</v>
      </c>
      <c r="H303" s="55">
        <f t="shared" si="32"/>
        <v>14</v>
      </c>
      <c r="I303" s="55"/>
    </row>
    <row r="304" ht="13.5">
      <c r="A304" s="60">
        <v>1.0</v>
      </c>
      <c r="B304" s="5" t="s">
        <v>37</v>
      </c>
      <c r="C304" s="55" t="s">
        <v>34</v>
      </c>
      <c r="D304" s="55" t="str">
        <f>VLOOKUP($B304,Letters!$C$4:$D$27,2,FALSE) &amp; VLOOKUP($C304,Letters!$C$4:$D$27,2,FALSE)</f>
        <v>SA</v>
      </c>
      <c r="E304" s="5" t="s">
        <v>1076</v>
      </c>
      <c r="F304" s="5" t="s">
        <v>1077</v>
      </c>
      <c r="G304" s="55">
        <f t="shared" si="31"/>
        <v>11</v>
      </c>
      <c r="H304" s="55">
        <f t="shared" si="32"/>
        <v>14</v>
      </c>
      <c r="I304" s="55"/>
    </row>
    <row r="305" ht="13.5">
      <c r="A305" s="54"/>
      <c r="B305" s="5" t="s">
        <v>37</v>
      </c>
      <c r="C305" s="55" t="s">
        <v>39</v>
      </c>
      <c r="D305" s="55" t="str">
        <f>VLOOKUP($B305,Letters!$C$4:$D$27,2,FALSE) &amp; VLOOKUP($C305,Letters!$C$4:$D$27,2,FALSE)</f>
        <v>ST</v>
      </c>
      <c r="E305" s="68" t="s">
        <v>1078</v>
      </c>
      <c r="F305" s="5" t="s">
        <v>1079</v>
      </c>
      <c r="G305" s="55">
        <f t="shared" si="31"/>
        <v>8</v>
      </c>
      <c r="H305" s="55">
        <f t="shared" si="32"/>
        <v>8</v>
      </c>
      <c r="I305" s="55"/>
    </row>
    <row r="306" ht="13.5">
      <c r="A306" s="54"/>
      <c r="B306" s="5" t="s">
        <v>37</v>
      </c>
      <c r="C306" s="55" t="s">
        <v>41</v>
      </c>
      <c r="D306" s="55" t="str">
        <f>VLOOKUP($B306,Letters!$C$4:$D$27,2,FALSE) &amp; VLOOKUP($C306,Letters!$C$4:$D$27,2,FALSE)</f>
        <v>SU</v>
      </c>
      <c r="E306" s="5" t="s">
        <v>1080</v>
      </c>
      <c r="F306" s="5" t="s">
        <v>1081</v>
      </c>
      <c r="G306" s="55">
        <f t="shared" si="31"/>
        <v>13</v>
      </c>
      <c r="H306" s="55">
        <f t="shared" si="32"/>
        <v>16</v>
      </c>
      <c r="I306" s="55"/>
    </row>
    <row r="307" ht="13.5">
      <c r="A307" s="54"/>
      <c r="B307" s="5" t="s">
        <v>37</v>
      </c>
      <c r="C307" s="55" t="s">
        <v>43</v>
      </c>
      <c r="D307" s="55" t="str">
        <f>VLOOKUP($B307,Letters!$C$4:$D$27,2,FALSE) &amp; VLOOKUP($C307,Letters!$C$4:$D$27,2,FALSE)</f>
        <v>SV</v>
      </c>
      <c r="E307" s="5" t="s">
        <v>1082</v>
      </c>
      <c r="F307" s="5" t="s">
        <v>1083</v>
      </c>
      <c r="G307" s="55">
        <f t="shared" si="31"/>
        <v>11</v>
      </c>
      <c r="H307" s="55">
        <f t="shared" si="32"/>
        <v>14</v>
      </c>
      <c r="I307" s="55"/>
    </row>
    <row r="308" ht="13.5">
      <c r="A308" s="54"/>
      <c r="B308" s="5" t="s">
        <v>37</v>
      </c>
      <c r="C308" s="55" t="s">
        <v>45</v>
      </c>
      <c r="D308" s="55" t="str">
        <f>VLOOKUP($B308,Letters!$C$4:$D$27,2,FALSE) &amp; VLOOKUP($C308,Letters!$C$4:$D$27,2,FALSE)</f>
        <v>SW</v>
      </c>
      <c r="E308" s="5" t="s">
        <v>1084</v>
      </c>
      <c r="F308" s="5" t="s">
        <v>1085</v>
      </c>
      <c r="G308" s="55">
        <f t="shared" si="31"/>
        <v>9</v>
      </c>
      <c r="H308" s="55">
        <f t="shared" si="32"/>
        <v>14</v>
      </c>
      <c r="I308" s="56">
        <f>AVERAGE($H291:$H308)</f>
        <v>12.55555556</v>
      </c>
    </row>
    <row r="309">
      <c r="A309" s="54"/>
      <c r="B309" s="55"/>
      <c r="C309" s="55"/>
      <c r="D309" s="55"/>
      <c r="E309" s="55"/>
      <c r="F309" s="55"/>
      <c r="G309" s="55"/>
      <c r="H309" s="55"/>
      <c r="I309" s="55"/>
    </row>
    <row r="310" ht="13.5">
      <c r="A310" s="60">
        <v>1.0</v>
      </c>
      <c r="B310" s="5" t="s">
        <v>39</v>
      </c>
      <c r="C310" s="55" t="s">
        <v>5</v>
      </c>
      <c r="D310" s="55" t="str">
        <f>VLOOKUP($B310,Letters!$C$4:$D$27,2,FALSE) &amp; VLOOKUP($C310,Letters!$C$4:$D$27,2,FALSE)</f>
        <v>TB</v>
      </c>
      <c r="E310" s="5" t="s">
        <v>1086</v>
      </c>
      <c r="F310" s="5" t="s">
        <v>1087</v>
      </c>
      <c r="G310" s="55">
        <f t="shared" ref="G310:G327" si="33">(len($F310)-len(SUBSTITUTE($F310,"R","")))+(len($F310)-len(SUBSTITUTE($F310,"L","")))+(len($F310)-len(SUBSTITUTE($F310,"U","")))+(len($F310)-len(SUBSTITUTE($F310,"D","")))+(len($F310)-len(SUBSTITUTE($F310,"F","")))+(len($F310)-len(SUBSTITUTE($F310,"B","")))</f>
        <v>10</v>
      </c>
      <c r="H310" s="55">
        <f t="shared" ref="H310:H327" si="34">(len($F310)-len(SUBSTITUTE($F310,"R","")))+(len($F310)-len(SUBSTITUTE($F310,"L","")))+(len($F310)-len(SUBSTITUTE($F310,"U","")))+(len($F310)-len(SUBSTITUTE($F310,"D","")))+(len($F310)-len(SUBSTITUTE($F310,"F","")))+(len($F310)-len(SUBSTITUTE($F310,"B","")))+(len($F310)-len(SUBSTITUTE($F310,"2","")))</f>
        <v>10</v>
      </c>
      <c r="I310" s="55"/>
    </row>
    <row r="311" ht="13.5">
      <c r="A311" s="54"/>
      <c r="B311" s="5" t="s">
        <v>39</v>
      </c>
      <c r="C311" s="55" t="s">
        <v>7</v>
      </c>
      <c r="D311" s="55" t="str">
        <f>VLOOKUP($B311,Letters!$C$4:$D$27,2,FALSE) &amp; VLOOKUP($C311,Letters!$C$4:$D$27,2,FALSE)</f>
        <v>TC</v>
      </c>
      <c r="E311" s="5" t="s">
        <v>1088</v>
      </c>
      <c r="F311" s="5" t="s">
        <v>1089</v>
      </c>
      <c r="G311" s="55">
        <f t="shared" si="33"/>
        <v>11</v>
      </c>
      <c r="H311" s="55">
        <f t="shared" si="34"/>
        <v>12</v>
      </c>
      <c r="I311" s="55"/>
    </row>
    <row r="312" ht="13.5">
      <c r="A312" s="54"/>
      <c r="B312" s="5" t="s">
        <v>39</v>
      </c>
      <c r="C312" s="55" t="s">
        <v>9</v>
      </c>
      <c r="D312" s="55" t="str">
        <f>VLOOKUP($B312,Letters!$C$4:$D$27,2,FALSE) &amp; VLOOKUP($C312,Letters!$C$4:$D$27,2,FALSE)</f>
        <v>TD</v>
      </c>
      <c r="E312" s="5" t="s">
        <v>1090</v>
      </c>
      <c r="F312" s="5" t="s">
        <v>1091</v>
      </c>
      <c r="G312" s="55">
        <f t="shared" si="33"/>
        <v>11</v>
      </c>
      <c r="H312" s="55">
        <f t="shared" si="34"/>
        <v>12</v>
      </c>
      <c r="I312" s="55"/>
    </row>
    <row r="313" ht="13.5">
      <c r="A313" s="54"/>
      <c r="B313" s="5" t="s">
        <v>39</v>
      </c>
      <c r="C313" s="55" t="s">
        <v>12</v>
      </c>
      <c r="D313" s="55" t="str">
        <f>VLOOKUP($B313,Letters!$C$4:$D$27,2,FALSE) &amp; VLOOKUP($C313,Letters!$C$4:$D$27,2,FALSE)</f>
        <v>TF</v>
      </c>
      <c r="E313" s="5" t="s">
        <v>1092</v>
      </c>
      <c r="F313" s="5" t="s">
        <v>1093</v>
      </c>
      <c r="G313" s="55">
        <f t="shared" si="33"/>
        <v>13</v>
      </c>
      <c r="H313" s="55">
        <f t="shared" si="34"/>
        <v>16</v>
      </c>
      <c r="I313" s="55"/>
    </row>
    <row r="314" ht="13.5">
      <c r="A314" s="60">
        <v>1.0</v>
      </c>
      <c r="B314" s="5" t="s">
        <v>39</v>
      </c>
      <c r="C314" s="55" t="s">
        <v>14</v>
      </c>
      <c r="D314" s="55" t="str">
        <f>VLOOKUP($B314,Letters!$C$4:$D$27,2,FALSE) &amp; VLOOKUP($C314,Letters!$C$4:$D$27,2,FALSE)</f>
        <v>TG</v>
      </c>
      <c r="E314" s="5" t="s">
        <v>1094</v>
      </c>
      <c r="F314" s="5" t="s">
        <v>1095</v>
      </c>
      <c r="G314" s="55">
        <f t="shared" si="33"/>
        <v>11</v>
      </c>
      <c r="H314" s="55">
        <f t="shared" si="34"/>
        <v>12</v>
      </c>
      <c r="I314" s="55"/>
    </row>
    <row r="315" ht="13.5">
      <c r="A315" s="60">
        <v>1.0</v>
      </c>
      <c r="B315" s="5" t="s">
        <v>39</v>
      </c>
      <c r="C315" s="55" t="s">
        <v>16</v>
      </c>
      <c r="D315" s="55" t="str">
        <f>VLOOKUP($B315,Letters!$C$4:$D$27,2,FALSE) &amp; VLOOKUP($C315,Letters!$C$4:$D$27,2,FALSE)</f>
        <v>TH</v>
      </c>
      <c r="E315" s="5" t="s">
        <v>1096</v>
      </c>
      <c r="F315" s="5" t="s">
        <v>1097</v>
      </c>
      <c r="G315" s="55">
        <f t="shared" si="33"/>
        <v>8</v>
      </c>
      <c r="H315" s="55">
        <f t="shared" si="34"/>
        <v>8</v>
      </c>
      <c r="I315" s="55"/>
    </row>
    <row r="316" ht="13.5">
      <c r="A316" s="54"/>
      <c r="B316" s="5" t="s">
        <v>39</v>
      </c>
      <c r="C316" s="55" t="s">
        <v>18</v>
      </c>
      <c r="D316" s="55" t="str">
        <f>VLOOKUP($B316,Letters!$C$4:$D$27,2,FALSE) &amp; VLOOKUP($C316,Letters!$C$4:$D$27,2,FALSE)</f>
        <v>TI</v>
      </c>
      <c r="E316" s="5" t="s">
        <v>1098</v>
      </c>
      <c r="F316" s="5" t="s">
        <v>1099</v>
      </c>
      <c r="G316" s="55">
        <f t="shared" si="33"/>
        <v>8</v>
      </c>
      <c r="H316" s="55">
        <f t="shared" si="34"/>
        <v>8</v>
      </c>
      <c r="I316" s="55"/>
    </row>
    <row r="317" ht="13.5">
      <c r="A317" s="54"/>
      <c r="B317" s="5" t="s">
        <v>39</v>
      </c>
      <c r="C317" s="55" t="s">
        <v>20</v>
      </c>
      <c r="D317" s="55" t="str">
        <f>VLOOKUP($B317,Letters!$C$4:$D$27,2,FALSE) &amp; VLOOKUP($C317,Letters!$C$4:$D$27,2,FALSE)</f>
        <v>TR</v>
      </c>
      <c r="E317" s="5" t="s">
        <v>1100</v>
      </c>
      <c r="F317" s="5" t="s">
        <v>1101</v>
      </c>
      <c r="G317" s="55">
        <f t="shared" si="33"/>
        <v>11</v>
      </c>
      <c r="H317" s="55">
        <f t="shared" si="34"/>
        <v>12</v>
      </c>
      <c r="I317" s="55"/>
    </row>
    <row r="318" ht="13.5">
      <c r="A318" s="54"/>
      <c r="B318" s="5" t="s">
        <v>39</v>
      </c>
      <c r="C318" s="55" t="s">
        <v>22</v>
      </c>
      <c r="D318" s="55" t="str">
        <f>VLOOKUP($B318,Letters!$C$4:$D$27,2,FALSE) &amp; VLOOKUP($C318,Letters!$C$4:$D$27,2,FALSE)</f>
        <v>TK</v>
      </c>
      <c r="E318" s="5" t="s">
        <v>1102</v>
      </c>
      <c r="F318" s="5" t="s">
        <v>1103</v>
      </c>
      <c r="G318" s="55">
        <f t="shared" si="33"/>
        <v>13</v>
      </c>
      <c r="H318" s="55">
        <f t="shared" si="34"/>
        <v>14</v>
      </c>
      <c r="I318" s="55"/>
    </row>
    <row r="319" ht="13.5">
      <c r="A319" s="60">
        <v>1.0</v>
      </c>
      <c r="B319" s="5" t="s">
        <v>39</v>
      </c>
      <c r="C319" s="55" t="s">
        <v>24</v>
      </c>
      <c r="D319" s="55" t="str">
        <f>VLOOKUP($B319,Letters!$C$4:$D$27,2,FALSE) &amp; VLOOKUP($C319,Letters!$C$4:$D$27,2,FALSE)</f>
        <v>TL</v>
      </c>
      <c r="E319" s="5" t="s">
        <v>1104</v>
      </c>
      <c r="F319" s="5" t="s">
        <v>1105</v>
      </c>
      <c r="G319" s="55">
        <f t="shared" si="33"/>
        <v>8</v>
      </c>
      <c r="H319" s="55">
        <f t="shared" si="34"/>
        <v>10</v>
      </c>
      <c r="I319" s="55"/>
    </row>
    <row r="320" ht="13.5">
      <c r="A320" s="54"/>
      <c r="B320" s="5" t="s">
        <v>39</v>
      </c>
      <c r="C320" s="55" t="s">
        <v>26</v>
      </c>
      <c r="D320" s="55" t="str">
        <f>VLOOKUP($B320,Letters!$C$4:$D$27,2,FALSE) &amp; VLOOKUP($C320,Letters!$C$4:$D$27,2,FALSE)</f>
        <v>TM</v>
      </c>
      <c r="E320" s="5" t="s">
        <v>1106</v>
      </c>
      <c r="F320" s="5" t="s">
        <v>1107</v>
      </c>
      <c r="G320" s="55">
        <f t="shared" si="33"/>
        <v>11</v>
      </c>
      <c r="H320" s="55">
        <f t="shared" si="34"/>
        <v>12</v>
      </c>
      <c r="I320" s="55"/>
    </row>
    <row r="321" ht="13.5">
      <c r="A321" s="60">
        <v>1.0</v>
      </c>
      <c r="B321" s="5" t="s">
        <v>39</v>
      </c>
      <c r="C321" s="55" t="s">
        <v>28</v>
      </c>
      <c r="D321" s="55" t="str">
        <f>VLOOKUP($B321,Letters!$C$4:$D$27,2,FALSE) &amp; VLOOKUP($C321,Letters!$C$4:$D$27,2,FALSE)</f>
        <v>TN</v>
      </c>
      <c r="E321" s="5" t="s">
        <v>1108</v>
      </c>
      <c r="F321" s="5" t="s">
        <v>1109</v>
      </c>
      <c r="G321" s="55">
        <f t="shared" si="33"/>
        <v>13</v>
      </c>
      <c r="H321" s="55">
        <f t="shared" si="34"/>
        <v>16</v>
      </c>
      <c r="I321" s="55"/>
    </row>
    <row r="322" ht="13.5">
      <c r="A322" s="60">
        <v>1.0</v>
      </c>
      <c r="B322" s="5" t="s">
        <v>39</v>
      </c>
      <c r="C322" s="55" t="s">
        <v>32</v>
      </c>
      <c r="D322" s="55" t="str">
        <f>VLOOKUP($B322,Letters!$C$4:$D$27,2,FALSE) &amp; VLOOKUP($C322,Letters!$C$4:$D$27,2,FALSE)</f>
        <v>TP</v>
      </c>
      <c r="E322" s="5" t="s">
        <v>1110</v>
      </c>
      <c r="F322" s="5" t="s">
        <v>1111</v>
      </c>
      <c r="G322" s="55">
        <f t="shared" si="33"/>
        <v>8</v>
      </c>
      <c r="H322" s="55">
        <f t="shared" si="34"/>
        <v>8</v>
      </c>
      <c r="I322" s="55"/>
    </row>
    <row r="323" ht="13.5">
      <c r="A323" s="60">
        <v>1.0</v>
      </c>
      <c r="B323" s="5" t="s">
        <v>39</v>
      </c>
      <c r="C323" s="55" t="s">
        <v>34</v>
      </c>
      <c r="D323" s="55" t="str">
        <f>VLOOKUP($B323,Letters!$C$4:$D$27,2,FALSE) &amp; VLOOKUP($C323,Letters!$C$4:$D$27,2,FALSE)</f>
        <v>TA</v>
      </c>
      <c r="E323" s="5" t="s">
        <v>1112</v>
      </c>
      <c r="F323" s="5" t="s">
        <v>1113</v>
      </c>
      <c r="G323" s="55">
        <f t="shared" si="33"/>
        <v>13</v>
      </c>
      <c r="H323" s="55">
        <f t="shared" si="34"/>
        <v>14</v>
      </c>
      <c r="I323" s="55"/>
    </row>
    <row r="324" ht="13.5">
      <c r="A324" s="54"/>
      <c r="B324" s="5" t="s">
        <v>39</v>
      </c>
      <c r="C324" s="55" t="s">
        <v>37</v>
      </c>
      <c r="D324" s="55" t="str">
        <f>VLOOKUP($B324,Letters!$C$4:$D$27,2,FALSE) &amp; VLOOKUP($C324,Letters!$C$4:$D$27,2,FALSE)</f>
        <v>TS</v>
      </c>
      <c r="E324" s="5" t="s">
        <v>1114</v>
      </c>
      <c r="F324" s="5" t="s">
        <v>1115</v>
      </c>
      <c r="G324" s="55">
        <f t="shared" si="33"/>
        <v>8</v>
      </c>
      <c r="H324" s="55">
        <f t="shared" si="34"/>
        <v>8</v>
      </c>
      <c r="I324" s="55"/>
    </row>
    <row r="325" ht="13.5">
      <c r="A325" s="54"/>
      <c r="B325" s="5" t="s">
        <v>39</v>
      </c>
      <c r="C325" s="55" t="s">
        <v>41</v>
      </c>
      <c r="D325" s="55" t="str">
        <f>VLOOKUP($B325,Letters!$C$4:$D$27,2,FALSE) &amp; VLOOKUP($C325,Letters!$C$4:$D$27,2,FALSE)</f>
        <v>TU</v>
      </c>
      <c r="E325" s="5" t="s">
        <v>1116</v>
      </c>
      <c r="F325" s="5" t="s">
        <v>1117</v>
      </c>
      <c r="G325" s="55">
        <f t="shared" si="33"/>
        <v>8</v>
      </c>
      <c r="H325" s="55">
        <f t="shared" si="34"/>
        <v>10</v>
      </c>
      <c r="I325" s="55"/>
    </row>
    <row r="326" ht="13.5">
      <c r="A326" s="54"/>
      <c r="B326" s="5" t="s">
        <v>39</v>
      </c>
      <c r="C326" s="55" t="s">
        <v>43</v>
      </c>
      <c r="D326" s="55" t="str">
        <f>VLOOKUP($B326,Letters!$C$4:$D$27,2,FALSE) &amp; VLOOKUP($C326,Letters!$C$4:$D$27,2,FALSE)</f>
        <v>TV</v>
      </c>
      <c r="E326" s="5" t="s">
        <v>1118</v>
      </c>
      <c r="F326" s="5" t="s">
        <v>1119</v>
      </c>
      <c r="G326" s="55">
        <f t="shared" si="33"/>
        <v>12</v>
      </c>
      <c r="H326" s="55">
        <f t="shared" si="34"/>
        <v>12</v>
      </c>
      <c r="I326" s="55"/>
    </row>
    <row r="327" ht="13.5">
      <c r="A327" s="54"/>
      <c r="B327" s="5" t="s">
        <v>39</v>
      </c>
      <c r="C327" s="55" t="s">
        <v>47</v>
      </c>
      <c r="D327" s="55" t="str">
        <f>VLOOKUP($B327,Letters!$C$4:$D$27,2,FALSE) &amp; VLOOKUP($C327,Letters!$C$4:$D$27,2,FALSE)</f>
        <v>TE</v>
      </c>
      <c r="E327" s="5" t="s">
        <v>1120</v>
      </c>
      <c r="F327" s="5" t="s">
        <v>1121</v>
      </c>
      <c r="G327" s="55">
        <f t="shared" si="33"/>
        <v>10</v>
      </c>
      <c r="H327" s="55">
        <f t="shared" si="34"/>
        <v>12</v>
      </c>
      <c r="I327" s="56">
        <f>AVERAGE($H310:$H327)</f>
        <v>11.44444444</v>
      </c>
    </row>
    <row r="328">
      <c r="A328" s="54"/>
      <c r="B328" s="55"/>
      <c r="C328" s="55"/>
      <c r="D328" s="55"/>
      <c r="E328" s="55"/>
      <c r="F328" s="55"/>
      <c r="G328" s="55"/>
      <c r="H328" s="55"/>
      <c r="I328" s="55"/>
    </row>
    <row r="329" ht="13.5">
      <c r="A329" s="60">
        <v>1.0</v>
      </c>
      <c r="B329" s="5" t="s">
        <v>41</v>
      </c>
      <c r="C329" s="68" t="s">
        <v>5</v>
      </c>
      <c r="D329" s="55" t="str">
        <f>VLOOKUP($B329,Letters!$C$4:$D$27,2,FALSE) &amp; VLOOKUP($C329,Letters!$C$4:$D$27,2,FALSE)</f>
        <v>UB</v>
      </c>
      <c r="E329" s="5" t="s">
        <v>1122</v>
      </c>
      <c r="F329" s="5" t="s">
        <v>1123</v>
      </c>
      <c r="G329" s="55">
        <f t="shared" ref="G329:G346" si="35">(len($F329)-len(SUBSTITUTE($F329,"R","")))+(len($F329)-len(SUBSTITUTE($F329,"L","")))+(len($F329)-len(SUBSTITUTE($F329,"U","")))+(len($F329)-len(SUBSTITUTE($F329,"D","")))+(len($F329)-len(SUBSTITUTE($F329,"F","")))+(len($F329)-len(SUBSTITUTE($F329,"B","")))</f>
        <v>9</v>
      </c>
      <c r="H329" s="55">
        <f t="shared" ref="H329:H346" si="36">(len($F329)-len(SUBSTITUTE($F329,"R","")))+(len($F329)-len(SUBSTITUTE($F329,"L","")))+(len($F329)-len(SUBSTITUTE($F329,"U","")))+(len($F329)-len(SUBSTITUTE($F329,"D","")))+(len($F329)-len(SUBSTITUTE($F329,"F","")))+(len($F329)-len(SUBSTITUTE($F329,"B","")))+(len($F329)-len(SUBSTITUTE($F329,"2","")))</f>
        <v>10</v>
      </c>
      <c r="I329" s="55"/>
    </row>
    <row r="330" ht="13.5">
      <c r="A330" s="60">
        <v>1.0</v>
      </c>
      <c r="B330" s="5" t="s">
        <v>41</v>
      </c>
      <c r="C330" s="68" t="s">
        <v>7</v>
      </c>
      <c r="D330" s="55" t="str">
        <f>VLOOKUP($B330,Letters!$C$4:$D$27,2,FALSE) &amp; VLOOKUP($C330,Letters!$C$4:$D$27,2,FALSE)</f>
        <v>UC</v>
      </c>
      <c r="E330" s="5" t="s">
        <v>1124</v>
      </c>
      <c r="F330" s="5" t="s">
        <v>1125</v>
      </c>
      <c r="G330" s="55">
        <f t="shared" si="35"/>
        <v>17</v>
      </c>
      <c r="H330" s="55">
        <f t="shared" si="36"/>
        <v>18</v>
      </c>
      <c r="I330" s="55"/>
    </row>
    <row r="331" ht="13.5">
      <c r="A331" s="60">
        <v>1.0</v>
      </c>
      <c r="B331" s="5" t="s">
        <v>41</v>
      </c>
      <c r="C331" s="68" t="s">
        <v>9</v>
      </c>
      <c r="D331" s="55" t="str">
        <f>VLOOKUP($B331,Letters!$C$4:$D$27,2,FALSE) &amp; VLOOKUP($C331,Letters!$C$4:$D$27,2,FALSE)</f>
        <v>UD</v>
      </c>
      <c r="E331" s="5" t="s">
        <v>1126</v>
      </c>
      <c r="F331" s="5" t="s">
        <v>1127</v>
      </c>
      <c r="G331" s="55">
        <f t="shared" si="35"/>
        <v>15</v>
      </c>
      <c r="H331" s="55">
        <f t="shared" si="36"/>
        <v>16</v>
      </c>
      <c r="I331" s="55"/>
    </row>
    <row r="332" ht="13.5">
      <c r="A332" s="60">
        <v>1.0</v>
      </c>
      <c r="B332" s="5" t="s">
        <v>41</v>
      </c>
      <c r="C332" s="68" t="s">
        <v>12</v>
      </c>
      <c r="D332" s="55" t="str">
        <f>VLOOKUP($B332,Letters!$C$4:$D$27,2,FALSE) &amp; VLOOKUP($C332,Letters!$C$4:$D$27,2,FALSE)</f>
        <v>UF</v>
      </c>
      <c r="E332" s="5" t="s">
        <v>1128</v>
      </c>
      <c r="F332" s="5" t="s">
        <v>1129</v>
      </c>
      <c r="G332" s="55">
        <f t="shared" si="35"/>
        <v>11</v>
      </c>
      <c r="H332" s="55">
        <f t="shared" si="36"/>
        <v>14</v>
      </c>
      <c r="I332" s="55"/>
    </row>
    <row r="333" ht="13.5">
      <c r="A333" s="60">
        <v>1.0</v>
      </c>
      <c r="B333" s="5" t="s">
        <v>41</v>
      </c>
      <c r="C333" s="68" t="s">
        <v>16</v>
      </c>
      <c r="D333" s="55" t="str">
        <f>VLOOKUP($B333,Letters!$C$4:$D$27,2,FALSE) &amp; VLOOKUP($C333,Letters!$C$4:$D$27,2,FALSE)</f>
        <v>UH</v>
      </c>
      <c r="E333" s="5" t="s">
        <v>1130</v>
      </c>
      <c r="F333" s="5" t="s">
        <v>1131</v>
      </c>
      <c r="G333" s="55">
        <f t="shared" si="35"/>
        <v>11</v>
      </c>
      <c r="H333" s="55">
        <f t="shared" si="36"/>
        <v>14</v>
      </c>
      <c r="I333" s="55"/>
    </row>
    <row r="334" ht="13.5">
      <c r="A334" s="54"/>
      <c r="B334" s="5" t="s">
        <v>41</v>
      </c>
      <c r="C334" s="68" t="s">
        <v>18</v>
      </c>
      <c r="D334" s="55" t="str">
        <f>VLOOKUP($B334,Letters!$C$4:$D$27,2,FALSE) &amp; VLOOKUP($C334,Letters!$C$4:$D$27,2,FALSE)</f>
        <v>UI</v>
      </c>
      <c r="E334" s="5" t="s">
        <v>1132</v>
      </c>
      <c r="F334" s="5" t="s">
        <v>1133</v>
      </c>
      <c r="G334" s="55">
        <f t="shared" si="35"/>
        <v>16</v>
      </c>
      <c r="H334" s="55">
        <f t="shared" si="36"/>
        <v>16</v>
      </c>
      <c r="I334" s="55"/>
    </row>
    <row r="335" ht="13.5">
      <c r="A335" s="54"/>
      <c r="B335" s="5" t="s">
        <v>41</v>
      </c>
      <c r="C335" s="68" t="s">
        <v>20</v>
      </c>
      <c r="D335" s="55" t="str">
        <f>VLOOKUP($B335,Letters!$C$4:$D$27,2,FALSE) &amp; VLOOKUP($C335,Letters!$C$4:$D$27,2,FALSE)</f>
        <v>UR</v>
      </c>
      <c r="E335" s="5" t="s">
        <v>1134</v>
      </c>
      <c r="F335" s="5" t="s">
        <v>1135</v>
      </c>
      <c r="G335" s="55">
        <f t="shared" si="35"/>
        <v>11</v>
      </c>
      <c r="H335" s="55">
        <f t="shared" si="36"/>
        <v>12</v>
      </c>
      <c r="I335" s="55"/>
    </row>
    <row r="336" ht="13.5">
      <c r="A336" s="54"/>
      <c r="B336" s="5" t="s">
        <v>41</v>
      </c>
      <c r="C336" s="68" t="s">
        <v>22</v>
      </c>
      <c r="D336" s="55" t="str">
        <f>VLOOKUP($B336,Letters!$C$4:$D$27,2,FALSE) &amp; VLOOKUP($C336,Letters!$C$4:$D$27,2,FALSE)</f>
        <v>UK</v>
      </c>
      <c r="E336" s="5" t="s">
        <v>1136</v>
      </c>
      <c r="F336" s="5" t="s">
        <v>1137</v>
      </c>
      <c r="G336" s="55">
        <f t="shared" si="35"/>
        <v>15</v>
      </c>
      <c r="H336" s="55">
        <f t="shared" si="36"/>
        <v>16</v>
      </c>
      <c r="I336" s="55"/>
    </row>
    <row r="337" ht="13.5">
      <c r="A337" s="54"/>
      <c r="B337" s="5" t="s">
        <v>41</v>
      </c>
      <c r="C337" s="68" t="s">
        <v>26</v>
      </c>
      <c r="D337" s="55" t="str">
        <f>VLOOKUP($B337,Letters!$C$4:$D$27,2,FALSE) &amp; VLOOKUP($C337,Letters!$C$4:$D$27,2,FALSE)</f>
        <v>UM</v>
      </c>
      <c r="E337" s="5" t="s">
        <v>1138</v>
      </c>
      <c r="F337" s="5" t="s">
        <v>1139</v>
      </c>
      <c r="G337" s="55">
        <f t="shared" si="35"/>
        <v>11</v>
      </c>
      <c r="H337" s="55">
        <f t="shared" si="36"/>
        <v>12</v>
      </c>
      <c r="I337" s="55"/>
    </row>
    <row r="338" ht="13.5">
      <c r="A338" s="60">
        <v>1.0</v>
      </c>
      <c r="B338" s="5" t="s">
        <v>41</v>
      </c>
      <c r="C338" s="68" t="s">
        <v>28</v>
      </c>
      <c r="D338" s="55" t="str">
        <f>VLOOKUP($B338,Letters!$C$4:$D$27,2,FALSE) &amp; VLOOKUP($C338,Letters!$C$4:$D$27,2,FALSE)</f>
        <v>UN</v>
      </c>
      <c r="E338" s="5" t="s">
        <v>1140</v>
      </c>
      <c r="F338" s="5" t="s">
        <v>1141</v>
      </c>
      <c r="G338" s="55">
        <f t="shared" si="35"/>
        <v>8</v>
      </c>
      <c r="H338" s="55">
        <f t="shared" si="36"/>
        <v>10</v>
      </c>
      <c r="I338" s="55"/>
    </row>
    <row r="339" ht="13.5">
      <c r="A339" s="54"/>
      <c r="B339" s="5" t="s">
        <v>41</v>
      </c>
      <c r="C339" s="68" t="s">
        <v>30</v>
      </c>
      <c r="D339" s="55" t="str">
        <f>VLOOKUP($B339,Letters!$C$4:$D$27,2,FALSE) &amp; VLOOKUP($C339,Letters!$C$4:$D$27,2,FALSE)</f>
        <v>UO</v>
      </c>
      <c r="E339" s="5" t="s">
        <v>1142</v>
      </c>
      <c r="F339" s="5" t="s">
        <v>1143</v>
      </c>
      <c r="G339" s="55">
        <f t="shared" si="35"/>
        <v>11</v>
      </c>
      <c r="H339" s="55">
        <f t="shared" si="36"/>
        <v>12</v>
      </c>
      <c r="I339" s="55"/>
    </row>
    <row r="340" ht="13.5">
      <c r="A340" s="54"/>
      <c r="B340" s="5" t="s">
        <v>41</v>
      </c>
      <c r="C340" s="68" t="s">
        <v>32</v>
      </c>
      <c r="D340" s="55" t="str">
        <f>VLOOKUP($B340,Letters!$C$4:$D$27,2,FALSE) &amp; VLOOKUP($C340,Letters!$C$4:$D$27,2,FALSE)</f>
        <v>UP</v>
      </c>
      <c r="E340" s="5" t="s">
        <v>1144</v>
      </c>
      <c r="F340" s="5" t="s">
        <v>1145</v>
      </c>
      <c r="G340" s="55">
        <f t="shared" si="35"/>
        <v>8</v>
      </c>
      <c r="H340" s="55">
        <f t="shared" si="36"/>
        <v>10</v>
      </c>
      <c r="I340" s="55"/>
    </row>
    <row r="341" ht="13.5">
      <c r="A341" s="60">
        <v>1.0</v>
      </c>
      <c r="B341" s="5" t="s">
        <v>41</v>
      </c>
      <c r="C341" s="68" t="s">
        <v>34</v>
      </c>
      <c r="D341" s="55" t="str">
        <f>VLOOKUP($B341,Letters!$C$4:$D$27,2,FALSE) &amp; VLOOKUP($C341,Letters!$C$4:$D$27,2,FALSE)</f>
        <v>UA</v>
      </c>
      <c r="E341" s="5" t="s">
        <v>1146</v>
      </c>
      <c r="F341" s="5" t="s">
        <v>1147</v>
      </c>
      <c r="G341" s="55">
        <f t="shared" si="35"/>
        <v>15</v>
      </c>
      <c r="H341" s="55">
        <f t="shared" si="36"/>
        <v>16</v>
      </c>
      <c r="I341" s="55"/>
    </row>
    <row r="342" ht="13.5">
      <c r="A342" s="54"/>
      <c r="B342" s="5" t="s">
        <v>41</v>
      </c>
      <c r="C342" s="68" t="s">
        <v>37</v>
      </c>
      <c r="D342" s="55" t="str">
        <f>VLOOKUP($B342,Letters!$C$4:$D$27,2,FALSE) &amp; VLOOKUP($C342,Letters!$C$4:$D$27,2,FALSE)</f>
        <v>US</v>
      </c>
      <c r="E342" s="5" t="s">
        <v>1148</v>
      </c>
      <c r="F342" s="5" t="s">
        <v>1149</v>
      </c>
      <c r="G342" s="55">
        <f t="shared" si="35"/>
        <v>13</v>
      </c>
      <c r="H342" s="55">
        <f t="shared" si="36"/>
        <v>16</v>
      </c>
      <c r="I342" s="55"/>
    </row>
    <row r="343" ht="13.5">
      <c r="A343" s="54"/>
      <c r="B343" s="5" t="s">
        <v>41</v>
      </c>
      <c r="C343" s="68" t="s">
        <v>39</v>
      </c>
      <c r="D343" s="55" t="str">
        <f>VLOOKUP($B343,Letters!$C$4:$D$27,2,FALSE) &amp; VLOOKUP($C343,Letters!$C$4:$D$27,2,FALSE)</f>
        <v>UT</v>
      </c>
      <c r="E343" s="5" t="s">
        <v>1150</v>
      </c>
      <c r="F343" s="5" t="s">
        <v>1151</v>
      </c>
      <c r="G343" s="55">
        <f t="shared" si="35"/>
        <v>8</v>
      </c>
      <c r="H343" s="55">
        <f t="shared" si="36"/>
        <v>10</v>
      </c>
      <c r="I343" s="55"/>
    </row>
    <row r="344" ht="13.5">
      <c r="A344" s="54"/>
      <c r="B344" s="5" t="s">
        <v>41</v>
      </c>
      <c r="C344" s="68" t="s">
        <v>43</v>
      </c>
      <c r="D344" s="55" t="str">
        <f>VLOOKUP($B344,Letters!$C$4:$D$27,2,FALSE) &amp; VLOOKUP($C344,Letters!$C$4:$D$27,2,FALSE)</f>
        <v>UV</v>
      </c>
      <c r="E344" s="5" t="s">
        <v>1152</v>
      </c>
      <c r="F344" s="5" t="s">
        <v>1153</v>
      </c>
      <c r="G344" s="55">
        <f t="shared" si="35"/>
        <v>13</v>
      </c>
      <c r="H344" s="55">
        <f t="shared" si="36"/>
        <v>14</v>
      </c>
      <c r="I344" s="55"/>
    </row>
    <row r="345" ht="13.5">
      <c r="A345" s="54"/>
      <c r="B345" s="5" t="s">
        <v>41</v>
      </c>
      <c r="C345" s="68" t="s">
        <v>45</v>
      </c>
      <c r="D345" s="55" t="str">
        <f>VLOOKUP($B345,Letters!$C$4:$D$27,2,FALSE) &amp; VLOOKUP($C345,Letters!$C$4:$D$27,2,FALSE)</f>
        <v>UW</v>
      </c>
      <c r="E345" s="5" t="s">
        <v>1154</v>
      </c>
      <c r="F345" s="5" t="s">
        <v>1155</v>
      </c>
      <c r="G345" s="55">
        <f t="shared" si="35"/>
        <v>15</v>
      </c>
      <c r="H345" s="55">
        <f t="shared" si="36"/>
        <v>18</v>
      </c>
      <c r="I345" s="55"/>
    </row>
    <row r="346" ht="13.5">
      <c r="A346" s="54"/>
      <c r="B346" s="5" t="s">
        <v>41</v>
      </c>
      <c r="C346" s="68" t="s">
        <v>47</v>
      </c>
      <c r="D346" s="55" t="str">
        <f>VLOOKUP($B346,Letters!$C$4:$D$27,2,FALSE) &amp; VLOOKUP($C346,Letters!$C$4:$D$27,2,FALSE)</f>
        <v>UE</v>
      </c>
      <c r="E346" s="5" t="s">
        <v>1156</v>
      </c>
      <c r="F346" s="5" t="s">
        <v>1157</v>
      </c>
      <c r="G346" s="55">
        <f t="shared" si="35"/>
        <v>15</v>
      </c>
      <c r="H346" s="55">
        <f t="shared" si="36"/>
        <v>16</v>
      </c>
      <c r="I346" s="56">
        <f>AVERAGE($H329:$H346)</f>
        <v>13.88888889</v>
      </c>
    </row>
    <row r="347">
      <c r="A347" s="54"/>
      <c r="B347" s="55"/>
      <c r="C347" s="55"/>
      <c r="D347" s="55"/>
      <c r="E347" s="55"/>
      <c r="F347" s="55"/>
      <c r="G347" s="55"/>
      <c r="H347" s="55"/>
      <c r="I347" s="55"/>
    </row>
    <row r="348" ht="13.5">
      <c r="A348" s="60">
        <v>1.0</v>
      </c>
      <c r="B348" s="5" t="s">
        <v>43</v>
      </c>
      <c r="C348" s="68" t="s">
        <v>5</v>
      </c>
      <c r="D348" s="55" t="str">
        <f>VLOOKUP($B348,Letters!$C$4:$D$27,2,FALSE) &amp; VLOOKUP($C348,Letters!$C$4:$D$27,2,FALSE)</f>
        <v>VB</v>
      </c>
      <c r="E348" s="5" t="s">
        <v>1158</v>
      </c>
      <c r="F348" s="5" t="s">
        <v>1159</v>
      </c>
      <c r="G348" s="55">
        <f t="shared" ref="G348:G365" si="37">(len($F348)-len(SUBSTITUTE($F348,"R","")))+(len($F348)-len(SUBSTITUTE($F348,"L","")))+(len($F348)-len(SUBSTITUTE($F348,"U","")))+(len($F348)-len(SUBSTITUTE($F348,"D","")))+(len($F348)-len(SUBSTITUTE($F348,"F","")))+(len($F348)-len(SUBSTITUTE($F348,"B","")))</f>
        <v>13</v>
      </c>
      <c r="H348" s="55">
        <f t="shared" ref="H348:H365" si="38">(len($F348)-len(SUBSTITUTE($F348,"R","")))+(len($F348)-len(SUBSTITUTE($F348,"L","")))+(len($F348)-len(SUBSTITUTE($F348,"U","")))+(len($F348)-len(SUBSTITUTE($F348,"D","")))+(len($F348)-len(SUBSTITUTE($F348,"F","")))+(len($F348)-len(SUBSTITUTE($F348,"B","")))+(len($F348)-len(SUBSTITUTE($F348,"2","")))</f>
        <v>14</v>
      </c>
      <c r="I348" s="55"/>
    </row>
    <row r="349" ht="13.5">
      <c r="A349" s="54"/>
      <c r="B349" s="5" t="s">
        <v>43</v>
      </c>
      <c r="C349" s="68" t="s">
        <v>7</v>
      </c>
      <c r="D349" s="5" t="str">
        <f>VLOOKUP($B349,Letters!$C$4:$D$27,2,FALSE) &amp; VLOOKUP($C349,Letters!$C$4:$D$27,2,FALSE)</f>
        <v>VC</v>
      </c>
      <c r="E349" s="5" t="s">
        <v>1160</v>
      </c>
      <c r="F349" s="5" t="s">
        <v>1161</v>
      </c>
      <c r="G349" s="55">
        <f t="shared" si="37"/>
        <v>12</v>
      </c>
      <c r="H349" s="55">
        <f t="shared" si="38"/>
        <v>18</v>
      </c>
      <c r="I349" s="55"/>
    </row>
    <row r="350" ht="13.5">
      <c r="A350" s="54"/>
      <c r="B350" s="5" t="s">
        <v>43</v>
      </c>
      <c r="C350" s="68" t="s">
        <v>9</v>
      </c>
      <c r="D350" s="55" t="str">
        <f>VLOOKUP($B350,Letters!$C$4:$D$27,2,FALSE) &amp; VLOOKUP($C350,Letters!$C$4:$D$27,2,FALSE)</f>
        <v>VD</v>
      </c>
      <c r="E350" s="5" t="s">
        <v>1162</v>
      </c>
      <c r="F350" s="5" t="s">
        <v>1163</v>
      </c>
      <c r="G350" s="55">
        <f t="shared" si="37"/>
        <v>15</v>
      </c>
      <c r="H350" s="55">
        <f t="shared" si="38"/>
        <v>16</v>
      </c>
      <c r="I350" s="55"/>
    </row>
    <row r="351" ht="13.5">
      <c r="A351" s="54"/>
      <c r="B351" s="5" t="s">
        <v>43</v>
      </c>
      <c r="C351" s="68" t="s">
        <v>12</v>
      </c>
      <c r="D351" s="55" t="str">
        <f>VLOOKUP($B351,Letters!$C$4:$D$27,2,FALSE) &amp; VLOOKUP($C351,Letters!$C$4:$D$27,2,FALSE)</f>
        <v>VF</v>
      </c>
      <c r="E351" s="5" t="s">
        <v>1164</v>
      </c>
      <c r="F351" s="5" t="s">
        <v>1165</v>
      </c>
      <c r="G351" s="55">
        <f t="shared" si="37"/>
        <v>13</v>
      </c>
      <c r="H351" s="55">
        <f t="shared" si="38"/>
        <v>16</v>
      </c>
      <c r="I351" s="55"/>
    </row>
    <row r="352" ht="13.5">
      <c r="A352" s="60">
        <v>1.0</v>
      </c>
      <c r="B352" s="5" t="s">
        <v>43</v>
      </c>
      <c r="C352" s="68" t="s">
        <v>14</v>
      </c>
      <c r="D352" s="55" t="str">
        <f>VLOOKUP($B352,Letters!$C$4:$D$27,2,FALSE) &amp; VLOOKUP($C352,Letters!$C$4:$D$27,2,FALSE)</f>
        <v>VG</v>
      </c>
      <c r="E352" s="5" t="s">
        <v>1166</v>
      </c>
      <c r="F352" s="5" t="s">
        <v>1167</v>
      </c>
      <c r="G352" s="55">
        <f t="shared" si="37"/>
        <v>15</v>
      </c>
      <c r="H352" s="55">
        <f t="shared" si="38"/>
        <v>16</v>
      </c>
      <c r="I352" s="55"/>
    </row>
    <row r="353" ht="13.5">
      <c r="A353" s="54"/>
      <c r="B353" s="5" t="s">
        <v>43</v>
      </c>
      <c r="C353" s="68" t="s">
        <v>16</v>
      </c>
      <c r="D353" s="55" t="str">
        <f>VLOOKUP($B353,Letters!$C$4:$D$27,2,FALSE) &amp; VLOOKUP($C353,Letters!$C$4:$D$27,2,FALSE)</f>
        <v>VH</v>
      </c>
      <c r="E353" s="5" t="s">
        <v>1168</v>
      </c>
      <c r="F353" s="5" t="s">
        <v>1169</v>
      </c>
      <c r="G353" s="55">
        <f t="shared" si="37"/>
        <v>9</v>
      </c>
      <c r="H353" s="55">
        <f t="shared" si="38"/>
        <v>10</v>
      </c>
      <c r="I353" s="55"/>
    </row>
    <row r="354" ht="13.5">
      <c r="A354" s="54"/>
      <c r="B354" s="5" t="s">
        <v>43</v>
      </c>
      <c r="C354" s="68" t="s">
        <v>18</v>
      </c>
      <c r="D354" s="55" t="str">
        <f>VLOOKUP($B354,Letters!$C$4:$D$27,2,FALSE) &amp; VLOOKUP($C354,Letters!$C$4:$D$27,2,FALSE)</f>
        <v>VI</v>
      </c>
      <c r="E354" s="5" t="s">
        <v>1170</v>
      </c>
      <c r="F354" s="5" t="s">
        <v>1171</v>
      </c>
      <c r="G354" s="55">
        <f t="shared" si="37"/>
        <v>8</v>
      </c>
      <c r="H354" s="55">
        <f t="shared" si="38"/>
        <v>10</v>
      </c>
      <c r="I354" s="55"/>
    </row>
    <row r="355" ht="13.5">
      <c r="A355" s="54"/>
      <c r="B355" s="5" t="s">
        <v>43</v>
      </c>
      <c r="C355" s="68" t="s">
        <v>20</v>
      </c>
      <c r="D355" s="55" t="str">
        <f>VLOOKUP($B355,Letters!$C$4:$D$27,2,FALSE) &amp; VLOOKUP($C355,Letters!$C$4:$D$27,2,FALSE)</f>
        <v>VR</v>
      </c>
      <c r="E355" s="5" t="s">
        <v>1172</v>
      </c>
      <c r="F355" s="5" t="s">
        <v>1173</v>
      </c>
      <c r="G355" s="55">
        <f t="shared" si="37"/>
        <v>12</v>
      </c>
      <c r="H355" s="55">
        <f t="shared" si="38"/>
        <v>12</v>
      </c>
      <c r="I355" s="55"/>
    </row>
    <row r="356" ht="13.5">
      <c r="A356" s="60">
        <v>1.0</v>
      </c>
      <c r="B356" s="5" t="s">
        <v>43</v>
      </c>
      <c r="C356" s="68" t="s">
        <v>24</v>
      </c>
      <c r="D356" s="55" t="str">
        <f>VLOOKUP($B356,Letters!$C$4:$D$27,2,FALSE) &amp; VLOOKUP($C356,Letters!$C$4:$D$27,2,FALSE)</f>
        <v>VL</v>
      </c>
      <c r="E356" s="5" t="s">
        <v>1174</v>
      </c>
      <c r="F356" s="5" t="s">
        <v>1175</v>
      </c>
      <c r="G356" s="55">
        <f t="shared" si="37"/>
        <v>9</v>
      </c>
      <c r="H356" s="55">
        <f t="shared" si="38"/>
        <v>12</v>
      </c>
      <c r="I356" s="55"/>
    </row>
    <row r="357" ht="13.5">
      <c r="A357" s="54"/>
      <c r="B357" s="5" t="s">
        <v>43</v>
      </c>
      <c r="C357" s="68" t="s">
        <v>26</v>
      </c>
      <c r="D357" s="55" t="str">
        <f>VLOOKUP($B357,Letters!$C$4:$D$27,2,FALSE) &amp; VLOOKUP($C357,Letters!$C$4:$D$27,2,FALSE)</f>
        <v>VM</v>
      </c>
      <c r="E357" s="5" t="s">
        <v>1176</v>
      </c>
      <c r="F357" s="5" t="s">
        <v>1177</v>
      </c>
      <c r="G357" s="55">
        <f t="shared" si="37"/>
        <v>9</v>
      </c>
      <c r="H357" s="55">
        <f t="shared" si="38"/>
        <v>10</v>
      </c>
      <c r="I357" s="55"/>
    </row>
    <row r="358" ht="13.5">
      <c r="A358" s="60">
        <v>1.0</v>
      </c>
      <c r="B358" s="5" t="s">
        <v>43</v>
      </c>
      <c r="C358" s="68" t="s">
        <v>28</v>
      </c>
      <c r="D358" s="55" t="str">
        <f>VLOOKUP($B358,Letters!$C$4:$D$27,2,FALSE) &amp; VLOOKUP($C358,Letters!$C$4:$D$27,2,FALSE)</f>
        <v>VN</v>
      </c>
      <c r="E358" s="5" t="s">
        <v>1178</v>
      </c>
      <c r="F358" s="5" t="s">
        <v>1179</v>
      </c>
      <c r="G358" s="55">
        <f t="shared" si="37"/>
        <v>11</v>
      </c>
      <c r="H358" s="55">
        <f t="shared" si="38"/>
        <v>14</v>
      </c>
      <c r="I358" s="55"/>
    </row>
    <row r="359" ht="13.5">
      <c r="A359" s="54"/>
      <c r="B359" s="5" t="s">
        <v>43</v>
      </c>
      <c r="C359" s="68" t="s">
        <v>30</v>
      </c>
      <c r="D359" s="55" t="str">
        <f>VLOOKUP($B359,Letters!$C$4:$D$27,2,FALSE) &amp; VLOOKUP($C359,Letters!$C$4:$D$27,2,FALSE)</f>
        <v>VO</v>
      </c>
      <c r="E359" s="5" t="s">
        <v>1180</v>
      </c>
      <c r="F359" s="5" t="s">
        <v>1181</v>
      </c>
      <c r="G359" s="55">
        <f t="shared" si="37"/>
        <v>13</v>
      </c>
      <c r="H359" s="55">
        <f t="shared" si="38"/>
        <v>16</v>
      </c>
      <c r="I359" s="55"/>
    </row>
    <row r="360" ht="13.5">
      <c r="A360" s="60">
        <v>1.0</v>
      </c>
      <c r="B360" s="5" t="s">
        <v>43</v>
      </c>
      <c r="C360" s="68" t="s">
        <v>34</v>
      </c>
      <c r="D360" s="55" t="str">
        <f>VLOOKUP($B360,Letters!$C$4:$D$27,2,FALSE) &amp; VLOOKUP($C360,Letters!$C$4:$D$27,2,FALSE)</f>
        <v>VA</v>
      </c>
      <c r="E360" s="5" t="s">
        <v>1182</v>
      </c>
      <c r="F360" s="5" t="s">
        <v>1183</v>
      </c>
      <c r="G360" s="55">
        <f t="shared" si="37"/>
        <v>13</v>
      </c>
      <c r="H360" s="55">
        <f t="shared" si="38"/>
        <v>14</v>
      </c>
      <c r="I360" s="55"/>
    </row>
    <row r="361" ht="13.5">
      <c r="A361" s="54"/>
      <c r="B361" s="5" t="s">
        <v>43</v>
      </c>
      <c r="C361" s="68" t="s">
        <v>37</v>
      </c>
      <c r="D361" s="55" t="str">
        <f>VLOOKUP($B361,Letters!$C$4:$D$27,2,FALSE) &amp; VLOOKUP($C361,Letters!$C$4:$D$27,2,FALSE)</f>
        <v>VS</v>
      </c>
      <c r="E361" s="5" t="s">
        <v>1184</v>
      </c>
      <c r="F361" s="5" t="s">
        <v>1185</v>
      </c>
      <c r="G361" s="55">
        <f t="shared" si="37"/>
        <v>11</v>
      </c>
      <c r="H361" s="55">
        <f t="shared" si="38"/>
        <v>14</v>
      </c>
      <c r="I361" s="55"/>
    </row>
    <row r="362" ht="13.5">
      <c r="A362" s="54"/>
      <c r="B362" s="5" t="s">
        <v>43</v>
      </c>
      <c r="C362" s="68" t="s">
        <v>39</v>
      </c>
      <c r="D362" s="55" t="str">
        <f>VLOOKUP($B362,Letters!$C$4:$D$27,2,FALSE) &amp; VLOOKUP($C362,Letters!$C$4:$D$27,2,FALSE)</f>
        <v>VT</v>
      </c>
      <c r="E362" s="5" t="s">
        <v>1186</v>
      </c>
      <c r="F362" s="5" t="s">
        <v>1187</v>
      </c>
      <c r="G362" s="55">
        <f t="shared" si="37"/>
        <v>13</v>
      </c>
      <c r="H362" s="55">
        <f t="shared" si="38"/>
        <v>14</v>
      </c>
      <c r="I362" s="55"/>
    </row>
    <row r="363" ht="13.5">
      <c r="A363" s="54"/>
      <c r="B363" s="5" t="s">
        <v>43</v>
      </c>
      <c r="C363" s="68" t="s">
        <v>41</v>
      </c>
      <c r="D363" s="55" t="str">
        <f>VLOOKUP($B363,Letters!$C$4:$D$27,2,FALSE) &amp; VLOOKUP($C363,Letters!$C$4:$D$27,2,FALSE)</f>
        <v>VU</v>
      </c>
      <c r="E363" s="5" t="s">
        <v>1188</v>
      </c>
      <c r="F363" s="5" t="s">
        <v>1189</v>
      </c>
      <c r="G363" s="55">
        <f t="shared" si="37"/>
        <v>13</v>
      </c>
      <c r="H363" s="55">
        <f t="shared" si="38"/>
        <v>14</v>
      </c>
      <c r="I363" s="55"/>
    </row>
    <row r="364" ht="13.5">
      <c r="A364" s="54"/>
      <c r="B364" s="5" t="s">
        <v>43</v>
      </c>
      <c r="C364" s="68" t="s">
        <v>45</v>
      </c>
      <c r="D364" s="55" t="str">
        <f>VLOOKUP($B364,Letters!$C$4:$D$27,2,FALSE) &amp; VLOOKUP($C364,Letters!$C$4:$D$27,2,FALSE)</f>
        <v>VW</v>
      </c>
      <c r="E364" s="5" t="s">
        <v>1190</v>
      </c>
      <c r="F364" s="5" t="s">
        <v>1191</v>
      </c>
      <c r="G364" s="55">
        <f t="shared" si="37"/>
        <v>15</v>
      </c>
      <c r="H364" s="55">
        <f t="shared" si="38"/>
        <v>16</v>
      </c>
      <c r="I364" s="55"/>
    </row>
    <row r="365" ht="13.5">
      <c r="A365" s="54"/>
      <c r="B365" s="5" t="s">
        <v>43</v>
      </c>
      <c r="C365" s="68" t="s">
        <v>47</v>
      </c>
      <c r="D365" s="55" t="str">
        <f>VLOOKUP($B365,Letters!$C$4:$D$27,2,FALSE) &amp; VLOOKUP($C365,Letters!$C$4:$D$27,2,FALSE)</f>
        <v>VE</v>
      </c>
      <c r="E365" s="5" t="s">
        <v>1192</v>
      </c>
      <c r="F365" s="5" t="s">
        <v>1193</v>
      </c>
      <c r="G365" s="55">
        <f t="shared" si="37"/>
        <v>15</v>
      </c>
      <c r="H365" s="55">
        <f t="shared" si="38"/>
        <v>16</v>
      </c>
      <c r="I365" s="56">
        <f>AVERAGE($H348:$H365)</f>
        <v>14</v>
      </c>
    </row>
    <row r="366">
      <c r="A366" s="54"/>
      <c r="B366" s="55"/>
      <c r="C366" s="55"/>
      <c r="D366" s="55"/>
      <c r="E366" s="55"/>
      <c r="F366" s="55"/>
      <c r="G366" s="55"/>
      <c r="H366" s="55"/>
      <c r="I366" s="55"/>
    </row>
    <row r="367" ht="13.5">
      <c r="A367" s="60">
        <v>1.0</v>
      </c>
      <c r="B367" s="5" t="s">
        <v>45</v>
      </c>
      <c r="C367" s="68" t="s">
        <v>5</v>
      </c>
      <c r="D367" s="55" t="str">
        <f>VLOOKUP($B367,Letters!$C$4:$D$27,2,FALSE) &amp; VLOOKUP($C367,Letters!$C$4:$D$27,2,FALSE)</f>
        <v>WB</v>
      </c>
      <c r="E367" s="5" t="s">
        <v>1194</v>
      </c>
      <c r="F367" s="5" t="s">
        <v>1195</v>
      </c>
      <c r="G367" s="55">
        <f t="shared" ref="G367:G384" si="39">(len($F367)-len(SUBSTITUTE($F367,"R","")))+(len($F367)-len(SUBSTITUTE($F367,"L","")))+(len($F367)-len(SUBSTITUTE($F367,"U","")))+(len($F367)-len(SUBSTITUTE($F367,"D","")))+(len($F367)-len(SUBSTITUTE($F367,"F","")))+(len($F367)-len(SUBSTITUTE($F367,"B","")))</f>
        <v>12</v>
      </c>
      <c r="H367" s="55">
        <f t="shared" ref="H367:H384" si="40">(len($F367)-len(SUBSTITUTE($F367,"R","")))+(len($F367)-len(SUBSTITUTE($F367,"L","")))+(len($F367)-len(SUBSTITUTE($F367,"U","")))+(len($F367)-len(SUBSTITUTE($F367,"D","")))+(len($F367)-len(SUBSTITUTE($F367,"F","")))+(len($F367)-len(SUBSTITUTE($F367,"B","")))+(len($F367)-len(SUBSTITUTE($F367,"2","")))</f>
        <v>18</v>
      </c>
      <c r="I367" s="55"/>
    </row>
    <row r="368" ht="13.5">
      <c r="A368" s="54"/>
      <c r="B368" s="5" t="s">
        <v>45</v>
      </c>
      <c r="C368" s="68" t="s">
        <v>7</v>
      </c>
      <c r="D368" s="55" t="str">
        <f>VLOOKUP($B368,Letters!$C$4:$D$27,2,FALSE) &amp; VLOOKUP($C368,Letters!$C$4:$D$27,2,FALSE)</f>
        <v>WC</v>
      </c>
      <c r="E368" s="5" t="s">
        <v>1196</v>
      </c>
      <c r="F368" s="5" t="s">
        <v>1197</v>
      </c>
      <c r="G368" s="55">
        <f t="shared" si="39"/>
        <v>13</v>
      </c>
      <c r="H368" s="55">
        <f t="shared" si="40"/>
        <v>16</v>
      </c>
      <c r="I368" s="55"/>
    </row>
    <row r="369" ht="13.5">
      <c r="A369" s="54"/>
      <c r="B369" s="5" t="s">
        <v>45</v>
      </c>
      <c r="C369" s="68" t="s">
        <v>9</v>
      </c>
      <c r="D369" s="55" t="str">
        <f>VLOOKUP($B369,Letters!$C$4:$D$27,2,FALSE) &amp; VLOOKUP($C369,Letters!$C$4:$D$27,2,FALSE)</f>
        <v>WD</v>
      </c>
      <c r="E369" s="5" t="s">
        <v>1198</v>
      </c>
      <c r="F369" s="5" t="s">
        <v>1199</v>
      </c>
      <c r="G369" s="55">
        <f t="shared" si="39"/>
        <v>13</v>
      </c>
      <c r="H369" s="55">
        <f t="shared" si="40"/>
        <v>14</v>
      </c>
      <c r="I369" s="55"/>
    </row>
    <row r="370" ht="13.5">
      <c r="A370" s="54"/>
      <c r="B370" s="5" t="s">
        <v>45</v>
      </c>
      <c r="C370" s="68" t="s">
        <v>12</v>
      </c>
      <c r="D370" s="55" t="str">
        <f>VLOOKUP($B370,Letters!$C$4:$D$27,2,FALSE) &amp; VLOOKUP($C370,Letters!$C$4:$D$27,2,FALSE)</f>
        <v>WF</v>
      </c>
      <c r="E370" s="5" t="s">
        <v>1200</v>
      </c>
      <c r="F370" s="5" t="s">
        <v>1201</v>
      </c>
      <c r="G370" s="55">
        <f t="shared" si="39"/>
        <v>15</v>
      </c>
      <c r="H370" s="55">
        <f t="shared" si="40"/>
        <v>16</v>
      </c>
      <c r="I370" s="55"/>
    </row>
    <row r="371" ht="13.5">
      <c r="A371" s="60">
        <v>1.0</v>
      </c>
      <c r="B371" s="5" t="s">
        <v>45</v>
      </c>
      <c r="C371" s="68" t="s">
        <v>14</v>
      </c>
      <c r="D371" s="55" t="str">
        <f>VLOOKUP($B371,Letters!$C$4:$D$27,2,FALSE) &amp; VLOOKUP($C371,Letters!$C$4:$D$27,2,FALSE)</f>
        <v>WG</v>
      </c>
      <c r="E371" s="5" t="s">
        <v>1202</v>
      </c>
      <c r="F371" s="5" t="s">
        <v>1203</v>
      </c>
      <c r="G371" s="55">
        <f t="shared" si="39"/>
        <v>9</v>
      </c>
      <c r="H371" s="55">
        <f t="shared" si="40"/>
        <v>12</v>
      </c>
      <c r="I371" s="55"/>
    </row>
    <row r="372" ht="13.5">
      <c r="A372" s="54"/>
      <c r="B372" s="5" t="s">
        <v>45</v>
      </c>
      <c r="C372" s="68" t="s">
        <v>16</v>
      </c>
      <c r="D372" s="55" t="str">
        <f>VLOOKUP($B372,Letters!$C$4:$D$27,2,FALSE) &amp; VLOOKUP($C372,Letters!$C$4:$D$27,2,FALSE)</f>
        <v>WH</v>
      </c>
      <c r="E372" s="5" t="s">
        <v>1204</v>
      </c>
      <c r="F372" s="5" t="s">
        <v>1205</v>
      </c>
      <c r="G372" s="55">
        <f t="shared" si="39"/>
        <v>15</v>
      </c>
      <c r="H372" s="55">
        <f t="shared" si="40"/>
        <v>16</v>
      </c>
      <c r="I372" s="55"/>
    </row>
    <row r="373" ht="13.5">
      <c r="A373" s="54"/>
      <c r="B373" s="5" t="s">
        <v>45</v>
      </c>
      <c r="C373" s="68" t="s">
        <v>18</v>
      </c>
      <c r="D373" s="55" t="str">
        <f>VLOOKUP($B373,Letters!$C$4:$D$27,2,FALSE) &amp; VLOOKUP($C373,Letters!$C$4:$D$27,2,FALSE)</f>
        <v>WI</v>
      </c>
      <c r="E373" s="5" t="s">
        <v>1206</v>
      </c>
      <c r="F373" s="5" t="s">
        <v>1207</v>
      </c>
      <c r="G373" s="55">
        <f t="shared" si="39"/>
        <v>12</v>
      </c>
      <c r="H373" s="55">
        <f t="shared" si="40"/>
        <v>12</v>
      </c>
      <c r="I373" s="55"/>
    </row>
    <row r="374" ht="13.5">
      <c r="A374" s="54"/>
      <c r="B374" s="5" t="s">
        <v>45</v>
      </c>
      <c r="C374" s="68" t="s">
        <v>20</v>
      </c>
      <c r="D374" s="55" t="str">
        <f>VLOOKUP($B374,Letters!$C$4:$D$27,2,FALSE) &amp; VLOOKUP($C374,Letters!$C$4:$D$27,2,FALSE)</f>
        <v>WR</v>
      </c>
      <c r="E374" s="5" t="s">
        <v>1208</v>
      </c>
      <c r="F374" s="5" t="s">
        <v>1209</v>
      </c>
      <c r="G374" s="55">
        <f t="shared" si="39"/>
        <v>11</v>
      </c>
      <c r="H374" s="55">
        <f t="shared" si="40"/>
        <v>12</v>
      </c>
      <c r="I374" s="55"/>
    </row>
    <row r="375" ht="13.5">
      <c r="A375" s="54"/>
      <c r="B375" s="5" t="s">
        <v>45</v>
      </c>
      <c r="C375" s="68" t="s">
        <v>22</v>
      </c>
      <c r="D375" s="55" t="str">
        <f>VLOOKUP($B375,Letters!$C$4:$D$27,2,FALSE) &amp; VLOOKUP($C375,Letters!$C$4:$D$27,2,FALSE)</f>
        <v>WK</v>
      </c>
      <c r="E375" s="5" t="s">
        <v>1210</v>
      </c>
      <c r="F375" s="5" t="s">
        <v>1211</v>
      </c>
      <c r="G375" s="55">
        <f t="shared" si="39"/>
        <v>12</v>
      </c>
      <c r="H375" s="55">
        <f t="shared" si="40"/>
        <v>14</v>
      </c>
      <c r="I375" s="55"/>
    </row>
    <row r="376" ht="13.5">
      <c r="A376" s="60">
        <v>1.0</v>
      </c>
      <c r="B376" s="5" t="s">
        <v>45</v>
      </c>
      <c r="C376" s="68" t="s">
        <v>24</v>
      </c>
      <c r="D376" s="55" t="str">
        <f>VLOOKUP($B376,Letters!$C$4:$D$27,2,FALSE) &amp; VLOOKUP($C376,Letters!$C$4:$D$27,2,FALSE)</f>
        <v>WL</v>
      </c>
      <c r="E376" s="5" t="s">
        <v>1212</v>
      </c>
      <c r="F376" s="5" t="s">
        <v>1213</v>
      </c>
      <c r="G376" s="55">
        <f t="shared" si="39"/>
        <v>11</v>
      </c>
      <c r="H376" s="55">
        <f t="shared" si="40"/>
        <v>12</v>
      </c>
      <c r="I376" s="55"/>
    </row>
    <row r="377" ht="13.5">
      <c r="A377" s="54"/>
      <c r="B377" s="5" t="s">
        <v>45</v>
      </c>
      <c r="C377" s="68" t="s">
        <v>26</v>
      </c>
      <c r="D377" s="55" t="str">
        <f>VLOOKUP($B377,Letters!$C$4:$D$27,2,FALSE) &amp; VLOOKUP($C377,Letters!$C$4:$D$27,2,FALSE)</f>
        <v>WM</v>
      </c>
      <c r="E377" s="5" t="s">
        <v>1214</v>
      </c>
      <c r="F377" s="5" t="s">
        <v>1215</v>
      </c>
      <c r="G377" s="55">
        <f t="shared" si="39"/>
        <v>11</v>
      </c>
      <c r="H377" s="55">
        <f t="shared" si="40"/>
        <v>12</v>
      </c>
      <c r="I377" s="55"/>
    </row>
    <row r="378" ht="13.5">
      <c r="A378" s="60">
        <v>1.0</v>
      </c>
      <c r="B378" s="5" t="s">
        <v>45</v>
      </c>
      <c r="C378" s="68" t="s">
        <v>28</v>
      </c>
      <c r="D378" s="55" t="str">
        <f>VLOOKUP($B378,Letters!$C$4:$D$27,2,FALSE) &amp; VLOOKUP($C378,Letters!$C$4:$D$27,2,FALSE)</f>
        <v>WN</v>
      </c>
      <c r="E378" s="5" t="s">
        <v>1216</v>
      </c>
      <c r="F378" s="5" t="s">
        <v>1217</v>
      </c>
      <c r="G378" s="55">
        <f t="shared" si="39"/>
        <v>12</v>
      </c>
      <c r="H378" s="55">
        <f t="shared" si="40"/>
        <v>12</v>
      </c>
      <c r="I378" s="55"/>
    </row>
    <row r="379" ht="13.5">
      <c r="A379" s="54"/>
      <c r="B379" s="5" t="s">
        <v>45</v>
      </c>
      <c r="C379" s="68" t="s">
        <v>32</v>
      </c>
      <c r="D379" s="55" t="str">
        <f>VLOOKUP($B379,Letters!$C$4:$D$27,2,FALSE) &amp; VLOOKUP($C379,Letters!$C$4:$D$27,2,FALSE)</f>
        <v>WP</v>
      </c>
      <c r="E379" s="5" t="s">
        <v>1218</v>
      </c>
      <c r="F379" s="5" t="s">
        <v>1219</v>
      </c>
      <c r="G379" s="55">
        <f t="shared" si="39"/>
        <v>11</v>
      </c>
      <c r="H379" s="55">
        <f t="shared" si="40"/>
        <v>14</v>
      </c>
      <c r="I379" s="55"/>
    </row>
    <row r="380" ht="13.5">
      <c r="A380" s="60">
        <v>1.0</v>
      </c>
      <c r="B380" s="5" t="s">
        <v>45</v>
      </c>
      <c r="C380" s="68" t="s">
        <v>34</v>
      </c>
      <c r="D380" s="55" t="str">
        <f>VLOOKUP($B380,Letters!$C$4:$D$27,2,FALSE) &amp; VLOOKUP($C380,Letters!$C$4:$D$27,2,FALSE)</f>
        <v>WA</v>
      </c>
      <c r="E380" s="5" t="s">
        <v>1220</v>
      </c>
      <c r="F380" s="5" t="s">
        <v>1221</v>
      </c>
      <c r="G380" s="55">
        <f t="shared" si="39"/>
        <v>10</v>
      </c>
      <c r="H380" s="55">
        <f t="shared" si="40"/>
        <v>12</v>
      </c>
      <c r="I380" s="55"/>
    </row>
    <row r="381" ht="13.5">
      <c r="A381" s="54"/>
      <c r="B381" s="5" t="s">
        <v>45</v>
      </c>
      <c r="C381" s="68" t="s">
        <v>37</v>
      </c>
      <c r="D381" s="55" t="str">
        <f>VLOOKUP($B381,Letters!$C$4:$D$27,2,FALSE) &amp; VLOOKUP($C381,Letters!$C$4:$D$27,2,FALSE)</f>
        <v>WS</v>
      </c>
      <c r="E381" s="5" t="s">
        <v>1222</v>
      </c>
      <c r="F381" s="5" t="s">
        <v>1223</v>
      </c>
      <c r="G381" s="55">
        <f t="shared" si="39"/>
        <v>13</v>
      </c>
      <c r="H381" s="55">
        <f t="shared" si="40"/>
        <v>14</v>
      </c>
      <c r="I381" s="55"/>
    </row>
    <row r="382" ht="13.5">
      <c r="A382" s="54"/>
      <c r="B382" s="5" t="s">
        <v>45</v>
      </c>
      <c r="C382" s="68" t="s">
        <v>41</v>
      </c>
      <c r="D382" s="55" t="str">
        <f>VLOOKUP($B382,Letters!$C$4:$D$27,2,FALSE) &amp; VLOOKUP($C382,Letters!$C$4:$D$27,2,FALSE)</f>
        <v>WU</v>
      </c>
      <c r="E382" s="5" t="s">
        <v>1224</v>
      </c>
      <c r="F382" s="5" t="s">
        <v>1225</v>
      </c>
      <c r="G382" s="55">
        <f t="shared" si="39"/>
        <v>15</v>
      </c>
      <c r="H382" s="55">
        <f t="shared" si="40"/>
        <v>18</v>
      </c>
      <c r="I382" s="55"/>
    </row>
    <row r="383" ht="13.5">
      <c r="A383" s="54"/>
      <c r="B383" s="5" t="s">
        <v>45</v>
      </c>
      <c r="C383" s="68" t="s">
        <v>43</v>
      </c>
      <c r="D383" s="55" t="str">
        <f>VLOOKUP($B383,Letters!$C$4:$D$27,2,FALSE) &amp; VLOOKUP($C383,Letters!$C$4:$D$27,2,FALSE)</f>
        <v>WV</v>
      </c>
      <c r="E383" s="5" t="s">
        <v>1226</v>
      </c>
      <c r="F383" s="5" t="s">
        <v>1227</v>
      </c>
      <c r="G383" s="55">
        <f t="shared" si="39"/>
        <v>15</v>
      </c>
      <c r="H383" s="55">
        <f t="shared" si="40"/>
        <v>16</v>
      </c>
      <c r="I383" s="55"/>
    </row>
    <row r="384" ht="13.5">
      <c r="A384" s="54"/>
      <c r="B384" s="5" t="s">
        <v>45</v>
      </c>
      <c r="C384" s="68" t="s">
        <v>47</v>
      </c>
      <c r="D384" s="55" t="str">
        <f>VLOOKUP($B384,Letters!$C$4:$D$27,2,FALSE) &amp; VLOOKUP($C384,Letters!$C$4:$D$27,2,FALSE)</f>
        <v>WE</v>
      </c>
      <c r="E384" s="5" t="s">
        <v>1228</v>
      </c>
      <c r="F384" s="5" t="s">
        <v>1229</v>
      </c>
      <c r="G384" s="55">
        <f t="shared" si="39"/>
        <v>15</v>
      </c>
      <c r="H384" s="55">
        <f t="shared" si="40"/>
        <v>16</v>
      </c>
      <c r="I384" s="56">
        <f>AVERAGE($H367:$H384)</f>
        <v>14.22222222</v>
      </c>
    </row>
    <row r="385">
      <c r="A385" s="54"/>
      <c r="B385" s="55"/>
      <c r="C385" s="55"/>
      <c r="D385" s="55"/>
      <c r="E385" s="55"/>
      <c r="F385" s="55"/>
      <c r="G385" s="55"/>
      <c r="H385" s="55"/>
      <c r="I385" s="55"/>
    </row>
    <row r="386" ht="13.5">
      <c r="A386" s="60">
        <v>1.0</v>
      </c>
      <c r="B386" s="5" t="s">
        <v>47</v>
      </c>
      <c r="C386" s="68" t="s">
        <v>5</v>
      </c>
      <c r="D386" s="55" t="str">
        <f>VLOOKUP($B386,Letters!$C$4:$D$27,2,FALSE) &amp; VLOOKUP($C386,Letters!$C$4:$D$27,2,FALSE)</f>
        <v>EB</v>
      </c>
      <c r="E386" s="5" t="s">
        <v>1230</v>
      </c>
      <c r="F386" s="5" t="s">
        <v>1231</v>
      </c>
      <c r="G386" s="55">
        <f t="shared" ref="G386:G403" si="41">(len($F386)-len(SUBSTITUTE($F386,"R","")))+(len($F386)-len(SUBSTITUTE($F386,"L","")))+(len($F386)-len(SUBSTITUTE($F386,"U","")))+(len($F386)-len(SUBSTITUTE($F386,"D","")))+(len($F386)-len(SUBSTITUTE($F386,"F","")))+(len($F386)-len(SUBSTITUTE($F386,"B","")))</f>
        <v>10</v>
      </c>
      <c r="H386" s="55">
        <f t="shared" ref="H386:H403" si="42">(len($F386)-len(SUBSTITUTE($F386,"R","")))+(len($F386)-len(SUBSTITUTE($F386,"L","")))+(len($F386)-len(SUBSTITUTE($F386,"U","")))+(len($F386)-len(SUBSTITUTE($F386,"D","")))+(len($F386)-len(SUBSTITUTE($F386,"F","")))+(len($F386)-len(SUBSTITUTE($F386,"B","")))+(len($F386)-len(SUBSTITUTE($F386,"2","")))</f>
        <v>12</v>
      </c>
      <c r="I386" s="55"/>
    </row>
    <row r="387" ht="13.5">
      <c r="A387" s="54"/>
      <c r="B387" s="5" t="s">
        <v>47</v>
      </c>
      <c r="C387" s="68" t="s">
        <v>7</v>
      </c>
      <c r="D387" s="55" t="str">
        <f>VLOOKUP($B387,Letters!$C$4:$D$27,2,FALSE) &amp; VLOOKUP($C387,Letters!$C$4:$D$27,2,FALSE)</f>
        <v>EC</v>
      </c>
      <c r="E387" s="5" t="s">
        <v>1232</v>
      </c>
      <c r="F387" s="5" t="s">
        <v>1233</v>
      </c>
      <c r="G387" s="55">
        <f t="shared" si="41"/>
        <v>15</v>
      </c>
      <c r="H387" s="55">
        <f t="shared" si="42"/>
        <v>16</v>
      </c>
      <c r="I387" s="55"/>
    </row>
    <row r="388" ht="13.5">
      <c r="A388" s="54"/>
      <c r="B388" s="5" t="s">
        <v>47</v>
      </c>
      <c r="C388" s="68" t="s">
        <v>9</v>
      </c>
      <c r="D388" s="55" t="str">
        <f>VLOOKUP($B388,Letters!$C$4:$D$27,2,FALSE) &amp; VLOOKUP($C388,Letters!$C$4:$D$27,2,FALSE)</f>
        <v>ED</v>
      </c>
      <c r="E388" s="5" t="s">
        <v>1234</v>
      </c>
      <c r="F388" s="5" t="s">
        <v>1235</v>
      </c>
      <c r="G388" s="55">
        <f t="shared" si="41"/>
        <v>15</v>
      </c>
      <c r="H388" s="55">
        <f t="shared" si="42"/>
        <v>16</v>
      </c>
      <c r="I388" s="55"/>
    </row>
    <row r="389" ht="13.5">
      <c r="A389" s="54"/>
      <c r="B389" s="5" t="s">
        <v>47</v>
      </c>
      <c r="C389" s="68" t="s">
        <v>12</v>
      </c>
      <c r="D389" s="55" t="str">
        <f>VLOOKUP($B389,Letters!$C$4:$D$27,2,FALSE) &amp; VLOOKUP($C389,Letters!$C$4:$D$27,2,FALSE)</f>
        <v>EF</v>
      </c>
      <c r="E389" s="5" t="s">
        <v>1236</v>
      </c>
      <c r="F389" s="5" t="s">
        <v>1237</v>
      </c>
      <c r="G389" s="55">
        <f t="shared" si="41"/>
        <v>11</v>
      </c>
      <c r="H389" s="55">
        <f t="shared" si="42"/>
        <v>16</v>
      </c>
      <c r="I389" s="55"/>
    </row>
    <row r="390" ht="13.5">
      <c r="A390" s="60">
        <v>1.0</v>
      </c>
      <c r="B390" s="5" t="s">
        <v>47</v>
      </c>
      <c r="C390" s="68" t="s">
        <v>14</v>
      </c>
      <c r="D390" s="55" t="str">
        <f>VLOOKUP($B390,Letters!$C$4:$D$27,2,FALSE) &amp; VLOOKUP($C390,Letters!$C$4:$D$27,2,FALSE)</f>
        <v>EG</v>
      </c>
      <c r="E390" s="5" t="s">
        <v>1238</v>
      </c>
      <c r="F390" s="5" t="s">
        <v>1239</v>
      </c>
      <c r="G390" s="55">
        <f t="shared" si="41"/>
        <v>15</v>
      </c>
      <c r="H390" s="55">
        <f t="shared" si="42"/>
        <v>16</v>
      </c>
      <c r="I390" s="55"/>
    </row>
    <row r="391" ht="13.5">
      <c r="A391" s="54"/>
      <c r="B391" s="5" t="s">
        <v>47</v>
      </c>
      <c r="C391" s="68" t="s">
        <v>18</v>
      </c>
      <c r="D391" s="55" t="str">
        <f>VLOOKUP($B391,Letters!$C$4:$D$27,2,FALSE) &amp; VLOOKUP($C391,Letters!$C$4:$D$27,2,FALSE)</f>
        <v>EI</v>
      </c>
      <c r="E391" s="5" t="s">
        <v>1240</v>
      </c>
      <c r="F391" s="5" t="s">
        <v>1241</v>
      </c>
      <c r="G391" s="55">
        <f t="shared" si="41"/>
        <v>14</v>
      </c>
      <c r="H391" s="55">
        <f t="shared" si="42"/>
        <v>16</v>
      </c>
      <c r="I391" s="55"/>
    </row>
    <row r="392" ht="13.5">
      <c r="A392" s="54"/>
      <c r="B392" s="5" t="s">
        <v>47</v>
      </c>
      <c r="C392" s="68" t="s">
        <v>20</v>
      </c>
      <c r="D392" s="55" t="str">
        <f>VLOOKUP($B392,Letters!$C$4:$D$27,2,FALSE) &amp; VLOOKUP($C392,Letters!$C$4:$D$27,2,FALSE)</f>
        <v>ER</v>
      </c>
      <c r="E392" s="5" t="s">
        <v>1242</v>
      </c>
      <c r="F392" s="5" t="s">
        <v>1243</v>
      </c>
      <c r="G392" s="55">
        <f t="shared" si="41"/>
        <v>13</v>
      </c>
      <c r="H392" s="55">
        <f t="shared" si="42"/>
        <v>14</v>
      </c>
      <c r="I392" s="55"/>
    </row>
    <row r="393" ht="13.5">
      <c r="A393" s="54"/>
      <c r="B393" s="5" t="s">
        <v>47</v>
      </c>
      <c r="C393" s="68" t="s">
        <v>22</v>
      </c>
      <c r="D393" s="55" t="str">
        <f>VLOOKUP($B393,Letters!$C$4:$D$27,2,FALSE) &amp; VLOOKUP($C393,Letters!$C$4:$D$27,2,FALSE)</f>
        <v>EK</v>
      </c>
      <c r="E393" s="5" t="s">
        <v>1244</v>
      </c>
      <c r="F393" s="5" t="s">
        <v>1245</v>
      </c>
      <c r="G393" s="55">
        <f t="shared" si="41"/>
        <v>13</v>
      </c>
      <c r="H393" s="55">
        <f t="shared" si="42"/>
        <v>14</v>
      </c>
      <c r="I393" s="55"/>
    </row>
    <row r="394" ht="13.5">
      <c r="A394" s="60">
        <v>1.0</v>
      </c>
      <c r="B394" s="5" t="s">
        <v>47</v>
      </c>
      <c r="C394" s="68" t="s">
        <v>24</v>
      </c>
      <c r="D394" s="55" t="str">
        <f>VLOOKUP($B394,Letters!$C$4:$D$27,2,FALSE) &amp; VLOOKUP($C394,Letters!$C$4:$D$27,2,FALSE)</f>
        <v>EL</v>
      </c>
      <c r="E394" s="5" t="s">
        <v>1246</v>
      </c>
      <c r="F394" s="5" t="s">
        <v>1247</v>
      </c>
      <c r="G394" s="55">
        <f t="shared" si="41"/>
        <v>9</v>
      </c>
      <c r="H394" s="55">
        <f t="shared" si="42"/>
        <v>12</v>
      </c>
      <c r="I394" s="55"/>
    </row>
    <row r="395" ht="13.5">
      <c r="A395" s="54"/>
      <c r="B395" s="5" t="s">
        <v>47</v>
      </c>
      <c r="C395" s="68" t="s">
        <v>26</v>
      </c>
      <c r="D395" s="55" t="str">
        <f>VLOOKUP($B395,Letters!$C$4:$D$27,2,FALSE) &amp; VLOOKUP($C395,Letters!$C$4:$D$27,2,FALSE)</f>
        <v>EM</v>
      </c>
      <c r="E395" s="5" t="s">
        <v>1248</v>
      </c>
      <c r="F395" s="5" t="s">
        <v>1249</v>
      </c>
      <c r="G395" s="55">
        <f t="shared" si="41"/>
        <v>11</v>
      </c>
      <c r="H395" s="55">
        <f t="shared" si="42"/>
        <v>14</v>
      </c>
      <c r="I395" s="55"/>
    </row>
    <row r="396" ht="13.5">
      <c r="A396" s="60">
        <v>1.0</v>
      </c>
      <c r="B396" s="5" t="s">
        <v>47</v>
      </c>
      <c r="C396" s="68" t="s">
        <v>28</v>
      </c>
      <c r="D396" s="55" t="str">
        <f>VLOOKUP($B396,Letters!$C$4:$D$27,2,FALSE) &amp; VLOOKUP($C396,Letters!$C$4:$D$27,2,FALSE)</f>
        <v>EN</v>
      </c>
      <c r="E396" s="5" t="s">
        <v>1250</v>
      </c>
      <c r="F396" s="5" t="s">
        <v>1251</v>
      </c>
      <c r="G396" s="55">
        <f t="shared" si="41"/>
        <v>14</v>
      </c>
      <c r="H396" s="55">
        <f t="shared" si="42"/>
        <v>14</v>
      </c>
      <c r="I396" s="55"/>
    </row>
    <row r="397" ht="13.5">
      <c r="A397" s="54"/>
      <c r="B397" s="5" t="s">
        <v>47</v>
      </c>
      <c r="C397" s="68" t="s">
        <v>30</v>
      </c>
      <c r="D397" s="55" t="str">
        <f>VLOOKUP($B397,Letters!$C$4:$D$27,2,FALSE) &amp; VLOOKUP($C397,Letters!$C$4:$D$27,2,FALSE)</f>
        <v>EO</v>
      </c>
      <c r="E397" s="5" t="s">
        <v>1252</v>
      </c>
      <c r="F397" s="5" t="s">
        <v>1253</v>
      </c>
      <c r="G397" s="55">
        <f t="shared" si="41"/>
        <v>11</v>
      </c>
      <c r="H397" s="55">
        <f t="shared" si="42"/>
        <v>14</v>
      </c>
      <c r="I397" s="55"/>
    </row>
    <row r="398" ht="13.5">
      <c r="A398" s="54"/>
      <c r="B398" s="5" t="s">
        <v>47</v>
      </c>
      <c r="C398" s="68" t="s">
        <v>32</v>
      </c>
      <c r="D398" s="55" t="str">
        <f>VLOOKUP($B398,Letters!$C$4:$D$27,2,FALSE) &amp; VLOOKUP($C398,Letters!$C$4:$D$27,2,FALSE)</f>
        <v>EP</v>
      </c>
      <c r="E398" s="5" t="s">
        <v>1254</v>
      </c>
      <c r="F398" s="5" t="s">
        <v>1255</v>
      </c>
      <c r="G398" s="55">
        <f t="shared" si="41"/>
        <v>13</v>
      </c>
      <c r="H398" s="55">
        <f t="shared" si="42"/>
        <v>16</v>
      </c>
      <c r="I398" s="55"/>
    </row>
    <row r="399" ht="13.5">
      <c r="A399" s="60">
        <v>1.0</v>
      </c>
      <c r="B399" s="5" t="s">
        <v>47</v>
      </c>
      <c r="C399" s="68" t="s">
        <v>34</v>
      </c>
      <c r="D399" s="55" t="str">
        <f>VLOOKUP($B399,Letters!$C$4:$D$27,2,FALSE) &amp; VLOOKUP($C399,Letters!$C$4:$D$27,2,FALSE)</f>
        <v>EA</v>
      </c>
      <c r="E399" s="5" t="s">
        <v>1256</v>
      </c>
      <c r="F399" s="5" t="s">
        <v>1257</v>
      </c>
      <c r="G399" s="55">
        <f t="shared" si="41"/>
        <v>10</v>
      </c>
      <c r="H399" s="55">
        <f t="shared" si="42"/>
        <v>12</v>
      </c>
      <c r="I399" s="55"/>
    </row>
    <row r="400" ht="13.5">
      <c r="A400" s="54"/>
      <c r="B400" s="5" t="s">
        <v>47</v>
      </c>
      <c r="C400" s="68" t="s">
        <v>39</v>
      </c>
      <c r="D400" s="55" t="str">
        <f>VLOOKUP($B400,Letters!$C$4:$D$27,2,FALSE) &amp; VLOOKUP($C400,Letters!$C$4:$D$27,2,FALSE)</f>
        <v>ET</v>
      </c>
      <c r="E400" s="5" t="s">
        <v>1258</v>
      </c>
      <c r="F400" s="5" t="s">
        <v>1259</v>
      </c>
      <c r="G400" s="55">
        <f t="shared" si="41"/>
        <v>10</v>
      </c>
      <c r="H400" s="55">
        <f t="shared" si="42"/>
        <v>12</v>
      </c>
      <c r="I400" s="55"/>
    </row>
    <row r="401" ht="13.5">
      <c r="A401" s="54"/>
      <c r="B401" s="5" t="s">
        <v>47</v>
      </c>
      <c r="C401" s="68" t="s">
        <v>41</v>
      </c>
      <c r="D401" s="55" t="str">
        <f>VLOOKUP($B401,Letters!$C$4:$D$27,2,FALSE) &amp; VLOOKUP($C401,Letters!$C$4:$D$27,2,FALSE)</f>
        <v>EU</v>
      </c>
      <c r="E401" s="5" t="s">
        <v>1260</v>
      </c>
      <c r="F401" s="5" t="s">
        <v>1157</v>
      </c>
      <c r="G401" s="55">
        <f t="shared" si="41"/>
        <v>15</v>
      </c>
      <c r="H401" s="55">
        <f t="shared" si="42"/>
        <v>16</v>
      </c>
      <c r="I401" s="55"/>
    </row>
    <row r="402" ht="13.5">
      <c r="A402" s="54"/>
      <c r="B402" s="5" t="s">
        <v>47</v>
      </c>
      <c r="C402" s="68" t="s">
        <v>43</v>
      </c>
      <c r="D402" s="55" t="str">
        <f>VLOOKUP($B402,Letters!$C$4:$D$27,2,FALSE) &amp; VLOOKUP($C402,Letters!$C$4:$D$27,2,FALSE)</f>
        <v>EV</v>
      </c>
      <c r="E402" s="5" t="s">
        <v>1261</v>
      </c>
      <c r="F402" s="5" t="s">
        <v>1262</v>
      </c>
      <c r="G402" s="55">
        <f t="shared" si="41"/>
        <v>15</v>
      </c>
      <c r="H402" s="55">
        <f t="shared" si="42"/>
        <v>16</v>
      </c>
      <c r="I402" s="55"/>
    </row>
    <row r="403" ht="13.5">
      <c r="A403" s="54"/>
      <c r="B403" s="5" t="s">
        <v>47</v>
      </c>
      <c r="C403" s="68" t="s">
        <v>45</v>
      </c>
      <c r="D403" s="55" t="str">
        <f>VLOOKUP($B403,Letters!$C$4:$D$27,2,FALSE) &amp; VLOOKUP($C403,Letters!$C$4:$D$27,2,FALSE)</f>
        <v>EW</v>
      </c>
      <c r="E403" s="5" t="s">
        <v>1263</v>
      </c>
      <c r="F403" s="5" t="s">
        <v>1264</v>
      </c>
      <c r="G403" s="55">
        <f t="shared" si="41"/>
        <v>15</v>
      </c>
      <c r="H403" s="55">
        <f t="shared" si="42"/>
        <v>16</v>
      </c>
      <c r="I403" s="56">
        <f>AVERAGE($H386:$H403)</f>
        <v>14.55555556</v>
      </c>
    </row>
    <row r="404">
      <c r="A404" s="60"/>
      <c r="B404" s="55"/>
      <c r="C404" s="55"/>
      <c r="D404" s="55"/>
      <c r="E404" s="5"/>
      <c r="F404" s="5"/>
      <c r="G404" s="55"/>
      <c r="H404" s="55"/>
      <c r="I404" s="55"/>
    </row>
    <row r="405" ht="17.25">
      <c r="A405" s="54"/>
      <c r="B405" s="3" t="s">
        <v>1265</v>
      </c>
      <c r="C405" s="55"/>
      <c r="D405" s="55"/>
      <c r="E405" s="55"/>
      <c r="F405" s="55"/>
      <c r="G405" s="55"/>
      <c r="H405" s="55"/>
      <c r="I405" s="55"/>
    </row>
    <row r="406">
      <c r="A406" s="54"/>
      <c r="B406" s="55"/>
      <c r="C406" s="55"/>
      <c r="D406" s="55"/>
      <c r="E406" s="5"/>
      <c r="F406" s="5"/>
      <c r="G406" s="55"/>
      <c r="H406" s="55"/>
      <c r="I406" s="55"/>
    </row>
    <row r="407" ht="13.5">
      <c r="A407" s="54"/>
      <c r="B407" s="5" t="s">
        <v>5</v>
      </c>
      <c r="C407" s="5" t="s">
        <v>28</v>
      </c>
      <c r="D407" s="55" t="str">
        <f>VLOOKUP($B407,Letters!$C$4:$D$27,2,FALSE) &amp; VLOOKUP($C407,Letters!$C$4:$D$27,2,FALSE)</f>
        <v>BN</v>
      </c>
      <c r="E407" s="5" t="s">
        <v>207</v>
      </c>
      <c r="F407" s="70" t="s">
        <v>1266</v>
      </c>
      <c r="G407" s="55"/>
      <c r="H407" s="55"/>
      <c r="I407" s="55"/>
    </row>
    <row r="408" ht="13.5">
      <c r="A408" s="54"/>
      <c r="B408" s="5" t="s">
        <v>5</v>
      </c>
      <c r="C408" s="5" t="s">
        <v>34</v>
      </c>
      <c r="D408" s="55" t="str">
        <f>VLOOKUP($B408,Letters!$C$4:$D$27,2,FALSE) &amp; VLOOKUP($C408,Letters!$C$4:$D$27,2,FALSE)</f>
        <v>BA</v>
      </c>
      <c r="E408" s="5" t="s">
        <v>207</v>
      </c>
      <c r="F408" s="70" t="s">
        <v>1267</v>
      </c>
      <c r="G408" s="55"/>
      <c r="H408" s="55"/>
      <c r="I408" s="55"/>
    </row>
    <row r="409" ht="13.5">
      <c r="A409" s="54"/>
      <c r="B409" s="68" t="s">
        <v>7</v>
      </c>
      <c r="C409" s="5" t="s">
        <v>20</v>
      </c>
      <c r="D409" s="55" t="str">
        <f>VLOOKUP($B409,Letters!$C$4:$D$27,2,FALSE) &amp; VLOOKUP($C409,Letters!$C$4:$D$27,2,FALSE)</f>
        <v>CR</v>
      </c>
      <c r="E409" s="5" t="s">
        <v>207</v>
      </c>
      <c r="F409" s="67" t="s">
        <v>1268</v>
      </c>
      <c r="G409" s="55"/>
      <c r="H409" s="55"/>
      <c r="I409" s="55"/>
    </row>
    <row r="410" ht="13.5">
      <c r="A410" s="54"/>
      <c r="B410" s="68" t="s">
        <v>7</v>
      </c>
      <c r="C410" s="5" t="s">
        <v>26</v>
      </c>
      <c r="D410" s="55" t="str">
        <f>VLOOKUP($B410,Letters!$C$4:$D$27,2,FALSE) &amp; VLOOKUP($C410,Letters!$C$4:$D$27,2,FALSE)</f>
        <v>CM</v>
      </c>
      <c r="E410" s="5" t="s">
        <v>207</v>
      </c>
      <c r="F410" s="5"/>
      <c r="G410" s="55"/>
      <c r="H410" s="55"/>
      <c r="I410" s="55"/>
    </row>
    <row r="411" ht="13.5">
      <c r="A411" s="54"/>
      <c r="B411" s="68" t="s">
        <v>9</v>
      </c>
      <c r="C411" s="5" t="s">
        <v>12</v>
      </c>
      <c r="D411" s="55" t="str">
        <f>VLOOKUP($B411,Letters!$C$4:$D$27,2,FALSE) &amp; VLOOKUP($C411,Letters!$C$4:$D$27,2,FALSE)</f>
        <v>DF</v>
      </c>
      <c r="E411" s="5" t="s">
        <v>207</v>
      </c>
      <c r="F411" s="70" t="s">
        <v>1269</v>
      </c>
      <c r="G411" s="55"/>
      <c r="H411" s="55"/>
      <c r="I411" s="55"/>
    </row>
    <row r="412" ht="13.5">
      <c r="A412" s="54"/>
      <c r="B412" s="68" t="s">
        <v>9</v>
      </c>
      <c r="C412" s="5" t="s">
        <v>18</v>
      </c>
      <c r="D412" s="55" t="str">
        <f>VLOOKUP($B412,Letters!$C$4:$D$27,2,FALSE) &amp; VLOOKUP($C412,Letters!$C$4:$D$27,2,FALSE)</f>
        <v>DI</v>
      </c>
      <c r="E412" s="5" t="s">
        <v>207</v>
      </c>
      <c r="F412" s="70" t="s">
        <v>1270</v>
      </c>
      <c r="G412" s="55"/>
      <c r="H412" s="55"/>
      <c r="I412" s="55"/>
    </row>
    <row r="413" ht="13.5">
      <c r="A413" s="54"/>
      <c r="B413" s="68" t="s">
        <v>41</v>
      </c>
      <c r="C413" s="5" t="s">
        <v>14</v>
      </c>
      <c r="D413" s="55" t="str">
        <f>VLOOKUP($B413,Letters!$C$4:$D$27,2,FALSE) &amp; VLOOKUP($C413,Letters!$C$4:$D$27,2,FALSE)</f>
        <v>UG</v>
      </c>
      <c r="E413" s="5" t="s">
        <v>1271</v>
      </c>
      <c r="F413" s="5" t="s">
        <v>1272</v>
      </c>
      <c r="G413" s="55"/>
      <c r="H413" s="55"/>
      <c r="I413" s="55"/>
    </row>
    <row r="414" ht="13.5">
      <c r="A414" s="54"/>
      <c r="B414" s="68" t="s">
        <v>41</v>
      </c>
      <c r="C414" s="5" t="s">
        <v>24</v>
      </c>
      <c r="D414" s="55" t="str">
        <f>VLOOKUP($B414,Letters!$C$4:$D$27,2,FALSE) &amp; VLOOKUP($C414,Letters!$C$4:$D$27,2,FALSE)</f>
        <v>UL</v>
      </c>
      <c r="E414" s="5" t="s">
        <v>1273</v>
      </c>
      <c r="F414" s="5" t="s">
        <v>1274</v>
      </c>
      <c r="G414" s="55"/>
      <c r="H414" s="55"/>
      <c r="I414" s="55"/>
    </row>
    <row r="415" ht="13.5">
      <c r="A415" s="54"/>
      <c r="B415" s="68" t="s">
        <v>43</v>
      </c>
      <c r="C415" s="5" t="s">
        <v>22</v>
      </c>
      <c r="D415" s="55" t="str">
        <f>VLOOKUP($B415,Letters!$C$4:$D$27,2,FALSE) &amp; VLOOKUP($C415,Letters!$C$4:$D$27,2,FALSE)</f>
        <v>VK</v>
      </c>
      <c r="E415" s="5"/>
      <c r="F415" s="5"/>
      <c r="G415" s="55"/>
      <c r="H415" s="55"/>
      <c r="I415" s="55"/>
    </row>
    <row r="416" ht="13.5">
      <c r="A416" s="54"/>
      <c r="B416" s="68" t="s">
        <v>43</v>
      </c>
      <c r="C416" s="5" t="s">
        <v>32</v>
      </c>
      <c r="D416" s="55" t="str">
        <f>VLOOKUP($B416,Letters!$C$4:$D$27,2,FALSE) &amp; VLOOKUP($C416,Letters!$C$4:$D$27,2,FALSE)</f>
        <v>VP</v>
      </c>
      <c r="E416" s="55"/>
      <c r="F416" s="55"/>
      <c r="G416" s="55"/>
      <c r="H416" s="55"/>
      <c r="I416" s="55"/>
    </row>
    <row r="417" ht="13.5">
      <c r="A417" s="54"/>
      <c r="B417" s="68" t="s">
        <v>45</v>
      </c>
      <c r="C417" s="5" t="s">
        <v>30</v>
      </c>
      <c r="D417" s="55" t="str">
        <f>VLOOKUP($B417,Letters!$C$4:$D$27,2,FALSE) &amp; VLOOKUP($C417,Letters!$C$4:$D$27,2,FALSE)</f>
        <v>WO</v>
      </c>
      <c r="E417" s="5" t="s">
        <v>207</v>
      </c>
      <c r="F417" s="70" t="s">
        <v>1275</v>
      </c>
      <c r="G417" s="55"/>
      <c r="H417" s="55"/>
      <c r="I417" s="55"/>
    </row>
    <row r="418" ht="13.5">
      <c r="A418" s="54"/>
      <c r="B418" s="68" t="s">
        <v>45</v>
      </c>
      <c r="C418" s="5" t="s">
        <v>39</v>
      </c>
      <c r="D418" s="55" t="str">
        <f>VLOOKUP($B418,Letters!$C$4:$D$27,2,FALSE) &amp; VLOOKUP($C418,Letters!$C$4:$D$27,2,FALSE)</f>
        <v>WT</v>
      </c>
      <c r="E418" s="55"/>
      <c r="F418" s="70" t="s">
        <v>1276</v>
      </c>
      <c r="G418" s="55"/>
      <c r="H418" s="55"/>
      <c r="I418" s="55"/>
    </row>
    <row r="419" ht="13.5">
      <c r="A419" s="54"/>
      <c r="B419" s="68" t="s">
        <v>47</v>
      </c>
      <c r="C419" s="5" t="s">
        <v>16</v>
      </c>
      <c r="D419" s="55" t="str">
        <f>VLOOKUP($B419,Letters!$C$4:$D$27,2,FALSE) &amp; VLOOKUP($C419,Letters!$C$4:$D$27,2,FALSE)</f>
        <v>EH</v>
      </c>
      <c r="E419" s="5" t="s">
        <v>1277</v>
      </c>
      <c r="F419" s="5" t="s">
        <v>1278</v>
      </c>
      <c r="G419" s="55"/>
      <c r="H419" s="55"/>
      <c r="I419" s="55"/>
    </row>
    <row r="420" ht="13.5">
      <c r="A420" s="54"/>
      <c r="B420" s="68" t="s">
        <v>47</v>
      </c>
      <c r="C420" s="5" t="s">
        <v>37</v>
      </c>
      <c r="D420" s="55" t="str">
        <f>VLOOKUP($B420,Letters!$C$4:$D$27,2,FALSE) &amp; VLOOKUP($C420,Letters!$C$4:$D$27,2,FALSE)</f>
        <v>ES</v>
      </c>
      <c r="E420" s="5" t="s">
        <v>1279</v>
      </c>
      <c r="F420" s="5" t="s">
        <v>1280</v>
      </c>
      <c r="G420" s="55"/>
      <c r="H420" s="55"/>
      <c r="I420" s="55"/>
    </row>
    <row r="421">
      <c r="A421" s="54"/>
      <c r="B421" s="55"/>
      <c r="C421" s="55"/>
      <c r="D421" s="55"/>
      <c r="E421" s="55"/>
      <c r="F421" s="55"/>
      <c r="G421" s="55"/>
      <c r="H421" s="55"/>
      <c r="I421" s="55"/>
    </row>
    <row r="422" ht="17.25">
      <c r="A422" s="54"/>
      <c r="B422" s="3" t="s">
        <v>508</v>
      </c>
      <c r="C422" s="55"/>
      <c r="D422" s="55"/>
      <c r="E422" s="55"/>
      <c r="F422" s="55"/>
      <c r="G422" s="55"/>
      <c r="H422" s="55"/>
      <c r="I422" s="55"/>
    </row>
    <row r="423">
      <c r="A423" s="54"/>
      <c r="B423" s="55"/>
      <c r="C423" s="55"/>
      <c r="D423" s="55"/>
      <c r="E423" s="55"/>
      <c r="F423" s="55"/>
      <c r="G423" s="55"/>
      <c r="H423" s="55"/>
      <c r="I423" s="55"/>
    </row>
    <row r="424">
      <c r="A424" s="54"/>
      <c r="B424" s="71" t="s">
        <v>1281</v>
      </c>
      <c r="C424" s="55"/>
      <c r="D424" s="55"/>
      <c r="E424" s="55"/>
      <c r="F424" s="55"/>
      <c r="G424" s="55"/>
      <c r="H424" s="55"/>
      <c r="I424" s="55"/>
    </row>
    <row r="425">
      <c r="A425" s="54"/>
      <c r="B425" s="55"/>
      <c r="C425" s="55"/>
      <c r="D425" s="55"/>
      <c r="E425" s="55"/>
      <c r="F425" s="55"/>
      <c r="G425" s="55"/>
      <c r="H425" s="55"/>
      <c r="I425" s="55"/>
    </row>
    <row r="426" ht="17.25">
      <c r="A426" s="54"/>
      <c r="B426" s="3" t="s">
        <v>1282</v>
      </c>
      <c r="C426" s="55"/>
      <c r="D426" s="55"/>
      <c r="E426" s="55"/>
      <c r="F426" s="55"/>
      <c r="G426" s="55"/>
      <c r="H426" s="55"/>
      <c r="I426" s="55"/>
    </row>
    <row r="427">
      <c r="A427" s="54"/>
      <c r="B427" s="55"/>
      <c r="C427" s="55"/>
      <c r="D427" s="55"/>
      <c r="E427" s="55"/>
      <c r="F427" s="55"/>
      <c r="G427" s="55"/>
      <c r="H427" s="55"/>
      <c r="I427" s="55"/>
    </row>
    <row r="428" ht="13.5">
      <c r="A428" s="54"/>
      <c r="B428" s="5" t="s">
        <v>5</v>
      </c>
      <c r="C428" s="5" t="s">
        <v>6</v>
      </c>
      <c r="D428" s="56">
        <f t="shared" ref="D428:D448" si="43">ROUND(SUMIF($B$6:$B$403,B428,$H$6:$H$403)/18,1)</f>
        <v>11.4</v>
      </c>
      <c r="F428" s="55"/>
      <c r="G428" s="55"/>
      <c r="H428" s="55"/>
      <c r="I428" s="55"/>
    </row>
    <row r="429" ht="13.5">
      <c r="A429" s="54"/>
      <c r="B429" s="5" t="s">
        <v>7</v>
      </c>
      <c r="C429" s="5" t="s">
        <v>8</v>
      </c>
      <c r="D429" s="56">
        <f t="shared" si="43"/>
        <v>13.6</v>
      </c>
      <c r="F429" s="55"/>
      <c r="G429" s="55"/>
      <c r="H429" s="55"/>
      <c r="I429" s="55"/>
    </row>
    <row r="430" ht="13.5">
      <c r="A430" s="54"/>
      <c r="B430" s="5" t="s">
        <v>9</v>
      </c>
      <c r="C430" s="5" t="s">
        <v>10</v>
      </c>
      <c r="D430" s="56">
        <f t="shared" si="43"/>
        <v>12.3</v>
      </c>
      <c r="F430" s="55"/>
      <c r="G430" s="55"/>
      <c r="H430" s="55"/>
      <c r="I430" s="55"/>
    </row>
    <row r="431" ht="13.5">
      <c r="A431" s="54"/>
      <c r="B431" s="5" t="s">
        <v>12</v>
      </c>
      <c r="C431" s="5" t="s">
        <v>13</v>
      </c>
      <c r="D431" s="56">
        <f t="shared" si="43"/>
        <v>15.3</v>
      </c>
      <c r="F431" s="55"/>
      <c r="G431" s="55"/>
      <c r="H431" s="55"/>
      <c r="I431" s="55"/>
    </row>
    <row r="432" ht="13.5">
      <c r="A432" s="54"/>
      <c r="B432" s="5" t="s">
        <v>14</v>
      </c>
      <c r="C432" s="5" t="s">
        <v>15</v>
      </c>
      <c r="D432" s="56">
        <f t="shared" si="43"/>
        <v>12.4</v>
      </c>
      <c r="F432" s="55"/>
      <c r="G432" s="55"/>
      <c r="H432" s="55"/>
      <c r="I432" s="55"/>
    </row>
    <row r="433" ht="13.5">
      <c r="A433" s="54"/>
      <c r="B433" s="5" t="s">
        <v>16</v>
      </c>
      <c r="C433" s="5" t="s">
        <v>17</v>
      </c>
      <c r="D433" s="56">
        <f t="shared" si="43"/>
        <v>11.4</v>
      </c>
      <c r="F433" s="55"/>
      <c r="G433" s="55"/>
      <c r="H433" s="55"/>
      <c r="I433" s="55"/>
    </row>
    <row r="434" ht="13.5">
      <c r="A434" s="54"/>
      <c r="B434" s="5" t="s">
        <v>18</v>
      </c>
      <c r="C434" s="5" t="s">
        <v>19</v>
      </c>
      <c r="D434" s="56">
        <f t="shared" si="43"/>
        <v>12.3</v>
      </c>
      <c r="F434" s="55"/>
      <c r="G434" s="55"/>
      <c r="H434" s="55"/>
      <c r="I434" s="55"/>
    </row>
    <row r="435" ht="13.5">
      <c r="A435" s="54"/>
      <c r="B435" s="5" t="s">
        <v>20</v>
      </c>
      <c r="C435" s="5" t="s">
        <v>21</v>
      </c>
      <c r="D435" s="56">
        <f t="shared" si="43"/>
        <v>12.4</v>
      </c>
      <c r="F435" s="55"/>
      <c r="G435" s="55"/>
      <c r="H435" s="55"/>
      <c r="I435" s="55"/>
    </row>
    <row r="436" ht="13.5">
      <c r="A436" s="54"/>
      <c r="B436" s="5" t="s">
        <v>22</v>
      </c>
      <c r="C436" s="5" t="s">
        <v>23</v>
      </c>
      <c r="D436" s="56">
        <f t="shared" si="43"/>
        <v>13.1</v>
      </c>
      <c r="F436" s="55"/>
      <c r="G436" s="55"/>
      <c r="H436" s="55"/>
      <c r="I436" s="55"/>
    </row>
    <row r="437" ht="13.5">
      <c r="A437" s="54"/>
      <c r="B437" s="5" t="s">
        <v>24</v>
      </c>
      <c r="C437" s="5" t="s">
        <v>25</v>
      </c>
      <c r="D437" s="56">
        <f t="shared" si="43"/>
        <v>12.3</v>
      </c>
      <c r="F437" s="55"/>
      <c r="G437" s="55"/>
      <c r="H437" s="55"/>
      <c r="I437" s="55"/>
    </row>
    <row r="438" ht="13.5">
      <c r="A438" s="54"/>
      <c r="B438" s="5" t="s">
        <v>26</v>
      </c>
      <c r="C438" s="5" t="s">
        <v>27</v>
      </c>
      <c r="D438" s="56">
        <f t="shared" si="43"/>
        <v>12.3</v>
      </c>
      <c r="F438" s="55"/>
      <c r="G438" s="55"/>
      <c r="H438" s="55"/>
      <c r="I438" s="55"/>
    </row>
    <row r="439" ht="13.5">
      <c r="A439" s="54"/>
      <c r="B439" s="5" t="s">
        <v>28</v>
      </c>
      <c r="C439" s="5" t="s">
        <v>29</v>
      </c>
      <c r="D439" s="56">
        <f t="shared" si="43"/>
        <v>12</v>
      </c>
      <c r="F439" s="55"/>
      <c r="G439" s="55"/>
      <c r="H439" s="55"/>
      <c r="I439" s="55"/>
    </row>
    <row r="440" ht="13.5">
      <c r="A440" s="54"/>
      <c r="B440" s="5" t="s">
        <v>30</v>
      </c>
      <c r="C440" s="5" t="s">
        <v>31</v>
      </c>
      <c r="D440" s="56">
        <f t="shared" si="43"/>
        <v>11.8</v>
      </c>
      <c r="F440" s="55"/>
      <c r="G440" s="55"/>
      <c r="H440" s="55"/>
      <c r="I440" s="55"/>
    </row>
    <row r="441" ht="13.5">
      <c r="A441" s="54"/>
      <c r="B441" s="5" t="s">
        <v>32</v>
      </c>
      <c r="C441" s="5" t="s">
        <v>33</v>
      </c>
      <c r="D441" s="56">
        <f t="shared" si="43"/>
        <v>11.7</v>
      </c>
      <c r="F441" s="55"/>
      <c r="G441" s="55"/>
      <c r="H441" s="55"/>
      <c r="I441" s="55"/>
    </row>
    <row r="442" ht="13.5">
      <c r="A442" s="54"/>
      <c r="B442" s="5" t="s">
        <v>34</v>
      </c>
      <c r="C442" s="5" t="s">
        <v>35</v>
      </c>
      <c r="D442" s="56">
        <f t="shared" si="43"/>
        <v>13.9</v>
      </c>
      <c r="F442" s="55"/>
      <c r="G442" s="55"/>
      <c r="H442" s="55"/>
      <c r="I442" s="55"/>
    </row>
    <row r="443" ht="13.5">
      <c r="A443" s="54"/>
      <c r="B443" s="5" t="s">
        <v>37</v>
      </c>
      <c r="C443" s="5" t="s">
        <v>38</v>
      </c>
      <c r="D443" s="56">
        <f t="shared" si="43"/>
        <v>12.6</v>
      </c>
      <c r="F443" s="55"/>
      <c r="G443" s="55"/>
      <c r="H443" s="55"/>
      <c r="I443" s="55"/>
    </row>
    <row r="444" ht="13.5">
      <c r="A444" s="54"/>
      <c r="B444" s="5" t="s">
        <v>39</v>
      </c>
      <c r="C444" s="5" t="s">
        <v>40</v>
      </c>
      <c r="D444" s="56">
        <f t="shared" si="43"/>
        <v>11.4</v>
      </c>
      <c r="F444" s="55"/>
      <c r="G444" s="55"/>
      <c r="H444" s="55"/>
      <c r="I444" s="55"/>
    </row>
    <row r="445" ht="13.5">
      <c r="A445" s="54"/>
      <c r="B445" s="5" t="s">
        <v>41</v>
      </c>
      <c r="C445" s="5" t="s">
        <v>42</v>
      </c>
      <c r="D445" s="56">
        <f t="shared" si="43"/>
        <v>13.9</v>
      </c>
      <c r="F445" s="55"/>
      <c r="G445" s="55"/>
      <c r="H445" s="55"/>
      <c r="I445" s="55"/>
    </row>
    <row r="446" ht="13.5">
      <c r="A446" s="54"/>
      <c r="B446" s="5" t="s">
        <v>43</v>
      </c>
      <c r="C446" s="5" t="s">
        <v>44</v>
      </c>
      <c r="D446" s="56">
        <f t="shared" si="43"/>
        <v>14</v>
      </c>
      <c r="F446" s="55"/>
      <c r="G446" s="55"/>
      <c r="H446" s="55"/>
      <c r="I446" s="55"/>
    </row>
    <row r="447" ht="13.5">
      <c r="A447" s="54"/>
      <c r="B447" s="5" t="s">
        <v>45</v>
      </c>
      <c r="C447" s="5" t="s">
        <v>46</v>
      </c>
      <c r="D447" s="56">
        <f t="shared" si="43"/>
        <v>14.2</v>
      </c>
      <c r="F447" s="55"/>
      <c r="G447" s="55"/>
      <c r="H447" s="55"/>
      <c r="I447" s="55"/>
    </row>
    <row r="448" ht="13.5">
      <c r="A448" s="54"/>
      <c r="B448" s="5" t="s">
        <v>47</v>
      </c>
      <c r="C448" s="5" t="s">
        <v>48</v>
      </c>
      <c r="D448" s="56">
        <f t="shared" si="43"/>
        <v>14.6</v>
      </c>
      <c r="F448" s="55"/>
      <c r="G448" s="55"/>
      <c r="H448" s="55"/>
      <c r="I448" s="55"/>
    </row>
    <row r="449">
      <c r="A449" s="54"/>
      <c r="B449" s="55"/>
      <c r="C449" s="55"/>
      <c r="D449" s="56"/>
      <c r="E449" s="55"/>
      <c r="F449" s="55"/>
      <c r="G449" s="55"/>
      <c r="H449" s="55"/>
      <c r="I449" s="55"/>
    </row>
    <row r="450" ht="17.25">
      <c r="A450" s="54"/>
      <c r="B450" s="3" t="s">
        <v>1283</v>
      </c>
      <c r="C450" s="55"/>
      <c r="D450" s="56"/>
      <c r="E450" s="55"/>
      <c r="F450" s="55"/>
      <c r="G450" s="55"/>
      <c r="H450" s="55"/>
      <c r="I450" s="55"/>
    </row>
    <row r="451">
      <c r="A451" s="54"/>
      <c r="B451" s="55"/>
      <c r="C451" s="55"/>
      <c r="D451" s="56"/>
      <c r="E451" s="55"/>
      <c r="F451" s="55"/>
      <c r="G451" s="55"/>
      <c r="H451" s="55"/>
      <c r="I451" s="55"/>
    </row>
    <row r="452" ht="13.5">
      <c r="A452" s="54"/>
      <c r="B452" s="5">
        <v>1.0</v>
      </c>
      <c r="C452" s="5" t="s">
        <v>1284</v>
      </c>
      <c r="D452" s="56">
        <f t="shared" ref="D452:D458" si="44">(VLOOKUP(LEFT(C452,1),$C$428:$D$448,2,FALSE)+VLOOKUP(MID(C452,2,1),$C$428:$D$448,2,FALSE)+VLOOKUP(RIGHT(C452,1),$C$428:$D$448,2,FALSE))/3</f>
        <v>12.43333333</v>
      </c>
      <c r="E452" s="55"/>
      <c r="F452" s="55"/>
      <c r="G452" s="55"/>
      <c r="H452" s="55"/>
      <c r="I452" s="55"/>
    </row>
    <row r="453" ht="13.5">
      <c r="A453" s="54"/>
      <c r="B453" s="5">
        <v>2.0</v>
      </c>
      <c r="C453" s="5" t="s">
        <v>1285</v>
      </c>
      <c r="D453" s="56">
        <f t="shared" si="44"/>
        <v>12.46666667</v>
      </c>
      <c r="E453" s="55"/>
      <c r="F453" s="55"/>
      <c r="G453" s="55"/>
      <c r="H453" s="55"/>
      <c r="I453" s="55"/>
    </row>
    <row r="454" ht="13.5">
      <c r="A454" s="54"/>
      <c r="B454" s="5">
        <v>3.0</v>
      </c>
      <c r="C454" s="5" t="s">
        <v>1286</v>
      </c>
      <c r="D454" s="56">
        <f t="shared" si="44"/>
        <v>12.76666667</v>
      </c>
      <c r="E454" s="55"/>
      <c r="F454" s="55"/>
      <c r="G454" s="55"/>
      <c r="H454" s="55"/>
      <c r="I454" s="55"/>
    </row>
    <row r="455" ht="13.5">
      <c r="A455" s="54"/>
      <c r="B455" s="5">
        <v>5.0</v>
      </c>
      <c r="C455" s="5" t="s">
        <v>1287</v>
      </c>
      <c r="D455" s="56">
        <f t="shared" si="44"/>
        <v>12.86666667</v>
      </c>
      <c r="E455" s="55"/>
      <c r="F455" s="55"/>
      <c r="G455" s="55"/>
      <c r="H455" s="55"/>
      <c r="I455" s="55"/>
    </row>
    <row r="456" ht="13.5">
      <c r="A456" s="54"/>
      <c r="B456" s="5">
        <v>4.0</v>
      </c>
      <c r="C456" s="5" t="s">
        <v>1288</v>
      </c>
      <c r="D456" s="56">
        <f t="shared" si="44"/>
        <v>12.86666667</v>
      </c>
      <c r="E456" s="55"/>
      <c r="F456" s="55"/>
      <c r="G456" s="55"/>
      <c r="H456" s="55"/>
      <c r="I456" s="55"/>
    </row>
    <row r="457" ht="13.5">
      <c r="A457" s="54"/>
      <c r="B457" s="5">
        <v>6.0</v>
      </c>
      <c r="C457" s="5" t="s">
        <v>1289</v>
      </c>
      <c r="D457" s="56">
        <f t="shared" si="44"/>
        <v>12.93333333</v>
      </c>
      <c r="E457" s="55"/>
      <c r="F457" s="55"/>
      <c r="G457" s="55"/>
      <c r="H457" s="55"/>
      <c r="I457" s="55"/>
    </row>
    <row r="458" ht="13.5">
      <c r="A458" s="54"/>
      <c r="B458" s="5">
        <v>7.0</v>
      </c>
      <c r="C458" s="5" t="s">
        <v>1290</v>
      </c>
      <c r="D458" s="56">
        <f t="shared" si="44"/>
        <v>13.3</v>
      </c>
      <c r="E458" s="55"/>
      <c r="F458" s="55"/>
      <c r="G458" s="55"/>
      <c r="H458" s="55"/>
      <c r="I458" s="55"/>
    </row>
    <row r="459">
      <c r="A459" s="54"/>
      <c r="B459" s="55"/>
      <c r="C459" s="55"/>
      <c r="D459" s="55"/>
      <c r="E459" s="55"/>
      <c r="F459" s="55"/>
      <c r="G459" s="55"/>
      <c r="H459" s="55"/>
      <c r="I459" s="55"/>
    </row>
    <row r="460">
      <c r="A460" s="54"/>
      <c r="B460" s="55"/>
      <c r="C460" s="55"/>
      <c r="D460" s="55"/>
      <c r="E460" s="55"/>
      <c r="F460" s="55"/>
      <c r="G460" s="55"/>
      <c r="H460" s="55"/>
      <c r="I460" s="55"/>
    </row>
    <row r="461">
      <c r="A461" s="54"/>
      <c r="B461" s="55"/>
      <c r="C461" s="55"/>
      <c r="D461" s="55"/>
      <c r="E461" s="55"/>
      <c r="F461" s="55"/>
      <c r="G461" s="55"/>
      <c r="H461" s="55"/>
      <c r="I461" s="55"/>
    </row>
    <row r="462">
      <c r="A462" s="54"/>
      <c r="B462" s="55"/>
      <c r="C462" s="55"/>
      <c r="D462" s="55"/>
      <c r="E462" s="55"/>
      <c r="F462" s="55"/>
      <c r="G462" s="55"/>
      <c r="H462" s="55"/>
      <c r="I462" s="55"/>
    </row>
  </sheetData>
  <conditionalFormatting sqref="E1 E6:E404 E406">
    <cfRule type="expression" dxfId="0" priority="1">
      <formula>G:G=8</formula>
    </cfRule>
  </conditionalFormatting>
  <conditionalFormatting sqref="E1 E6:E404 E406">
    <cfRule type="expression" dxfId="4" priority="2">
      <formula>G:G=9</formula>
    </cfRule>
  </conditionalFormatting>
  <conditionalFormatting sqref="E1 E6:E404 E406">
    <cfRule type="expression" dxfId="1" priority="3">
      <formula>G:G=10</formula>
    </cfRule>
  </conditionalFormatting>
  <conditionalFormatting sqref="E5">
    <cfRule type="notContainsBlanks" dxfId="5" priority="4">
      <formula>LEN(TRIM(E5))&gt;0</formula>
    </cfRule>
  </conditionalFormatting>
  <conditionalFormatting sqref="E5">
    <cfRule type="notContainsBlanks" dxfId="5" priority="5">
      <formula>LEN(TRIM(E5))&gt;0</formula>
    </cfRule>
  </conditionalFormatting>
  <conditionalFormatting sqref="E6">
    <cfRule type="notContainsBlanks" dxfId="5" priority="6">
      <formula>LEN(TRIM(E6))&gt;0</formula>
    </cfRule>
  </conditionalFormatting>
  <conditionalFormatting sqref="D6:D403">
    <cfRule type="expression" dxfId="3" priority="7">
      <formula>A:A=1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4" width="10.86"/>
    <col customWidth="1" min="5" max="5" width="26.57"/>
    <col customWidth="1" min="6" max="6" width="44.43"/>
    <col customWidth="1" min="7" max="9" width="7.29"/>
  </cols>
  <sheetData>
    <row r="1">
      <c r="A1" s="54"/>
      <c r="B1" s="4"/>
      <c r="C1" s="4"/>
      <c r="D1" s="4"/>
      <c r="E1" s="55"/>
      <c r="F1" s="55"/>
      <c r="G1" s="55"/>
      <c r="H1" s="55"/>
      <c r="I1" s="56"/>
      <c r="J1" s="55"/>
      <c r="K1" s="55"/>
      <c r="L1" s="55"/>
    </row>
    <row r="2" ht="11.25" customHeight="1">
      <c r="A2" s="54"/>
      <c r="B2" s="3" t="s">
        <v>185</v>
      </c>
      <c r="C2" s="4"/>
      <c r="D2" s="4"/>
      <c r="E2" s="55"/>
      <c r="F2" s="55"/>
      <c r="G2" s="55"/>
      <c r="H2" s="55"/>
      <c r="I2" s="56"/>
      <c r="J2" s="55"/>
      <c r="K2" s="55"/>
      <c r="L2" s="55"/>
    </row>
    <row r="3" ht="13.5">
      <c r="A3" s="54"/>
      <c r="B3" s="4"/>
      <c r="C3" s="4"/>
      <c r="D3" s="4" t="str">
        <f>SUM(A6:A466)&amp;"/"&amp;COUNTA(D6:D466)</f>
        <v>2/440</v>
      </c>
      <c r="E3" s="55"/>
      <c r="F3" s="55"/>
      <c r="G3" s="55"/>
      <c r="H3" s="55"/>
      <c r="I3" s="56"/>
      <c r="J3" s="55"/>
      <c r="K3" s="55"/>
      <c r="L3" s="55"/>
    </row>
    <row r="4" ht="13.5">
      <c r="A4" s="57"/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192</v>
      </c>
      <c r="I4" s="58"/>
      <c r="J4" s="59"/>
      <c r="K4" s="59"/>
      <c r="L4" s="59"/>
    </row>
    <row r="5" ht="13.5" customHeight="1">
      <c r="A5" s="60"/>
      <c r="B5" s="5"/>
      <c r="C5" s="5"/>
      <c r="D5" s="55"/>
      <c r="E5" s="5"/>
      <c r="F5" s="5"/>
      <c r="G5" s="55"/>
      <c r="H5" s="55"/>
      <c r="I5" s="56"/>
      <c r="J5" s="55"/>
      <c r="K5" s="55"/>
      <c r="L5" s="55"/>
    </row>
    <row r="6" ht="13.5">
      <c r="A6" s="60"/>
      <c r="B6" s="5" t="s">
        <v>50</v>
      </c>
      <c r="C6" s="5" t="s">
        <v>52</v>
      </c>
      <c r="D6" s="55" t="str">
        <f>VLOOKUP($B6,Letters!$C$29:$D$52,2,FALSE) &amp; VLOOKUP($C6,Letters!$C$29:$D$52,2,FALSE)</f>
        <v>AB</v>
      </c>
      <c r="E6" s="5" t="s">
        <v>193</v>
      </c>
      <c r="F6" s="5" t="s">
        <v>194</v>
      </c>
      <c r="G6" s="55">
        <f t="shared" ref="G6:G13" si="1">(len($F6)-len(SUBSTITUTE($F6,"R","")))+(len($F6)-len(SUBSTITUTE($F6,"L","")))+(len($F6)-len(SUBSTITUTE($F6,"U","")))+(len($F6)-len(SUBSTITUTE($F6,"D","")))+(len($F6)-len(SUBSTITUTE($F6,"F","")))+(len($F6)-len(SUBSTITUTE($F6,"B","")))+(len($F6)-len(SUBSTITUTE($F6,"M","")))+(len($F6)-len(SUBSTITUTE($F6,"S","")))+(len($F6)-len(SUBSTITUTE($F6,"E","")))</f>
        <v>8</v>
      </c>
      <c r="H6" s="55">
        <f t="shared" ref="H6:H25" si="2">(len($F6)-len(SUBSTITUTE($F6,"R","")))+(len($F6)-len(SUBSTITUTE($F6,"L","")))+(len($F6)-len(SUBSTITUTE($F6,"U","")))+(len($F6)-len(SUBSTITUTE($F6,"D","")))+(len($F6)-len(SUBSTITUTE($F6,"F","")))+(len($F6)-len(SUBSTITUTE($F6,"B","")))+(len($F6)-len(SUBSTITUTE($F6,"M","")))+(len($F6)-len(SUBSTITUTE($F6,"S","")))+(len($F6)-len(SUBSTITUTE($F6,"E","")))+(len($F6)-len(SUBSTITUTE($F6,"2","")))</f>
        <v>10</v>
      </c>
      <c r="I6" s="56"/>
    </row>
    <row r="7" ht="13.5">
      <c r="A7" s="60">
        <v>1.0</v>
      </c>
      <c r="B7" s="5" t="s">
        <v>50</v>
      </c>
      <c r="C7" s="5" t="s">
        <v>53</v>
      </c>
      <c r="D7" s="55" t="str">
        <f>VLOOKUP($B7,Letters!$C$29:$D$52,2,FALSE) &amp; VLOOKUP($C7,Letters!$C$29:$D$52,2,FALSE)</f>
        <v>AC</v>
      </c>
      <c r="E7" s="5" t="s">
        <v>195</v>
      </c>
      <c r="F7" s="5" t="s">
        <v>196</v>
      </c>
      <c r="G7" s="55">
        <f t="shared" si="1"/>
        <v>4</v>
      </c>
      <c r="H7" s="55">
        <f t="shared" si="2"/>
        <v>6</v>
      </c>
      <c r="I7" s="56"/>
    </row>
    <row r="8" ht="13.5">
      <c r="A8" s="60"/>
      <c r="B8" s="5" t="s">
        <v>50</v>
      </c>
      <c r="C8" s="5" t="s">
        <v>54</v>
      </c>
      <c r="D8" s="55" t="str">
        <f>VLOOKUP($B8,Letters!$C$29:$D$52,2,FALSE) &amp; VLOOKUP($C8,Letters!$C$29:$D$52,2,FALSE)</f>
        <v>AD</v>
      </c>
      <c r="E8" s="5" t="s">
        <v>197</v>
      </c>
      <c r="F8" s="5" t="s">
        <v>198</v>
      </c>
      <c r="G8" s="55">
        <f t="shared" si="1"/>
        <v>8</v>
      </c>
      <c r="H8" s="55">
        <f t="shared" si="2"/>
        <v>10</v>
      </c>
      <c r="I8" s="56"/>
    </row>
    <row r="9" ht="13.5">
      <c r="A9" s="60"/>
      <c r="B9" s="5" t="s">
        <v>50</v>
      </c>
      <c r="C9" s="5" t="s">
        <v>55</v>
      </c>
      <c r="D9" s="55" t="str">
        <f>VLOOKUP($B9,Letters!$C$29:$D$52,2,FALSE) &amp; VLOOKUP($C9,Letters!$C$29:$D$52,2,FALSE)</f>
        <v>AE</v>
      </c>
      <c r="E9" s="5" t="s">
        <v>199</v>
      </c>
      <c r="F9" s="5" t="s">
        <v>200</v>
      </c>
      <c r="G9" s="55">
        <f t="shared" si="1"/>
        <v>10</v>
      </c>
      <c r="H9" s="55">
        <f t="shared" si="2"/>
        <v>10</v>
      </c>
      <c r="I9" s="56"/>
    </row>
    <row r="10" ht="13.5">
      <c r="A10" s="60"/>
      <c r="B10" s="5" t="s">
        <v>50</v>
      </c>
      <c r="C10" s="5" t="s">
        <v>56</v>
      </c>
      <c r="D10" s="55" t="str">
        <f>VLOOKUP($B10,Letters!$C$29:$D$52,2,FALSE) &amp; VLOOKUP($C10,Letters!$C$29:$D$52,2,FALSE)</f>
        <v>AF</v>
      </c>
      <c r="E10" s="61" t="s">
        <v>201</v>
      </c>
      <c r="F10" s="5" t="s">
        <v>202</v>
      </c>
      <c r="G10" s="55">
        <f t="shared" si="1"/>
        <v>6</v>
      </c>
      <c r="H10" s="55">
        <f t="shared" si="2"/>
        <v>8</v>
      </c>
      <c r="I10" s="56"/>
    </row>
    <row r="11" ht="13.5">
      <c r="A11" s="60"/>
      <c r="B11" s="5" t="s">
        <v>50</v>
      </c>
      <c r="C11" s="5" t="s">
        <v>57</v>
      </c>
      <c r="D11" s="55" t="str">
        <f>VLOOKUP($B11,Letters!$C$29:$D$52,2,FALSE) &amp; VLOOKUP($C11,Letters!$C$29:$D$52,2,FALSE)</f>
        <v>AG</v>
      </c>
      <c r="E11" s="61" t="s">
        <v>203</v>
      </c>
      <c r="F11" s="5"/>
      <c r="G11" s="55">
        <f t="shared" si="1"/>
        <v>0</v>
      </c>
      <c r="H11" s="55">
        <f t="shared" si="2"/>
        <v>0</v>
      </c>
      <c r="I11" s="56"/>
    </row>
    <row r="12" ht="13.5">
      <c r="A12" s="60"/>
      <c r="B12" s="5" t="s">
        <v>50</v>
      </c>
      <c r="C12" s="5" t="s">
        <v>58</v>
      </c>
      <c r="D12" s="55" t="str">
        <f>VLOOKUP($B12,Letters!$C$29:$D$52,2,FALSE) &amp; VLOOKUP($C12,Letters!$C$29:$D$52,2,FALSE)</f>
        <v>AH</v>
      </c>
      <c r="E12" s="61" t="s">
        <v>204</v>
      </c>
      <c r="F12" s="5"/>
      <c r="G12" s="55">
        <f t="shared" si="1"/>
        <v>0</v>
      </c>
      <c r="H12" s="55">
        <f t="shared" si="2"/>
        <v>0</v>
      </c>
      <c r="I12" s="56"/>
    </row>
    <row r="13" ht="13.5">
      <c r="A13" s="60"/>
      <c r="B13" s="5" t="s">
        <v>50</v>
      </c>
      <c r="C13" s="5" t="s">
        <v>60</v>
      </c>
      <c r="D13" s="55" t="str">
        <f>VLOOKUP($B13,Letters!$C$29:$D$52,2,FALSE) &amp; VLOOKUP($C13,Letters!$C$29:$D$52,2,FALSE)</f>
        <v>AJ</v>
      </c>
      <c r="E13" s="5" t="s">
        <v>205</v>
      </c>
      <c r="F13" s="5" t="s">
        <v>206</v>
      </c>
      <c r="G13" s="55">
        <f t="shared" si="1"/>
        <v>9</v>
      </c>
      <c r="H13" s="55">
        <f t="shared" si="2"/>
        <v>10</v>
      </c>
      <c r="I13" s="56"/>
    </row>
    <row r="14" ht="13.5">
      <c r="A14" s="60"/>
      <c r="B14" s="5" t="s">
        <v>50</v>
      </c>
      <c r="C14" s="5" t="s">
        <v>63</v>
      </c>
      <c r="D14" s="55" t="str">
        <f>VLOOKUP($B14,Letters!$C$29:$D$52,2,FALSE) &amp; VLOOKUP($C14,Letters!$C$29:$D$52,2,FALSE)</f>
        <v>AL</v>
      </c>
      <c r="E14" s="5" t="s">
        <v>207</v>
      </c>
      <c r="F14" s="5" t="s">
        <v>208</v>
      </c>
      <c r="G14" s="55">
        <f>(len($F14)-len(SUBSTITUTE($F14,"R","")))+(len($F14)-len(SUBSTITUTE($F14,"L","")))+(len($F14)-len(SUBSTITUTE($F14,"U","")))+(len($F14)-len(SUBSTITUTE($F14,"D","")))+(len($F14)-len(SUBSTITUTE($F14,"F","")))+(len($F14)-len(SUBSTITUTE($F14,"B","")))+(len($F14)-len(SUBSTITUTE($F14,"f","")))+(len($F14)-len(SUBSTITUTE($F14,"S","")))+(len($F14)-len(SUBSTITUTE($F14,"E","")))</f>
        <v>9</v>
      </c>
      <c r="H14" s="55">
        <f t="shared" si="2"/>
        <v>12</v>
      </c>
      <c r="I14" s="56"/>
    </row>
    <row r="15" ht="13.5">
      <c r="A15" s="60"/>
      <c r="B15" s="5" t="s">
        <v>50</v>
      </c>
      <c r="C15" s="5" t="s">
        <v>64</v>
      </c>
      <c r="D15" s="55" t="str">
        <f>VLOOKUP($B15,Letters!$C$29:$D$52,2,FALSE) &amp; VLOOKUP($C15,Letters!$C$29:$D$52,2,FALSE)</f>
        <v>AM</v>
      </c>
      <c r="E15" s="61" t="s">
        <v>209</v>
      </c>
      <c r="F15" s="5"/>
      <c r="G15" s="55">
        <f t="shared" ref="G15:G25" si="3">(len($F15)-len(SUBSTITUTE($F15,"R","")))+(len($F15)-len(SUBSTITUTE($F15,"L","")))+(len($F15)-len(SUBSTITUTE($F15,"U","")))+(len($F15)-len(SUBSTITUTE($F15,"D","")))+(len($F15)-len(SUBSTITUTE($F15,"F","")))+(len($F15)-len(SUBSTITUTE($F15,"B","")))+(len($F15)-len(SUBSTITUTE($F15,"M","")))+(len($F15)-len(SUBSTITUTE($F15,"S","")))+(len($F15)-len(SUBSTITUTE($F15,"E","")))</f>
        <v>0</v>
      </c>
      <c r="H15" s="55">
        <f t="shared" si="2"/>
        <v>0</v>
      </c>
      <c r="I15" s="56"/>
    </row>
    <row r="16" ht="13.5">
      <c r="A16" s="60"/>
      <c r="B16" s="5" t="s">
        <v>50</v>
      </c>
      <c r="C16" s="5" t="s">
        <v>65</v>
      </c>
      <c r="D16" s="55" t="str">
        <f>VLOOKUP($B16,Letters!$C$29:$D$52,2,FALSE) &amp; VLOOKUP($C16,Letters!$C$29:$D$52,2,FALSE)</f>
        <v>AN</v>
      </c>
      <c r="E16" s="61" t="s">
        <v>210</v>
      </c>
      <c r="F16" s="5"/>
      <c r="G16" s="55">
        <f t="shared" si="3"/>
        <v>0</v>
      </c>
      <c r="H16" s="55">
        <f t="shared" si="2"/>
        <v>0</v>
      </c>
      <c r="I16" s="56"/>
    </row>
    <row r="17" ht="13.5">
      <c r="A17" s="60"/>
      <c r="B17" s="5" t="s">
        <v>50</v>
      </c>
      <c r="C17" s="5" t="s">
        <v>66</v>
      </c>
      <c r="D17" s="55" t="str">
        <f>VLOOKUP($B17,Letters!$C$29:$D$52,2,FALSE) &amp; VLOOKUP($C17,Letters!$C$29:$D$52,2,FALSE)</f>
        <v>AO</v>
      </c>
      <c r="E17" s="5" t="s">
        <v>211</v>
      </c>
      <c r="F17" s="5" t="s">
        <v>212</v>
      </c>
      <c r="G17" s="55">
        <f t="shared" si="3"/>
        <v>10</v>
      </c>
      <c r="H17" s="55">
        <f t="shared" si="2"/>
        <v>10</v>
      </c>
      <c r="I17" s="56"/>
    </row>
    <row r="18" ht="13.5">
      <c r="A18" s="60"/>
      <c r="B18" s="5" t="s">
        <v>50</v>
      </c>
      <c r="C18" s="5" t="s">
        <v>67</v>
      </c>
      <c r="D18" s="55" t="str">
        <f>VLOOKUP($B18,Letters!$C$29:$D$52,2,FALSE) &amp; VLOOKUP($C18,Letters!$C$29:$D$52,2,FALSE)</f>
        <v>AP</v>
      </c>
      <c r="E18" s="61" t="s">
        <v>213</v>
      </c>
      <c r="F18" s="5"/>
      <c r="G18" s="55">
        <f t="shared" si="3"/>
        <v>0</v>
      </c>
      <c r="H18" s="55">
        <f t="shared" si="2"/>
        <v>0</v>
      </c>
      <c r="I18" s="56"/>
    </row>
    <row r="19" ht="13.5">
      <c r="A19" s="60"/>
      <c r="B19" s="5" t="s">
        <v>50</v>
      </c>
      <c r="C19" s="5" t="s">
        <v>68</v>
      </c>
      <c r="D19" s="55" t="str">
        <f>VLOOKUP($B19,Letters!$C$29:$D$52,2,FALSE) &amp; VLOOKUP($C19,Letters!$C$29:$D$52,2,FALSE)</f>
        <v>AW</v>
      </c>
      <c r="E19" s="5" t="s">
        <v>214</v>
      </c>
      <c r="F19" s="5" t="s">
        <v>215</v>
      </c>
      <c r="G19" s="55">
        <f t="shared" si="3"/>
        <v>10</v>
      </c>
      <c r="H19" s="55">
        <f t="shared" si="2"/>
        <v>10</v>
      </c>
      <c r="I19" s="56"/>
    </row>
    <row r="20" ht="13.5">
      <c r="A20" s="60"/>
      <c r="B20" s="5" t="s">
        <v>50</v>
      </c>
      <c r="C20" s="5" t="s">
        <v>69</v>
      </c>
      <c r="D20" s="55" t="str">
        <f>VLOOKUP($B20,Letters!$C$29:$D$52,2,FALSE) &amp; VLOOKUP($C20,Letters!$C$29:$D$52,2,FALSE)</f>
        <v>AR</v>
      </c>
      <c r="E20" s="5" t="s">
        <v>216</v>
      </c>
      <c r="F20" s="5" t="s">
        <v>217</v>
      </c>
      <c r="G20" s="55">
        <f t="shared" si="3"/>
        <v>9</v>
      </c>
      <c r="H20" s="55">
        <f t="shared" si="2"/>
        <v>10</v>
      </c>
      <c r="I20" s="56"/>
    </row>
    <row r="21" ht="13.5">
      <c r="A21" s="60"/>
      <c r="B21" s="5" t="s">
        <v>50</v>
      </c>
      <c r="C21" s="5" t="s">
        <v>70</v>
      </c>
      <c r="D21" s="55" t="str">
        <f>VLOOKUP($B21,Letters!$C$29:$D$52,2,FALSE) &amp; VLOOKUP($C21,Letters!$C$29:$D$52,2,FALSE)</f>
        <v>AS</v>
      </c>
      <c r="E21" s="5" t="s">
        <v>218</v>
      </c>
      <c r="F21" s="5" t="s">
        <v>219</v>
      </c>
      <c r="G21" s="55">
        <f t="shared" si="3"/>
        <v>10</v>
      </c>
      <c r="H21" s="55">
        <f t="shared" si="2"/>
        <v>10</v>
      </c>
      <c r="I21" s="62"/>
    </row>
    <row r="22" ht="13.5">
      <c r="A22" s="60"/>
      <c r="B22" s="5" t="s">
        <v>50</v>
      </c>
      <c r="C22" s="5" t="s">
        <v>71</v>
      </c>
      <c r="D22" s="55" t="str">
        <f>VLOOKUP($B22,Letters!$C$29:$D$52,2,FALSE) &amp; VLOOKUP($C22,Letters!$C$29:$D$52,2,FALSE)</f>
        <v>AT</v>
      </c>
      <c r="E22" s="5" t="s">
        <v>220</v>
      </c>
      <c r="F22" s="5" t="s">
        <v>221</v>
      </c>
      <c r="G22" s="55">
        <f t="shared" si="3"/>
        <v>9</v>
      </c>
      <c r="H22" s="55">
        <f t="shared" si="2"/>
        <v>10</v>
      </c>
      <c r="I22" s="62"/>
    </row>
    <row r="23" ht="13.5">
      <c r="A23" s="60"/>
      <c r="B23" s="5" t="s">
        <v>50</v>
      </c>
      <c r="C23" s="5" t="s">
        <v>72</v>
      </c>
      <c r="D23" s="55" t="str">
        <f>VLOOKUP($B23,Letters!$C$29:$D$52,2,FALSE) &amp; VLOOKUP($C23,Letters!$C$29:$D$52,2,FALSE)</f>
        <v>AU</v>
      </c>
      <c r="E23" s="5" t="s">
        <v>222</v>
      </c>
      <c r="F23" s="5" t="s">
        <v>223</v>
      </c>
      <c r="G23" s="55">
        <f t="shared" si="3"/>
        <v>5</v>
      </c>
      <c r="H23" s="55">
        <f t="shared" si="2"/>
        <v>8</v>
      </c>
      <c r="I23" s="56"/>
    </row>
    <row r="24" ht="13.5">
      <c r="A24" s="54"/>
      <c r="B24" s="5" t="s">
        <v>50</v>
      </c>
      <c r="C24" s="5" t="s">
        <v>73</v>
      </c>
      <c r="D24" s="55" t="str">
        <f>VLOOKUP($B24,Letters!$C$29:$D$52,2,FALSE) &amp; VLOOKUP($C24,Letters!$C$29:$D$52,2,FALSE)</f>
        <v>AV</v>
      </c>
      <c r="E24" s="61" t="s">
        <v>224</v>
      </c>
      <c r="F24" s="5" t="s">
        <v>225</v>
      </c>
      <c r="G24" s="55">
        <f t="shared" si="3"/>
        <v>11</v>
      </c>
      <c r="H24" s="55">
        <f t="shared" si="2"/>
        <v>12</v>
      </c>
      <c r="I24" s="56"/>
    </row>
    <row r="25" ht="13.5">
      <c r="A25" s="60"/>
      <c r="B25" s="5" t="s">
        <v>50</v>
      </c>
      <c r="C25" s="5" t="s">
        <v>75</v>
      </c>
      <c r="D25" s="55" t="str">
        <f>VLOOKUP($B25,Letters!$C$29:$D$52,2,FALSE) &amp; VLOOKUP($C25,Letters!$C$29:$D$52,2,FALSE)</f>
        <v>AI</v>
      </c>
      <c r="E25" s="5" t="s">
        <v>226</v>
      </c>
      <c r="F25" s="5" t="s">
        <v>227</v>
      </c>
      <c r="G25" s="55">
        <f t="shared" si="3"/>
        <v>9</v>
      </c>
      <c r="H25" s="55">
        <f t="shared" si="2"/>
        <v>12</v>
      </c>
      <c r="I25" s="56">
        <f>AVERAGE(H6:H25)</f>
        <v>7.4</v>
      </c>
    </row>
    <row r="26">
      <c r="A26" s="60"/>
      <c r="B26" s="5"/>
      <c r="C26" s="5"/>
      <c r="D26" s="55"/>
      <c r="E26" s="5"/>
      <c r="F26" s="5"/>
      <c r="G26" s="55"/>
      <c r="H26" s="55"/>
      <c r="I26" s="56"/>
    </row>
    <row r="27" ht="13.5">
      <c r="A27" s="60"/>
      <c r="B27" s="5" t="s">
        <v>52</v>
      </c>
      <c r="C27" s="5" t="s">
        <v>50</v>
      </c>
      <c r="D27" s="5" t="str">
        <f>VLOOKUP($B27,Letters!$C$29:$D$52,2,FALSE) &amp; VLOOKUP($C27,Letters!$C$29:$D$52,2,FALSE)</f>
        <v>BA</v>
      </c>
      <c r="E27" s="5" t="s">
        <v>228</v>
      </c>
      <c r="F27" s="5" t="s">
        <v>229</v>
      </c>
      <c r="G27" s="55">
        <f t="shared" ref="G27:G46" si="4">(len($F27)-len(SUBSTITUTE($F27,"R","")))+(len($F27)-len(SUBSTITUTE($F27,"L","")))+(len($F27)-len(SUBSTITUTE($F27,"U","")))+(len($F27)-len(SUBSTITUTE($F27,"D","")))+(len($F27)-len(SUBSTITUTE($F27,"F","")))+(len($F27)-len(SUBSTITUTE($F27,"B","")))+(len($F27)-len(SUBSTITUTE($F27,"M","")))+(len($F27)-len(SUBSTITUTE($F27,"S","")))+(len($F27)-len(SUBSTITUTE($F27,"E","")))</f>
        <v>11</v>
      </c>
      <c r="H27" s="55">
        <f t="shared" ref="H27:H46" si="5">(len($F27)-len(SUBSTITUTE($F27,"R","")))+(len($F27)-len(SUBSTITUTE($F27,"L","")))+(len($F27)-len(SUBSTITUTE($F27,"U","")))+(len($F27)-len(SUBSTITUTE($F27,"D","")))+(len($F27)-len(SUBSTITUTE($F27,"F","")))+(len($F27)-len(SUBSTITUTE($F27,"B","")))+(len($F27)-len(SUBSTITUTE($F27,"M","")))+(len($F27)-len(SUBSTITUTE($F27,"S","")))+(len($F27)-len(SUBSTITUTE($F27,"E","")))+(len($F27)-len(SUBSTITUTE($F27,"2","")))</f>
        <v>12</v>
      </c>
      <c r="I27" s="56"/>
    </row>
    <row r="28" ht="13.5">
      <c r="A28" s="60"/>
      <c r="B28" s="5" t="s">
        <v>52</v>
      </c>
      <c r="C28" s="5" t="s">
        <v>53</v>
      </c>
      <c r="D28" s="5" t="str">
        <f>VLOOKUP($B28,Letters!$C$29:$D$52,2,FALSE) &amp; VLOOKUP($C28,Letters!$C$29:$D$52,2,FALSE)</f>
        <v>BC</v>
      </c>
      <c r="E28" s="5" t="s">
        <v>207</v>
      </c>
      <c r="F28" s="5" t="s">
        <v>230</v>
      </c>
      <c r="G28" s="55">
        <f t="shared" si="4"/>
        <v>12</v>
      </c>
      <c r="H28" s="55">
        <f t="shared" si="5"/>
        <v>12</v>
      </c>
      <c r="I28" s="56"/>
    </row>
    <row r="29" ht="13.5">
      <c r="A29" s="60"/>
      <c r="B29" s="5" t="s">
        <v>52</v>
      </c>
      <c r="C29" s="5" t="s">
        <v>54</v>
      </c>
      <c r="D29" s="5" t="str">
        <f>VLOOKUP($B29,Letters!$C$29:$D$52,2,FALSE) &amp; VLOOKUP($C29,Letters!$C$29:$D$52,2,FALSE)</f>
        <v>BD</v>
      </c>
      <c r="E29" s="5" t="s">
        <v>231</v>
      </c>
      <c r="F29" s="5" t="s">
        <v>232</v>
      </c>
      <c r="G29" s="55">
        <f t="shared" si="4"/>
        <v>5</v>
      </c>
      <c r="H29" s="55">
        <f t="shared" si="5"/>
        <v>6</v>
      </c>
      <c r="I29" s="56"/>
    </row>
    <row r="30" ht="13.5">
      <c r="A30" s="60"/>
      <c r="B30" s="5" t="s">
        <v>52</v>
      </c>
      <c r="C30" s="5" t="s">
        <v>55</v>
      </c>
      <c r="D30" s="5" t="str">
        <f>VLOOKUP($B30,Letters!$C$29:$D$52,2,FALSE) &amp; VLOOKUP($C30,Letters!$C$29:$D$52,2,FALSE)</f>
        <v>BE</v>
      </c>
      <c r="E30" s="5" t="s">
        <v>233</v>
      </c>
      <c r="F30" s="5" t="s">
        <v>234</v>
      </c>
      <c r="G30" s="55">
        <f t="shared" si="4"/>
        <v>8</v>
      </c>
      <c r="H30" s="55">
        <f t="shared" si="5"/>
        <v>8</v>
      </c>
      <c r="I30" s="56"/>
    </row>
    <row r="31" ht="13.5">
      <c r="A31" s="60"/>
      <c r="B31" s="5" t="s">
        <v>52</v>
      </c>
      <c r="C31" s="5" t="s">
        <v>56</v>
      </c>
      <c r="D31" s="5" t="str">
        <f>VLOOKUP($B31,Letters!$C$29:$D$52,2,FALSE) &amp; VLOOKUP($C31,Letters!$C$29:$D$52,2,FALSE)</f>
        <v>BF</v>
      </c>
      <c r="E31" s="5" t="s">
        <v>235</v>
      </c>
      <c r="F31" s="5" t="s">
        <v>236</v>
      </c>
      <c r="G31" s="55">
        <f t="shared" si="4"/>
        <v>7</v>
      </c>
      <c r="H31" s="55">
        <f t="shared" si="5"/>
        <v>8</v>
      </c>
      <c r="I31" s="56"/>
    </row>
    <row r="32" ht="13.5">
      <c r="A32" s="60"/>
      <c r="B32" s="5" t="s">
        <v>52</v>
      </c>
      <c r="C32" s="5" t="s">
        <v>58</v>
      </c>
      <c r="D32" s="5" t="str">
        <f>VLOOKUP($B32,Letters!$C$29:$D$52,2,FALSE) &amp; VLOOKUP($C32,Letters!$C$29:$D$52,2,FALSE)</f>
        <v>BH</v>
      </c>
      <c r="E32" s="5" t="s">
        <v>237</v>
      </c>
      <c r="F32" s="5" t="s">
        <v>238</v>
      </c>
      <c r="G32" s="55">
        <f t="shared" si="4"/>
        <v>11</v>
      </c>
      <c r="H32" s="55">
        <f t="shared" si="5"/>
        <v>12</v>
      </c>
      <c r="I32" s="56"/>
    </row>
    <row r="33" ht="13.5">
      <c r="A33" s="60"/>
      <c r="B33" s="5" t="s">
        <v>52</v>
      </c>
      <c r="C33" s="5" t="s">
        <v>60</v>
      </c>
      <c r="D33" s="5" t="str">
        <f>VLOOKUP($B33,Letters!$C$29:$D$52,2,FALSE) &amp; VLOOKUP($C33,Letters!$C$29:$D$52,2,FALSE)</f>
        <v>BJ</v>
      </c>
      <c r="E33" s="5" t="s">
        <v>239</v>
      </c>
      <c r="F33" s="5" t="s">
        <v>240</v>
      </c>
      <c r="G33" s="55">
        <f t="shared" si="4"/>
        <v>8</v>
      </c>
      <c r="H33" s="55">
        <f t="shared" si="5"/>
        <v>10</v>
      </c>
      <c r="I33" s="56"/>
    </row>
    <row r="34" ht="13.5">
      <c r="A34" s="60"/>
      <c r="B34" s="5" t="s">
        <v>52</v>
      </c>
      <c r="C34" s="5" t="s">
        <v>62</v>
      </c>
      <c r="D34" s="5" t="str">
        <f>VLOOKUP($B34,Letters!$C$29:$D$52,2,FALSE) &amp; VLOOKUP($C34,Letters!$C$29:$D$52,2,FALSE)</f>
        <v>BK</v>
      </c>
      <c r="E34" s="5" t="s">
        <v>241</v>
      </c>
      <c r="F34" s="5" t="s">
        <v>242</v>
      </c>
      <c r="G34" s="55">
        <f t="shared" si="4"/>
        <v>10</v>
      </c>
      <c r="H34" s="55">
        <f t="shared" si="5"/>
        <v>11</v>
      </c>
      <c r="I34" s="56"/>
    </row>
    <row r="35" ht="13.5">
      <c r="A35" s="60"/>
      <c r="B35" s="5" t="s">
        <v>52</v>
      </c>
      <c r="C35" s="5" t="s">
        <v>63</v>
      </c>
      <c r="D35" s="5" t="str">
        <f>VLOOKUP($B35,Letters!$C$29:$D$52,2,FALSE) &amp; VLOOKUP($C35,Letters!$C$29:$D$52,2,FALSE)</f>
        <v>BL</v>
      </c>
      <c r="E35" s="5" t="s">
        <v>243</v>
      </c>
      <c r="F35" s="5" t="s">
        <v>244</v>
      </c>
      <c r="G35" s="55">
        <f t="shared" si="4"/>
        <v>7</v>
      </c>
      <c r="H35" s="55">
        <f t="shared" si="5"/>
        <v>8</v>
      </c>
      <c r="I35" s="56"/>
    </row>
    <row r="36" ht="13.5">
      <c r="A36" s="60"/>
      <c r="B36" s="5" t="s">
        <v>52</v>
      </c>
      <c r="C36" s="5" t="s">
        <v>64</v>
      </c>
      <c r="D36" s="5" t="str">
        <f>VLOOKUP($B36,Letters!$C$29:$D$52,2,FALSE) &amp; VLOOKUP($C36,Letters!$C$29:$D$52,2,FALSE)</f>
        <v>BM</v>
      </c>
      <c r="E36" s="5" t="s">
        <v>245</v>
      </c>
      <c r="F36" s="5" t="s">
        <v>246</v>
      </c>
      <c r="G36" s="55">
        <f t="shared" si="4"/>
        <v>9</v>
      </c>
      <c r="H36" s="55">
        <f t="shared" si="5"/>
        <v>10</v>
      </c>
      <c r="I36" s="56"/>
    </row>
    <row r="37" ht="13.5">
      <c r="A37" s="60"/>
      <c r="B37" s="5" t="s">
        <v>52</v>
      </c>
      <c r="C37" s="5" t="s">
        <v>65</v>
      </c>
      <c r="D37" s="5" t="str">
        <f>VLOOKUP($B37,Letters!$C$29:$D$52,2,FALSE) &amp; VLOOKUP($C37,Letters!$C$29:$D$52,2,FALSE)</f>
        <v>BN</v>
      </c>
      <c r="E37" s="5" t="s">
        <v>247</v>
      </c>
      <c r="F37" s="5" t="s">
        <v>248</v>
      </c>
      <c r="G37" s="55">
        <f t="shared" si="4"/>
        <v>8</v>
      </c>
      <c r="H37" s="55">
        <f t="shared" si="5"/>
        <v>8</v>
      </c>
      <c r="I37" s="56"/>
    </row>
    <row r="38" ht="13.5">
      <c r="A38" s="60"/>
      <c r="B38" s="5" t="s">
        <v>52</v>
      </c>
      <c r="C38" s="5" t="s">
        <v>66</v>
      </c>
      <c r="D38" s="5" t="str">
        <f>VLOOKUP($B38,Letters!$C$29:$D$52,2,FALSE) &amp; VLOOKUP($C38,Letters!$C$29:$D$52,2,FALSE)</f>
        <v>BO</v>
      </c>
      <c r="E38" s="5" t="s">
        <v>249</v>
      </c>
      <c r="F38" s="5" t="s">
        <v>250</v>
      </c>
      <c r="G38" s="55">
        <f t="shared" si="4"/>
        <v>8</v>
      </c>
      <c r="H38" s="55">
        <f t="shared" si="5"/>
        <v>8</v>
      </c>
      <c r="I38" s="56"/>
    </row>
    <row r="39" ht="13.5">
      <c r="A39" s="60"/>
      <c r="B39" s="5" t="s">
        <v>52</v>
      </c>
      <c r="C39" s="5" t="s">
        <v>67</v>
      </c>
      <c r="D39" s="5" t="str">
        <f>VLOOKUP($B39,Letters!$C$29:$D$52,2,FALSE) &amp; VLOOKUP($C39,Letters!$C$29:$D$52,2,FALSE)</f>
        <v>BP</v>
      </c>
      <c r="E39" s="5" t="s">
        <v>251</v>
      </c>
      <c r="F39" s="5" t="s">
        <v>252</v>
      </c>
      <c r="G39" s="55">
        <f t="shared" si="4"/>
        <v>9</v>
      </c>
      <c r="H39" s="55">
        <f t="shared" si="5"/>
        <v>10</v>
      </c>
      <c r="I39" s="56"/>
    </row>
    <row r="40" ht="13.5">
      <c r="A40" s="60"/>
      <c r="B40" s="5" t="s">
        <v>52</v>
      </c>
      <c r="C40" s="5" t="s">
        <v>68</v>
      </c>
      <c r="D40" s="5" t="str">
        <f>VLOOKUP($B40,Letters!$C$29:$D$52,2,FALSE) &amp; VLOOKUP($C40,Letters!$C$29:$D$52,2,FALSE)</f>
        <v>BW</v>
      </c>
      <c r="E40" s="5" t="s">
        <v>253</v>
      </c>
      <c r="F40" s="5" t="s">
        <v>254</v>
      </c>
      <c r="G40" s="55">
        <f t="shared" si="4"/>
        <v>10</v>
      </c>
      <c r="H40" s="55">
        <f t="shared" si="5"/>
        <v>11</v>
      </c>
      <c r="I40" s="56"/>
    </row>
    <row r="41" ht="13.5">
      <c r="A41" s="60"/>
      <c r="B41" s="5" t="s">
        <v>52</v>
      </c>
      <c r="C41" s="5" t="s">
        <v>69</v>
      </c>
      <c r="D41" s="5" t="str">
        <f>VLOOKUP($B41,Letters!$C$29:$D$52,2,FALSE) &amp; VLOOKUP($C41,Letters!$C$29:$D$52,2,FALSE)</f>
        <v>BR</v>
      </c>
      <c r="E41" s="5" t="s">
        <v>255</v>
      </c>
      <c r="F41" s="5" t="s">
        <v>256</v>
      </c>
      <c r="G41" s="55">
        <f t="shared" si="4"/>
        <v>7</v>
      </c>
      <c r="H41" s="55">
        <f t="shared" si="5"/>
        <v>8</v>
      </c>
      <c r="I41" s="56"/>
    </row>
    <row r="42" ht="13.5">
      <c r="A42" s="60"/>
      <c r="B42" s="5" t="s">
        <v>52</v>
      </c>
      <c r="C42" s="5" t="s">
        <v>70</v>
      </c>
      <c r="D42" s="5" t="str">
        <f>VLOOKUP($B42,Letters!$C$29:$D$52,2,FALSE) &amp; VLOOKUP($C42,Letters!$C$29:$D$52,2,FALSE)</f>
        <v>BS</v>
      </c>
      <c r="E42" s="5" t="s">
        <v>257</v>
      </c>
      <c r="F42" s="5" t="s">
        <v>258</v>
      </c>
      <c r="G42" s="55">
        <f t="shared" si="4"/>
        <v>9</v>
      </c>
      <c r="H42" s="55">
        <f t="shared" si="5"/>
        <v>10</v>
      </c>
      <c r="I42" s="56"/>
    </row>
    <row r="43" ht="13.5">
      <c r="A43" s="54"/>
      <c r="B43" s="5" t="s">
        <v>52</v>
      </c>
      <c r="C43" s="5" t="s">
        <v>71</v>
      </c>
      <c r="D43" s="5" t="str">
        <f>VLOOKUP($B43,Letters!$C$29:$D$52,2,FALSE) &amp; VLOOKUP($C43,Letters!$C$29:$D$52,2,FALSE)</f>
        <v>BT</v>
      </c>
      <c r="E43" s="5" t="s">
        <v>259</v>
      </c>
      <c r="F43" s="5" t="s">
        <v>260</v>
      </c>
      <c r="G43" s="55">
        <f t="shared" si="4"/>
        <v>8</v>
      </c>
      <c r="H43" s="55">
        <f t="shared" si="5"/>
        <v>10</v>
      </c>
      <c r="I43" s="56"/>
    </row>
    <row r="44" ht="13.5">
      <c r="A44" s="60"/>
      <c r="B44" s="5" t="s">
        <v>52</v>
      </c>
      <c r="C44" s="5" t="s">
        <v>72</v>
      </c>
      <c r="D44" s="5" t="str">
        <f>VLOOKUP($B44,Letters!$C$29:$D$52,2,FALSE) &amp; VLOOKUP($C44,Letters!$C$29:$D$52,2,FALSE)</f>
        <v>BU</v>
      </c>
      <c r="E44" s="5" t="s">
        <v>261</v>
      </c>
      <c r="F44" s="5" t="s">
        <v>262</v>
      </c>
      <c r="G44" s="55">
        <f t="shared" si="4"/>
        <v>7</v>
      </c>
      <c r="H44" s="55">
        <f t="shared" si="5"/>
        <v>10</v>
      </c>
      <c r="I44" s="56"/>
    </row>
    <row r="45" ht="13.5">
      <c r="A45" s="54"/>
      <c r="B45" s="5" t="s">
        <v>52</v>
      </c>
      <c r="C45" s="5" t="s">
        <v>73</v>
      </c>
      <c r="D45" s="5" t="str">
        <f>VLOOKUP($B45,Letters!$C$29:$D$52,2,FALSE) &amp; VLOOKUP($C45,Letters!$C$29:$D$52,2,FALSE)</f>
        <v>BV</v>
      </c>
      <c r="E45" s="5" t="s">
        <v>263</v>
      </c>
      <c r="F45" s="5" t="s">
        <v>264</v>
      </c>
      <c r="G45" s="55">
        <f t="shared" si="4"/>
        <v>8</v>
      </c>
      <c r="H45" s="55">
        <f t="shared" si="5"/>
        <v>12</v>
      </c>
      <c r="I45" s="56"/>
    </row>
    <row r="46" ht="13.5">
      <c r="A46" s="54"/>
      <c r="B46" s="5" t="s">
        <v>52</v>
      </c>
      <c r="C46" s="5" t="s">
        <v>75</v>
      </c>
      <c r="D46" s="5" t="str">
        <f>VLOOKUP($B46,Letters!$C$29:$D$52,2,FALSE) &amp; VLOOKUP($C46,Letters!$C$29:$D$52,2,FALSE)</f>
        <v>BI</v>
      </c>
      <c r="E46" s="5" t="s">
        <v>265</v>
      </c>
      <c r="F46" s="5" t="s">
        <v>266</v>
      </c>
      <c r="G46" s="55">
        <f t="shared" si="4"/>
        <v>7</v>
      </c>
      <c r="H46" s="55">
        <f t="shared" si="5"/>
        <v>10</v>
      </c>
      <c r="I46" s="56">
        <f>AVERAGE(H27:H46)</f>
        <v>9.7</v>
      </c>
    </row>
    <row r="47">
      <c r="A47" s="54"/>
      <c r="B47" s="5"/>
      <c r="C47" s="5"/>
      <c r="D47" s="5"/>
      <c r="E47" s="5"/>
      <c r="F47" s="5"/>
      <c r="G47" s="55"/>
      <c r="H47" s="55"/>
      <c r="I47" s="56"/>
    </row>
    <row r="48" ht="13.5">
      <c r="A48" s="60">
        <v>1.0</v>
      </c>
      <c r="B48" s="5" t="s">
        <v>53</v>
      </c>
      <c r="C48" s="5" t="s">
        <v>50</v>
      </c>
      <c r="D48" s="5" t="str">
        <f>VLOOKUP($B48,Letters!$C$29:$D$52,2,FALSE) &amp; VLOOKUP($C48,Letters!$C$29:$D$52,2,FALSE)</f>
        <v>CA</v>
      </c>
      <c r="E48" s="5" t="s">
        <v>267</v>
      </c>
      <c r="F48" s="5" t="s">
        <v>268</v>
      </c>
      <c r="G48" s="55">
        <f t="shared" ref="G48:G67" si="6">(len($F48)-len(SUBSTITUTE($F48,"R","")))+(len($F48)-len(SUBSTITUTE($F48,"L","")))+(len($F48)-len(SUBSTITUTE($F48,"U","")))+(len($F48)-len(SUBSTITUTE($F48,"D","")))+(len($F48)-len(SUBSTITUTE($F48,"F","")))+(len($F48)-len(SUBSTITUTE($F48,"B","")))+(len($F48)-len(SUBSTITUTE($F48,"M","")))+(len($F48)-len(SUBSTITUTE($F48,"S","")))+(len($F48)-len(SUBSTITUTE($F48,"E","")))</f>
        <v>4</v>
      </c>
      <c r="H48" s="55">
        <f t="shared" ref="H48:H67" si="7">(len($F48)-len(SUBSTITUTE($F48,"R","")))+(len($F48)-len(SUBSTITUTE($F48,"L","")))+(len($F48)-len(SUBSTITUTE($F48,"U","")))+(len($F48)-len(SUBSTITUTE($F48,"D","")))+(len($F48)-len(SUBSTITUTE($F48,"F","")))+(len($F48)-len(SUBSTITUTE($F48,"B","")))+(len($F48)-len(SUBSTITUTE($F48,"M","")))+(len($F48)-len(SUBSTITUTE($F48,"S","")))+(len($F48)-len(SUBSTITUTE($F48,"E","")))+(len($F48)-len(SUBSTITUTE($F48,"2","")))</f>
        <v>6</v>
      </c>
      <c r="I48" s="56"/>
    </row>
    <row r="49" ht="13.5">
      <c r="A49" s="54"/>
      <c r="B49" s="5" t="s">
        <v>53</v>
      </c>
      <c r="C49" s="5" t="s">
        <v>52</v>
      </c>
      <c r="D49" s="5" t="str">
        <f>VLOOKUP($B49,Letters!$C$29:$D$52,2,FALSE) &amp; VLOOKUP($C49,Letters!$C$29:$D$52,2,FALSE)</f>
        <v>CB</v>
      </c>
      <c r="E49" s="5" t="s">
        <v>207</v>
      </c>
      <c r="F49" s="5" t="s">
        <v>269</v>
      </c>
      <c r="G49" s="55">
        <f t="shared" si="6"/>
        <v>12</v>
      </c>
      <c r="H49" s="55">
        <f t="shared" si="7"/>
        <v>12</v>
      </c>
      <c r="I49" s="56"/>
    </row>
    <row r="50" ht="13.5">
      <c r="A50" s="54"/>
      <c r="B50" s="5" t="s">
        <v>53</v>
      </c>
      <c r="C50" s="5" t="s">
        <v>54</v>
      </c>
      <c r="D50" s="5" t="str">
        <f>VLOOKUP($B50,Letters!$C$29:$D$52,2,FALSE) &amp; VLOOKUP($C50,Letters!$C$29:$D$52,2,FALSE)</f>
        <v>CD</v>
      </c>
      <c r="E50" s="5" t="s">
        <v>270</v>
      </c>
      <c r="F50" s="5" t="s">
        <v>271</v>
      </c>
      <c r="G50" s="55">
        <f t="shared" si="6"/>
        <v>10</v>
      </c>
      <c r="H50" s="55">
        <f t="shared" si="7"/>
        <v>12</v>
      </c>
      <c r="I50" s="56"/>
    </row>
    <row r="51" ht="13.5">
      <c r="A51" s="54"/>
      <c r="B51" s="5" t="s">
        <v>53</v>
      </c>
      <c r="C51" s="5" t="s">
        <v>55</v>
      </c>
      <c r="D51" s="5" t="str">
        <f>VLOOKUP($B51,Letters!$C$29:$D$52,2,FALSE) &amp; VLOOKUP($C51,Letters!$C$29:$D$52,2,FALSE)</f>
        <v>CE</v>
      </c>
      <c r="E51" s="5" t="s">
        <v>272</v>
      </c>
      <c r="F51" s="5" t="s">
        <v>273</v>
      </c>
      <c r="G51" s="55">
        <f t="shared" si="6"/>
        <v>10</v>
      </c>
      <c r="H51" s="55">
        <f t="shared" si="7"/>
        <v>10</v>
      </c>
      <c r="I51" s="56"/>
    </row>
    <row r="52" ht="13.5">
      <c r="A52" s="60"/>
      <c r="B52" s="5" t="s">
        <v>53</v>
      </c>
      <c r="C52" s="5" t="s">
        <v>56</v>
      </c>
      <c r="D52" s="5" t="str">
        <f>VLOOKUP($B52,Letters!$C$29:$D$52,2,FALSE) &amp; VLOOKUP($C52,Letters!$C$29:$D$52,2,FALSE)</f>
        <v>CF</v>
      </c>
      <c r="E52" s="5" t="s">
        <v>274</v>
      </c>
      <c r="F52" s="5" t="s">
        <v>275</v>
      </c>
      <c r="G52" s="55">
        <f t="shared" si="6"/>
        <v>9</v>
      </c>
      <c r="H52" s="55">
        <f t="shared" si="7"/>
        <v>10</v>
      </c>
      <c r="I52" s="56"/>
    </row>
    <row r="53" ht="13.5">
      <c r="A53" s="60"/>
      <c r="B53" s="5" t="s">
        <v>53</v>
      </c>
      <c r="C53" s="5" t="s">
        <v>57</v>
      </c>
      <c r="D53" s="5" t="str">
        <f>VLOOKUP($B53,Letters!$C$29:$D$52,2,FALSE) &amp; VLOOKUP($C53,Letters!$C$29:$D$52,2,FALSE)</f>
        <v>CG</v>
      </c>
      <c r="E53" s="5" t="s">
        <v>276</v>
      </c>
      <c r="F53" s="5" t="s">
        <v>277</v>
      </c>
      <c r="G53" s="55">
        <f t="shared" si="6"/>
        <v>10</v>
      </c>
      <c r="H53" s="55">
        <f t="shared" si="7"/>
        <v>11</v>
      </c>
      <c r="I53" s="56"/>
    </row>
    <row r="54" ht="13.5">
      <c r="A54" s="54"/>
      <c r="B54" s="5" t="s">
        <v>53</v>
      </c>
      <c r="C54" s="5" t="s">
        <v>58</v>
      </c>
      <c r="D54" s="5" t="str">
        <f>VLOOKUP($B54,Letters!$C$29:$D$52,2,FALSE) &amp; VLOOKUP($C54,Letters!$C$29:$D$52,2,FALSE)</f>
        <v>CH</v>
      </c>
      <c r="E54" s="5" t="s">
        <v>278</v>
      </c>
      <c r="F54" s="5" t="s">
        <v>279</v>
      </c>
      <c r="G54" s="55">
        <f t="shared" si="6"/>
        <v>9</v>
      </c>
      <c r="H54" s="55">
        <f t="shared" si="7"/>
        <v>10</v>
      </c>
      <c r="I54" s="56"/>
    </row>
    <row r="55" ht="13.5">
      <c r="A55" s="60"/>
      <c r="B55" s="5" t="s">
        <v>53</v>
      </c>
      <c r="C55" s="5" t="s">
        <v>60</v>
      </c>
      <c r="D55" s="5" t="str">
        <f>VLOOKUP($B55,Letters!$C$29:$D$52,2,FALSE) &amp; VLOOKUP($C55,Letters!$C$29:$D$52,2,FALSE)</f>
        <v>CJ</v>
      </c>
      <c r="E55" s="5" t="s">
        <v>280</v>
      </c>
      <c r="F55" s="5" t="s">
        <v>281</v>
      </c>
      <c r="G55" s="55">
        <f t="shared" si="6"/>
        <v>8</v>
      </c>
      <c r="H55" s="55">
        <f t="shared" si="7"/>
        <v>10</v>
      </c>
      <c r="I55" s="56"/>
    </row>
    <row r="56" ht="13.5">
      <c r="A56" s="54"/>
      <c r="B56" s="5" t="s">
        <v>53</v>
      </c>
      <c r="C56" s="5" t="s">
        <v>62</v>
      </c>
      <c r="D56" s="5" t="str">
        <f>VLOOKUP($B56,Letters!$C$29:$D$52,2,FALSE) &amp; VLOOKUP($C56,Letters!$C$29:$D$52,2,FALSE)</f>
        <v>CK</v>
      </c>
      <c r="E56" s="5" t="s">
        <v>282</v>
      </c>
      <c r="F56" s="5" t="s">
        <v>283</v>
      </c>
      <c r="G56" s="55">
        <f t="shared" si="6"/>
        <v>10</v>
      </c>
      <c r="H56" s="55">
        <f t="shared" si="7"/>
        <v>10</v>
      </c>
      <c r="I56" s="56"/>
    </row>
    <row r="57" ht="13.5">
      <c r="A57" s="54"/>
      <c r="B57" s="5" t="s">
        <v>53</v>
      </c>
      <c r="C57" s="5" t="s">
        <v>63</v>
      </c>
      <c r="D57" s="5" t="str">
        <f>VLOOKUP($B57,Letters!$C$29:$D$52,2,FALSE) &amp; VLOOKUP($C57,Letters!$C$29:$D$52,2,FALSE)</f>
        <v>CL</v>
      </c>
      <c r="E57" s="5" t="s">
        <v>284</v>
      </c>
      <c r="F57" s="5" t="s">
        <v>285</v>
      </c>
      <c r="G57" s="55">
        <f t="shared" si="6"/>
        <v>8</v>
      </c>
      <c r="H57" s="55">
        <f t="shared" si="7"/>
        <v>10</v>
      </c>
      <c r="I57" s="56"/>
    </row>
    <row r="58" ht="13.5">
      <c r="A58" s="54"/>
      <c r="B58" s="5" t="s">
        <v>53</v>
      </c>
      <c r="C58" s="5" t="s">
        <v>64</v>
      </c>
      <c r="D58" s="5" t="str">
        <f>VLOOKUP($B58,Letters!$C$29:$D$52,2,FALSE) &amp; VLOOKUP($C58,Letters!$C$29:$D$52,2,FALSE)</f>
        <v>CM</v>
      </c>
      <c r="E58" s="5" t="s">
        <v>286</v>
      </c>
      <c r="F58" s="5" t="s">
        <v>287</v>
      </c>
      <c r="G58" s="55">
        <f t="shared" si="6"/>
        <v>10</v>
      </c>
      <c r="H58" s="55">
        <f t="shared" si="7"/>
        <v>10</v>
      </c>
      <c r="I58" s="56"/>
    </row>
    <row r="59" ht="13.5">
      <c r="A59" s="54"/>
      <c r="B59" s="5" t="s">
        <v>53</v>
      </c>
      <c r="C59" s="5" t="s">
        <v>65</v>
      </c>
      <c r="D59" s="5" t="str">
        <f>VLOOKUP($B59,Letters!$C$29:$D$52,2,FALSE) &amp; VLOOKUP($C59,Letters!$C$29:$D$52,2,FALSE)</f>
        <v>CN</v>
      </c>
      <c r="E59" s="5" t="s">
        <v>288</v>
      </c>
      <c r="F59" s="5" t="s">
        <v>289</v>
      </c>
      <c r="G59" s="55">
        <f t="shared" si="6"/>
        <v>9</v>
      </c>
      <c r="H59" s="55">
        <f t="shared" si="7"/>
        <v>10</v>
      </c>
      <c r="I59" s="56"/>
    </row>
    <row r="60" ht="13.5">
      <c r="A60" s="54"/>
      <c r="B60" s="5" t="s">
        <v>53</v>
      </c>
      <c r="C60" s="5" t="s">
        <v>66</v>
      </c>
      <c r="D60" s="5" t="str">
        <f>VLOOKUP($B60,Letters!$C$29:$D$52,2,FALSE) &amp; VLOOKUP($C60,Letters!$C$29:$D$52,2,FALSE)</f>
        <v>CO</v>
      </c>
      <c r="E60" s="5" t="s">
        <v>290</v>
      </c>
      <c r="F60" s="5" t="s">
        <v>291</v>
      </c>
      <c r="G60" s="55">
        <f t="shared" si="6"/>
        <v>10</v>
      </c>
      <c r="H60" s="55">
        <f t="shared" si="7"/>
        <v>11</v>
      </c>
      <c r="I60" s="56"/>
    </row>
    <row r="61" ht="13.5">
      <c r="A61" s="54"/>
      <c r="B61" s="5" t="s">
        <v>53</v>
      </c>
      <c r="C61" s="5" t="s">
        <v>67</v>
      </c>
      <c r="D61" s="5" t="str">
        <f>VLOOKUP($B61,Letters!$C$29:$D$52,2,FALSE) &amp; VLOOKUP($C61,Letters!$C$29:$D$52,2,FALSE)</f>
        <v>CP</v>
      </c>
      <c r="E61" s="5" t="s">
        <v>292</v>
      </c>
      <c r="F61" s="5" t="s">
        <v>293</v>
      </c>
      <c r="G61" s="55">
        <f t="shared" si="6"/>
        <v>9</v>
      </c>
      <c r="H61" s="55">
        <f t="shared" si="7"/>
        <v>10</v>
      </c>
      <c r="I61" s="56"/>
    </row>
    <row r="62" ht="13.5">
      <c r="A62" s="54"/>
      <c r="B62" s="5" t="s">
        <v>53</v>
      </c>
      <c r="C62" s="5" t="s">
        <v>68</v>
      </c>
      <c r="D62" s="5" t="str">
        <f>VLOOKUP($B62,Letters!$C$29:$D$52,2,FALSE) &amp; VLOOKUP($C62,Letters!$C$29:$D$52,2,FALSE)</f>
        <v>CW</v>
      </c>
      <c r="E62" s="5" t="s">
        <v>294</v>
      </c>
      <c r="F62" s="5" t="s">
        <v>295</v>
      </c>
      <c r="G62" s="55">
        <f t="shared" si="6"/>
        <v>10</v>
      </c>
      <c r="H62" s="55">
        <f t="shared" si="7"/>
        <v>10</v>
      </c>
      <c r="I62" s="56"/>
    </row>
    <row r="63" ht="13.5">
      <c r="A63" s="60"/>
      <c r="B63" s="5" t="s">
        <v>53</v>
      </c>
      <c r="C63" s="5" t="s">
        <v>69</v>
      </c>
      <c r="D63" s="5" t="str">
        <f>VLOOKUP($B63,Letters!$C$29:$D$52,2,FALSE) &amp; VLOOKUP($C63,Letters!$C$29:$D$52,2,FALSE)</f>
        <v>CR</v>
      </c>
      <c r="E63" s="5" t="s">
        <v>296</v>
      </c>
      <c r="F63" s="5" t="s">
        <v>297</v>
      </c>
      <c r="G63" s="55">
        <f t="shared" si="6"/>
        <v>8</v>
      </c>
      <c r="H63" s="55">
        <f t="shared" si="7"/>
        <v>10</v>
      </c>
      <c r="I63" s="62"/>
    </row>
    <row r="64" ht="13.5">
      <c r="A64" s="54"/>
      <c r="B64" s="5" t="s">
        <v>53</v>
      </c>
      <c r="C64" s="5" t="s">
        <v>71</v>
      </c>
      <c r="D64" s="5" t="str">
        <f>VLOOKUP($B64,Letters!$C$29:$D$52,2,FALSE) &amp; VLOOKUP($C64,Letters!$C$29:$D$52,2,FALSE)</f>
        <v>CT</v>
      </c>
      <c r="E64" s="5" t="s">
        <v>298</v>
      </c>
      <c r="F64" s="5" t="s">
        <v>299</v>
      </c>
      <c r="G64" s="55">
        <f t="shared" si="6"/>
        <v>8</v>
      </c>
      <c r="H64" s="55">
        <f t="shared" si="7"/>
        <v>10</v>
      </c>
      <c r="I64" s="62"/>
    </row>
    <row r="65" ht="13.5">
      <c r="A65" s="54"/>
      <c r="B65" s="5" t="s">
        <v>53</v>
      </c>
      <c r="C65" s="5" t="s">
        <v>72</v>
      </c>
      <c r="D65" s="5" t="str">
        <f>VLOOKUP($B65,Letters!$C$29:$D$52,2,FALSE) &amp; VLOOKUP($C65,Letters!$C$29:$D$52,2,FALSE)</f>
        <v>CU</v>
      </c>
      <c r="E65" s="5" t="s">
        <v>300</v>
      </c>
      <c r="F65" s="5" t="s">
        <v>301</v>
      </c>
      <c r="G65" s="55">
        <f t="shared" si="6"/>
        <v>5</v>
      </c>
      <c r="H65" s="55">
        <f t="shared" si="7"/>
        <v>8</v>
      </c>
      <c r="I65" s="56"/>
    </row>
    <row r="66" ht="13.5">
      <c r="A66" s="54"/>
      <c r="B66" s="5" t="s">
        <v>53</v>
      </c>
      <c r="C66" s="5" t="s">
        <v>73</v>
      </c>
      <c r="D66" s="5" t="str">
        <f>VLOOKUP($B66,Letters!$C$29:$D$52,2,FALSE) &amp; VLOOKUP($C66,Letters!$C$29:$D$52,2,FALSE)</f>
        <v>CV</v>
      </c>
      <c r="E66" s="5" t="s">
        <v>302</v>
      </c>
      <c r="F66" s="5" t="s">
        <v>303</v>
      </c>
      <c r="G66" s="55">
        <f t="shared" si="6"/>
        <v>8</v>
      </c>
      <c r="H66" s="55">
        <f t="shared" si="7"/>
        <v>12</v>
      </c>
      <c r="I66" s="56"/>
    </row>
    <row r="67" ht="13.5">
      <c r="A67" s="54"/>
      <c r="B67" s="5" t="s">
        <v>53</v>
      </c>
      <c r="C67" s="5" t="s">
        <v>75</v>
      </c>
      <c r="D67" s="5" t="str">
        <f>VLOOKUP($B67,Letters!$C$29:$D$52,2,FALSE) &amp; VLOOKUP($C67,Letters!$C$29:$D$52,2,FALSE)</f>
        <v>CI</v>
      </c>
      <c r="E67" s="5" t="s">
        <v>304</v>
      </c>
      <c r="F67" s="5" t="s">
        <v>305</v>
      </c>
      <c r="G67" s="55">
        <f t="shared" si="6"/>
        <v>8</v>
      </c>
      <c r="H67" s="55">
        <f t="shared" si="7"/>
        <v>12</v>
      </c>
      <c r="I67" s="56">
        <f>AVERAGE(H48:H67)</f>
        <v>10.2</v>
      </c>
    </row>
    <row r="68">
      <c r="A68" s="54"/>
      <c r="B68" s="5"/>
      <c r="C68" s="5"/>
      <c r="D68" s="5"/>
      <c r="E68" s="5"/>
      <c r="F68" s="5"/>
      <c r="G68" s="55"/>
      <c r="H68" s="55"/>
      <c r="I68" s="56"/>
    </row>
    <row r="69" ht="13.5">
      <c r="A69" s="54"/>
      <c r="B69" s="5" t="s">
        <v>54</v>
      </c>
      <c r="C69" s="5" t="s">
        <v>50</v>
      </c>
      <c r="D69" s="5" t="str">
        <f>VLOOKUP($B69,Letters!$C$29:$D$52,2,FALSE) &amp; VLOOKUP($C69,Letters!$C$29:$D$52,2,FALSE)</f>
        <v>DA</v>
      </c>
      <c r="E69" s="5" t="s">
        <v>306</v>
      </c>
      <c r="F69" s="5" t="s">
        <v>307</v>
      </c>
      <c r="G69" s="55">
        <f t="shared" ref="G69:G88" si="8">(len($F69)-len(SUBSTITUTE($F69,"R","")))+(len($F69)-len(SUBSTITUTE($F69,"L","")))+(len($F69)-len(SUBSTITUTE($F69,"U","")))+(len($F69)-len(SUBSTITUTE($F69,"D","")))+(len($F69)-len(SUBSTITUTE($F69,"F","")))+(len($F69)-len(SUBSTITUTE($F69,"B","")))+(len($F69)-len(SUBSTITUTE($F69,"M","")))+(len($F69)-len(SUBSTITUTE($F69,"S","")))+(len($F69)-len(SUBSTITUTE($F69,"E","")))</f>
        <v>8</v>
      </c>
      <c r="H69" s="55">
        <f t="shared" ref="H69:H88" si="9">(len($F69)-len(SUBSTITUTE($F69,"R","")))+(len($F69)-len(SUBSTITUTE($F69,"L","")))+(len($F69)-len(SUBSTITUTE($F69,"U","")))+(len($F69)-len(SUBSTITUTE($F69,"D","")))+(len($F69)-len(SUBSTITUTE($F69,"F","")))+(len($F69)-len(SUBSTITUTE($F69,"B","")))+(len($F69)-len(SUBSTITUTE($F69,"M","")))+(len($F69)-len(SUBSTITUTE($F69,"S","")))+(len($F69)-len(SUBSTITUTE($F69,"E","")))+(len($F69)-len(SUBSTITUTE($F69,"2","")))</f>
        <v>10</v>
      </c>
      <c r="I69" s="56"/>
    </row>
    <row r="70" ht="13.5">
      <c r="A70" s="54"/>
      <c r="B70" s="5" t="s">
        <v>54</v>
      </c>
      <c r="C70" s="5" t="s">
        <v>52</v>
      </c>
      <c r="D70" s="5" t="str">
        <f>VLOOKUP($B70,Letters!$C$29:$D$52,2,FALSE) &amp; VLOOKUP($C70,Letters!$C$29:$D$52,2,FALSE)</f>
        <v>DB</v>
      </c>
      <c r="E70" s="5" t="s">
        <v>308</v>
      </c>
      <c r="F70" s="5" t="s">
        <v>309</v>
      </c>
      <c r="G70" s="55">
        <f t="shared" si="8"/>
        <v>5</v>
      </c>
      <c r="H70" s="55">
        <f t="shared" si="9"/>
        <v>6</v>
      </c>
      <c r="I70" s="56"/>
    </row>
    <row r="71" ht="13.5">
      <c r="A71" s="60"/>
      <c r="B71" s="5" t="s">
        <v>54</v>
      </c>
      <c r="C71" s="5" t="s">
        <v>53</v>
      </c>
      <c r="D71" s="5" t="str">
        <f>VLOOKUP($B71,Letters!$C$29:$D$52,2,FALSE) &amp; VLOOKUP($C71,Letters!$C$29:$D$52,2,FALSE)</f>
        <v>DC</v>
      </c>
      <c r="E71" s="5" t="s">
        <v>310</v>
      </c>
      <c r="F71" s="5" t="s">
        <v>311</v>
      </c>
      <c r="G71" s="55">
        <f t="shared" si="8"/>
        <v>10</v>
      </c>
      <c r="H71" s="55">
        <f t="shared" si="9"/>
        <v>12</v>
      </c>
      <c r="I71" s="56"/>
    </row>
    <row r="72" ht="13.5">
      <c r="A72" s="54"/>
      <c r="B72" s="5" t="s">
        <v>54</v>
      </c>
      <c r="C72" s="5" t="s">
        <v>55</v>
      </c>
      <c r="D72" s="5" t="str">
        <f>VLOOKUP($B72,Letters!$C$29:$D$52,2,FALSE) &amp; VLOOKUP($C72,Letters!$C$29:$D$52,2,FALSE)</f>
        <v>DE</v>
      </c>
      <c r="E72" s="61" t="s">
        <v>312</v>
      </c>
      <c r="F72" s="5" t="s">
        <v>313</v>
      </c>
      <c r="G72" s="55">
        <f t="shared" si="8"/>
        <v>9</v>
      </c>
      <c r="H72" s="55">
        <f t="shared" si="9"/>
        <v>10</v>
      </c>
      <c r="I72" s="56"/>
    </row>
    <row r="73" ht="13.5">
      <c r="A73" s="54"/>
      <c r="B73" s="5" t="s">
        <v>54</v>
      </c>
      <c r="C73" s="5" t="s">
        <v>56</v>
      </c>
      <c r="D73" s="5" t="str">
        <f>VLOOKUP($B73,Letters!$C$29:$D$52,2,FALSE) &amp; VLOOKUP($C73,Letters!$C$29:$D$52,2,FALSE)</f>
        <v>DF</v>
      </c>
      <c r="E73" s="61" t="s">
        <v>314</v>
      </c>
      <c r="F73" s="5" t="s">
        <v>315</v>
      </c>
      <c r="G73" s="55">
        <f t="shared" si="8"/>
        <v>9</v>
      </c>
      <c r="H73" s="55">
        <f t="shared" si="9"/>
        <v>10</v>
      </c>
      <c r="I73" s="56"/>
    </row>
    <row r="74" ht="13.5">
      <c r="A74" s="60"/>
      <c r="B74" s="5" t="s">
        <v>54</v>
      </c>
      <c r="C74" s="5" t="s">
        <v>57</v>
      </c>
      <c r="D74" s="5" t="str">
        <f>VLOOKUP($B74,Letters!$C$29:$D$52,2,FALSE) &amp; VLOOKUP($C74,Letters!$C$29:$D$52,2,FALSE)</f>
        <v>DG</v>
      </c>
      <c r="E74" s="5" t="s">
        <v>316</v>
      </c>
      <c r="F74" s="5" t="s">
        <v>317</v>
      </c>
      <c r="G74" s="55">
        <f t="shared" si="8"/>
        <v>8</v>
      </c>
      <c r="H74" s="55">
        <f t="shared" si="9"/>
        <v>8</v>
      </c>
      <c r="I74" s="56"/>
    </row>
    <row r="75" ht="13.5">
      <c r="A75" s="54"/>
      <c r="B75" s="5" t="s">
        <v>54</v>
      </c>
      <c r="C75" s="5" t="s">
        <v>58</v>
      </c>
      <c r="D75" s="5" t="str">
        <f>VLOOKUP($B75,Letters!$C$29:$D$52,2,FALSE) &amp; VLOOKUP($C75,Letters!$C$29:$D$52,2,FALSE)</f>
        <v>DH</v>
      </c>
      <c r="E75" s="5" t="s">
        <v>318</v>
      </c>
      <c r="F75" s="5" t="s">
        <v>319</v>
      </c>
      <c r="G75" s="55">
        <f t="shared" si="8"/>
        <v>8</v>
      </c>
      <c r="H75" s="55">
        <f t="shared" si="9"/>
        <v>8</v>
      </c>
      <c r="I75" s="56"/>
    </row>
    <row r="76" ht="13.5">
      <c r="A76" s="54"/>
      <c r="B76" s="5" t="s">
        <v>54</v>
      </c>
      <c r="C76" s="5" t="s">
        <v>60</v>
      </c>
      <c r="D76" s="5" t="str">
        <f>VLOOKUP($B76,Letters!$C$29:$D$52,2,FALSE) &amp; VLOOKUP($C76,Letters!$C$29:$D$52,2,FALSE)</f>
        <v>DJ</v>
      </c>
      <c r="E76" s="5" t="s">
        <v>320</v>
      </c>
      <c r="F76" s="5" t="s">
        <v>321</v>
      </c>
      <c r="G76" s="55">
        <f t="shared" si="8"/>
        <v>7</v>
      </c>
      <c r="H76" s="55">
        <f t="shared" si="9"/>
        <v>8</v>
      </c>
      <c r="I76" s="56"/>
    </row>
    <row r="77" ht="13.5">
      <c r="A77" s="54"/>
      <c r="B77" s="5" t="s">
        <v>54</v>
      </c>
      <c r="C77" s="5" t="s">
        <v>62</v>
      </c>
      <c r="D77" s="5" t="str">
        <f>VLOOKUP($B77,Letters!$C$29:$D$52,2,FALSE) &amp; VLOOKUP($C77,Letters!$C$29:$D$52,2,FALSE)</f>
        <v>DK</v>
      </c>
      <c r="E77" s="5" t="s">
        <v>322</v>
      </c>
      <c r="F77" s="5" t="s">
        <v>323</v>
      </c>
      <c r="G77" s="55">
        <f t="shared" si="8"/>
        <v>10</v>
      </c>
      <c r="H77" s="55">
        <f t="shared" si="9"/>
        <v>11</v>
      </c>
      <c r="I77" s="56"/>
    </row>
    <row r="78" ht="13.5">
      <c r="A78" s="54"/>
      <c r="B78" s="5" t="s">
        <v>54</v>
      </c>
      <c r="C78" s="5" t="s">
        <v>63</v>
      </c>
      <c r="D78" s="5" t="str">
        <f>VLOOKUP($B78,Letters!$C$29:$D$52,2,FALSE) &amp; VLOOKUP($C78,Letters!$C$29:$D$52,2,FALSE)</f>
        <v>DL</v>
      </c>
      <c r="E78" s="5" t="s">
        <v>324</v>
      </c>
      <c r="F78" s="5" t="s">
        <v>325</v>
      </c>
      <c r="G78" s="55">
        <f t="shared" si="8"/>
        <v>8</v>
      </c>
      <c r="H78" s="55">
        <f t="shared" si="9"/>
        <v>10</v>
      </c>
      <c r="I78" s="56"/>
    </row>
    <row r="79" ht="13.5">
      <c r="A79" s="54"/>
      <c r="B79" s="5" t="s">
        <v>54</v>
      </c>
      <c r="C79" s="5" t="s">
        <v>64</v>
      </c>
      <c r="D79" s="5" t="str">
        <f>VLOOKUP($B79,Letters!$C$29:$D$52,2,FALSE) &amp; VLOOKUP($C79,Letters!$C$29:$D$52,2,FALSE)</f>
        <v>DM</v>
      </c>
      <c r="E79" s="5" t="s">
        <v>326</v>
      </c>
      <c r="F79" s="5" t="s">
        <v>327</v>
      </c>
      <c r="G79" s="55">
        <f t="shared" si="8"/>
        <v>8</v>
      </c>
      <c r="H79" s="55">
        <f t="shared" si="9"/>
        <v>8</v>
      </c>
      <c r="I79" s="56"/>
    </row>
    <row r="80" ht="13.5">
      <c r="A80" s="54"/>
      <c r="B80" s="5" t="s">
        <v>54</v>
      </c>
      <c r="C80" s="5" t="s">
        <v>65</v>
      </c>
      <c r="D80" s="5" t="str">
        <f>VLOOKUP($B80,Letters!$C$29:$D$52,2,FALSE) &amp; VLOOKUP($C80,Letters!$C$29:$D$52,2,FALSE)</f>
        <v>DN</v>
      </c>
      <c r="E80" s="5" t="s">
        <v>328</v>
      </c>
      <c r="F80" s="5" t="s">
        <v>329</v>
      </c>
      <c r="G80" s="55">
        <f t="shared" si="8"/>
        <v>11</v>
      </c>
      <c r="H80" s="55">
        <f t="shared" si="9"/>
        <v>12</v>
      </c>
      <c r="I80" s="56"/>
    </row>
    <row r="81" ht="13.5">
      <c r="A81" s="54"/>
      <c r="B81" s="5" t="s">
        <v>54</v>
      </c>
      <c r="C81" s="5" t="s">
        <v>67</v>
      </c>
      <c r="D81" s="5" t="str">
        <f>VLOOKUP($B81,Letters!$C$29:$D$52,2,FALSE) &amp; VLOOKUP($C81,Letters!$C$29:$D$52,2,FALSE)</f>
        <v>DP</v>
      </c>
      <c r="E81" s="5" t="s">
        <v>330</v>
      </c>
      <c r="F81" s="5" t="s">
        <v>331</v>
      </c>
      <c r="G81" s="55">
        <f t="shared" si="8"/>
        <v>7</v>
      </c>
      <c r="H81" s="55">
        <f t="shared" si="9"/>
        <v>8</v>
      </c>
      <c r="I81" s="56"/>
    </row>
    <row r="82" ht="13.5">
      <c r="A82" s="60"/>
      <c r="B82" s="5" t="s">
        <v>54</v>
      </c>
      <c r="C82" s="5" t="s">
        <v>68</v>
      </c>
      <c r="D82" s="5" t="str">
        <f>VLOOKUP($B82,Letters!$C$29:$D$52,2,FALSE) &amp; VLOOKUP($C82,Letters!$C$29:$D$52,2,FALSE)</f>
        <v>DW</v>
      </c>
      <c r="E82" s="5" t="s">
        <v>332</v>
      </c>
      <c r="F82" s="5" t="s">
        <v>333</v>
      </c>
      <c r="G82" s="55">
        <f t="shared" si="8"/>
        <v>10</v>
      </c>
      <c r="H82" s="55">
        <f t="shared" si="9"/>
        <v>11</v>
      </c>
      <c r="I82" s="56"/>
    </row>
    <row r="83" ht="13.5">
      <c r="A83" s="60"/>
      <c r="B83" s="5" t="s">
        <v>54</v>
      </c>
      <c r="C83" s="5" t="s">
        <v>69</v>
      </c>
      <c r="D83" s="5" t="str">
        <f>VLOOKUP($B83,Letters!$C$29:$D$52,2,FALSE) &amp; VLOOKUP($C83,Letters!$C$29:$D$52,2,FALSE)</f>
        <v>DR</v>
      </c>
      <c r="E83" s="5" t="s">
        <v>334</v>
      </c>
      <c r="F83" s="5" t="s">
        <v>335</v>
      </c>
      <c r="G83" s="55">
        <f t="shared" si="8"/>
        <v>8</v>
      </c>
      <c r="H83" s="55">
        <f t="shared" si="9"/>
        <v>10</v>
      </c>
      <c r="I83" s="56"/>
    </row>
    <row r="84" ht="13.5">
      <c r="A84" s="54"/>
      <c r="B84" s="5" t="s">
        <v>54</v>
      </c>
      <c r="C84" s="5" t="s">
        <v>70</v>
      </c>
      <c r="D84" s="5" t="str">
        <f>VLOOKUP($B84,Letters!$C$29:$D$52,2,FALSE) &amp; VLOOKUP($C84,Letters!$C$29:$D$52,2,FALSE)</f>
        <v>DS</v>
      </c>
      <c r="E84" s="5" t="s">
        <v>336</v>
      </c>
      <c r="F84" s="5" t="s">
        <v>337</v>
      </c>
      <c r="G84" s="55">
        <f t="shared" si="8"/>
        <v>9</v>
      </c>
      <c r="H84" s="55">
        <f t="shared" si="9"/>
        <v>10</v>
      </c>
      <c r="I84" s="56"/>
    </row>
    <row r="85" ht="13.5">
      <c r="A85" s="54"/>
      <c r="B85" s="5" t="s">
        <v>54</v>
      </c>
      <c r="C85" s="5" t="s">
        <v>71</v>
      </c>
      <c r="D85" s="5" t="str">
        <f>VLOOKUP($B85,Letters!$C$29:$D$52,2,FALSE) &amp; VLOOKUP($C85,Letters!$C$29:$D$52,2,FALSE)</f>
        <v>DT</v>
      </c>
      <c r="E85" s="5" t="s">
        <v>338</v>
      </c>
      <c r="F85" s="5" t="s">
        <v>339</v>
      </c>
      <c r="G85" s="55">
        <f t="shared" si="8"/>
        <v>7</v>
      </c>
      <c r="H85" s="55">
        <f t="shared" si="9"/>
        <v>8</v>
      </c>
      <c r="I85" s="56"/>
    </row>
    <row r="86" ht="13.5">
      <c r="A86" s="54"/>
      <c r="B86" s="5" t="s">
        <v>54</v>
      </c>
      <c r="C86" s="5" t="s">
        <v>72</v>
      </c>
      <c r="D86" s="5" t="str">
        <f>VLOOKUP($B86,Letters!$C$29:$D$52,2,FALSE) &amp; VLOOKUP($C86,Letters!$C$29:$D$52,2,FALSE)</f>
        <v>DU</v>
      </c>
      <c r="E86" s="5" t="s">
        <v>340</v>
      </c>
      <c r="F86" s="5" t="s">
        <v>341</v>
      </c>
      <c r="G86" s="55">
        <f t="shared" si="8"/>
        <v>7</v>
      </c>
      <c r="H86" s="55">
        <f t="shared" si="9"/>
        <v>10</v>
      </c>
      <c r="I86" s="56"/>
    </row>
    <row r="87" ht="13.5">
      <c r="A87" s="54"/>
      <c r="B87" s="5" t="s">
        <v>54</v>
      </c>
      <c r="C87" s="5" t="s">
        <v>73</v>
      </c>
      <c r="D87" s="5" t="str">
        <f>VLOOKUP($B87,Letters!$C$29:$D$52,2,FALSE) &amp; VLOOKUP($C87,Letters!$C$29:$D$52,2,FALSE)</f>
        <v>DV</v>
      </c>
      <c r="E87" s="5" t="s">
        <v>342</v>
      </c>
      <c r="F87" s="5" t="s">
        <v>343</v>
      </c>
      <c r="G87" s="55">
        <f t="shared" si="8"/>
        <v>7</v>
      </c>
      <c r="H87" s="55">
        <f t="shared" si="9"/>
        <v>10</v>
      </c>
      <c r="I87" s="56"/>
    </row>
    <row r="88" ht="13.5">
      <c r="A88" s="54"/>
      <c r="B88" s="5" t="s">
        <v>54</v>
      </c>
      <c r="C88" s="5" t="s">
        <v>75</v>
      </c>
      <c r="D88" s="5" t="str">
        <f>VLOOKUP($B88,Letters!$C$29:$D$52,2,FALSE) &amp; VLOOKUP($C88,Letters!$C$29:$D$52,2,FALSE)</f>
        <v>DI</v>
      </c>
      <c r="E88" s="5" t="s">
        <v>344</v>
      </c>
      <c r="F88" s="5" t="s">
        <v>345</v>
      </c>
      <c r="G88" s="55">
        <f t="shared" si="8"/>
        <v>8</v>
      </c>
      <c r="H88" s="55">
        <f t="shared" si="9"/>
        <v>12</v>
      </c>
      <c r="I88" s="56">
        <f>AVERAGE(H69:H88)</f>
        <v>9.6</v>
      </c>
    </row>
    <row r="89">
      <c r="A89" s="60"/>
      <c r="B89" s="5"/>
      <c r="C89" s="5"/>
      <c r="D89" s="5"/>
      <c r="E89" s="5"/>
      <c r="F89" s="5"/>
      <c r="G89" s="55"/>
      <c r="H89" s="55"/>
      <c r="I89" s="56"/>
    </row>
    <row r="90" ht="13.5">
      <c r="A90" s="54"/>
      <c r="B90" s="5" t="s">
        <v>55</v>
      </c>
      <c r="C90" s="5" t="s">
        <v>50</v>
      </c>
      <c r="D90" s="5" t="str">
        <f>VLOOKUP($B90,Letters!$C$29:$D$52,2,FALSE) &amp; VLOOKUP($C90,Letters!$C$29:$D$52,2,FALSE)</f>
        <v>EA</v>
      </c>
      <c r="E90" s="5" t="s">
        <v>346</v>
      </c>
      <c r="F90" s="5" t="s">
        <v>347</v>
      </c>
      <c r="G90" s="55">
        <f t="shared" ref="G90:G109" si="10">(len($F90)-len(SUBSTITUTE($F90,"R","")))+(len($F90)-len(SUBSTITUTE($F90,"L","")))+(len($F90)-len(SUBSTITUTE($F90,"U","")))+(len($F90)-len(SUBSTITUTE($F90,"D","")))+(len($F90)-len(SUBSTITUTE($F90,"F","")))+(len($F90)-len(SUBSTITUTE($F90,"B","")))+(len($F90)-len(SUBSTITUTE($F90,"M","")))+(len($F90)-len(SUBSTITUTE($F90,"S","")))+(len($F90)-len(SUBSTITUTE($F90,"E","")))</f>
        <v>10</v>
      </c>
      <c r="H90" s="55">
        <f t="shared" ref="H90:H109" si="11">(len($F90)-len(SUBSTITUTE($F90,"R","")))+(len($F90)-len(SUBSTITUTE($F90,"L","")))+(len($F90)-len(SUBSTITUTE($F90,"U","")))+(len($F90)-len(SUBSTITUTE($F90,"D","")))+(len($F90)-len(SUBSTITUTE($F90,"F","")))+(len($F90)-len(SUBSTITUTE($F90,"B","")))+(len($F90)-len(SUBSTITUTE($F90,"M","")))+(len($F90)-len(SUBSTITUTE($F90,"S","")))+(len($F90)-len(SUBSTITUTE($F90,"E","")))+(len($F90)-len(SUBSTITUTE($F90,"2","")))</f>
        <v>10</v>
      </c>
      <c r="I90" s="56"/>
    </row>
    <row r="91" ht="13.5">
      <c r="A91" s="60"/>
      <c r="B91" s="5" t="s">
        <v>55</v>
      </c>
      <c r="C91" s="5" t="s">
        <v>52</v>
      </c>
      <c r="D91" s="5" t="str">
        <f>VLOOKUP($B91,Letters!$C$29:$D$52,2,FALSE) &amp; VLOOKUP($C91,Letters!$C$29:$D$52,2,FALSE)</f>
        <v>EB</v>
      </c>
      <c r="E91" s="5" t="s">
        <v>348</v>
      </c>
      <c r="F91" s="5" t="s">
        <v>349</v>
      </c>
      <c r="G91" s="55">
        <f t="shared" si="10"/>
        <v>8</v>
      </c>
      <c r="H91" s="55">
        <f t="shared" si="11"/>
        <v>8</v>
      </c>
      <c r="I91" s="56"/>
    </row>
    <row r="92" ht="13.5">
      <c r="A92" s="54"/>
      <c r="B92" s="5" t="s">
        <v>55</v>
      </c>
      <c r="C92" s="5" t="s">
        <v>53</v>
      </c>
      <c r="D92" s="5" t="str">
        <f>VLOOKUP($B92,Letters!$C$29:$D$52,2,FALSE) &amp; VLOOKUP($C92,Letters!$C$29:$D$52,2,FALSE)</f>
        <v>EC</v>
      </c>
      <c r="E92" s="61"/>
      <c r="F92" s="5"/>
      <c r="G92" s="55">
        <f t="shared" si="10"/>
        <v>0</v>
      </c>
      <c r="H92" s="55">
        <f t="shared" si="11"/>
        <v>0</v>
      </c>
      <c r="I92" s="56"/>
    </row>
    <row r="93" ht="13.5">
      <c r="A93" s="54"/>
      <c r="B93" s="5" t="s">
        <v>55</v>
      </c>
      <c r="C93" s="5" t="s">
        <v>54</v>
      </c>
      <c r="D93" s="5" t="str">
        <f>VLOOKUP($B93,Letters!$C$29:$D$52,2,FALSE) &amp; VLOOKUP($C93,Letters!$C$29:$D$52,2,FALSE)</f>
        <v>ED</v>
      </c>
      <c r="E93" s="61"/>
      <c r="F93" s="5"/>
      <c r="G93" s="55">
        <f t="shared" si="10"/>
        <v>0</v>
      </c>
      <c r="H93" s="55">
        <f t="shared" si="11"/>
        <v>0</v>
      </c>
      <c r="I93" s="56"/>
    </row>
    <row r="94" ht="13.5">
      <c r="A94" s="60"/>
      <c r="B94" s="5" t="s">
        <v>55</v>
      </c>
      <c r="C94" s="5" t="s">
        <v>56</v>
      </c>
      <c r="D94" s="5" t="str">
        <f>VLOOKUP($B94,Letters!$C$29:$D$52,2,FALSE) &amp; VLOOKUP($C94,Letters!$C$29:$D$52,2,FALSE)</f>
        <v>EF</v>
      </c>
      <c r="E94" s="61"/>
      <c r="F94" s="5"/>
      <c r="G94" s="55">
        <f t="shared" si="10"/>
        <v>0</v>
      </c>
      <c r="H94" s="55">
        <f t="shared" si="11"/>
        <v>0</v>
      </c>
      <c r="I94" s="56"/>
    </row>
    <row r="95" ht="13.5">
      <c r="A95" s="60"/>
      <c r="B95" s="5" t="s">
        <v>55</v>
      </c>
      <c r="C95" s="5" t="s">
        <v>57</v>
      </c>
      <c r="D95" s="5" t="str">
        <f>VLOOKUP($B95,Letters!$C$29:$D$52,2,FALSE) &amp; VLOOKUP($C95,Letters!$C$29:$D$52,2,FALSE)</f>
        <v>EG</v>
      </c>
      <c r="E95" s="61"/>
      <c r="F95" s="5"/>
      <c r="G95" s="55">
        <f t="shared" si="10"/>
        <v>0</v>
      </c>
      <c r="H95" s="55">
        <f t="shared" si="11"/>
        <v>0</v>
      </c>
      <c r="I95" s="56"/>
    </row>
    <row r="96" ht="13.5">
      <c r="A96" s="54"/>
      <c r="B96" s="5" t="s">
        <v>55</v>
      </c>
      <c r="C96" s="5" t="s">
        <v>58</v>
      </c>
      <c r="D96" s="5" t="str">
        <f>VLOOKUP($B96,Letters!$C$29:$D$52,2,FALSE) &amp; VLOOKUP($C96,Letters!$C$29:$D$52,2,FALSE)</f>
        <v>EH</v>
      </c>
      <c r="E96" s="61"/>
      <c r="F96" s="5"/>
      <c r="G96" s="55">
        <f t="shared" si="10"/>
        <v>0</v>
      </c>
      <c r="H96" s="55">
        <f t="shared" si="11"/>
        <v>0</v>
      </c>
      <c r="I96" s="56"/>
    </row>
    <row r="97" ht="13.5">
      <c r="A97" s="54"/>
      <c r="B97" s="5" t="s">
        <v>55</v>
      </c>
      <c r="C97" s="5" t="s">
        <v>60</v>
      </c>
      <c r="D97" s="5" t="str">
        <f>VLOOKUP($B97,Letters!$C$29:$D$52,2,FALSE) &amp; VLOOKUP($C97,Letters!$C$29:$D$52,2,FALSE)</f>
        <v>EJ</v>
      </c>
      <c r="E97" s="61"/>
      <c r="F97" s="5"/>
      <c r="G97" s="55">
        <f t="shared" si="10"/>
        <v>0</v>
      </c>
      <c r="H97" s="55">
        <f t="shared" si="11"/>
        <v>0</v>
      </c>
      <c r="I97" s="56"/>
    </row>
    <row r="98" ht="13.5">
      <c r="A98" s="54"/>
      <c r="B98" s="5" t="s">
        <v>55</v>
      </c>
      <c r="C98" s="5" t="s">
        <v>62</v>
      </c>
      <c r="D98" s="5" t="str">
        <f>VLOOKUP($B98,Letters!$C$29:$D$52,2,FALSE) &amp; VLOOKUP($C98,Letters!$C$29:$D$52,2,FALSE)</f>
        <v>EK</v>
      </c>
      <c r="E98" s="61"/>
      <c r="F98" s="5"/>
      <c r="G98" s="55">
        <f t="shared" si="10"/>
        <v>0</v>
      </c>
      <c r="H98" s="55">
        <f t="shared" si="11"/>
        <v>0</v>
      </c>
      <c r="I98" s="56"/>
    </row>
    <row r="99" ht="13.5">
      <c r="A99" s="54"/>
      <c r="B99" s="5" t="s">
        <v>55</v>
      </c>
      <c r="C99" s="5" t="s">
        <v>63</v>
      </c>
      <c r="D99" s="5" t="str">
        <f>VLOOKUP($B99,Letters!$C$29:$D$52,2,FALSE) &amp; VLOOKUP($C99,Letters!$C$29:$D$52,2,FALSE)</f>
        <v>EL</v>
      </c>
      <c r="E99" s="61"/>
      <c r="F99" s="5"/>
      <c r="G99" s="55">
        <f t="shared" si="10"/>
        <v>0</v>
      </c>
      <c r="H99" s="55">
        <f t="shared" si="11"/>
        <v>0</v>
      </c>
      <c r="I99" s="56"/>
    </row>
    <row r="100" ht="13.5">
      <c r="A100" s="54"/>
      <c r="B100" s="5" t="s">
        <v>55</v>
      </c>
      <c r="C100" s="5" t="s">
        <v>64</v>
      </c>
      <c r="D100" s="5" t="str">
        <f>VLOOKUP($B100,Letters!$C$29:$D$52,2,FALSE) &amp; VLOOKUP($C100,Letters!$C$29:$D$52,2,FALSE)</f>
        <v>EM</v>
      </c>
      <c r="E100" s="61"/>
      <c r="F100" s="5"/>
      <c r="G100" s="55">
        <f t="shared" si="10"/>
        <v>0</v>
      </c>
      <c r="H100" s="55">
        <f t="shared" si="11"/>
        <v>0</v>
      </c>
      <c r="I100" s="56"/>
    </row>
    <row r="101" ht="13.5">
      <c r="A101" s="60"/>
      <c r="B101" s="5" t="s">
        <v>55</v>
      </c>
      <c r="C101" s="5" t="s">
        <v>65</v>
      </c>
      <c r="D101" s="5" t="str">
        <f>VLOOKUP($B101,Letters!$C$29:$D$52,2,FALSE) &amp; VLOOKUP($C101,Letters!$C$29:$D$52,2,FALSE)</f>
        <v>EN</v>
      </c>
      <c r="E101" s="61"/>
      <c r="F101" s="5"/>
      <c r="G101" s="55">
        <f t="shared" si="10"/>
        <v>0</v>
      </c>
      <c r="H101" s="55">
        <f t="shared" si="11"/>
        <v>0</v>
      </c>
      <c r="I101" s="56"/>
    </row>
    <row r="102" ht="13.5">
      <c r="A102" s="54"/>
      <c r="B102" s="5" t="s">
        <v>55</v>
      </c>
      <c r="C102" s="5" t="s">
        <v>66</v>
      </c>
      <c r="D102" s="5" t="str">
        <f>VLOOKUP($B102,Letters!$C$29:$D$52,2,FALSE) &amp; VLOOKUP($C102,Letters!$C$29:$D$52,2,FALSE)</f>
        <v>EO</v>
      </c>
      <c r="E102" s="61"/>
      <c r="F102" s="5"/>
      <c r="G102" s="55">
        <f t="shared" si="10"/>
        <v>0</v>
      </c>
      <c r="H102" s="55">
        <f t="shared" si="11"/>
        <v>0</v>
      </c>
      <c r="I102" s="56"/>
    </row>
    <row r="103" ht="13.5">
      <c r="A103" s="54"/>
      <c r="B103" s="5" t="s">
        <v>55</v>
      </c>
      <c r="C103" s="5" t="s">
        <v>67</v>
      </c>
      <c r="D103" s="5" t="str">
        <f>VLOOKUP($B103,Letters!$C$29:$D$52,2,FALSE) &amp; VLOOKUP($C103,Letters!$C$29:$D$52,2,FALSE)</f>
        <v>EP</v>
      </c>
      <c r="E103" s="61"/>
      <c r="F103" s="5"/>
      <c r="G103" s="55">
        <f t="shared" si="10"/>
        <v>0</v>
      </c>
      <c r="H103" s="55">
        <f t="shared" si="11"/>
        <v>0</v>
      </c>
      <c r="I103" s="56"/>
    </row>
    <row r="104" ht="13.5">
      <c r="A104" s="54"/>
      <c r="B104" s="5" t="s">
        <v>55</v>
      </c>
      <c r="C104" s="5" t="s">
        <v>68</v>
      </c>
      <c r="D104" s="5" t="str">
        <f>VLOOKUP($B104,Letters!$C$29:$D$52,2,FALSE) &amp; VLOOKUP($C104,Letters!$C$29:$D$52,2,FALSE)</f>
        <v>EW</v>
      </c>
      <c r="E104" s="61"/>
      <c r="F104" s="5"/>
      <c r="G104" s="55">
        <f t="shared" si="10"/>
        <v>0</v>
      </c>
      <c r="H104" s="55">
        <f t="shared" si="11"/>
        <v>0</v>
      </c>
      <c r="I104" s="56"/>
    </row>
    <row r="105" ht="13.5">
      <c r="A105" s="54"/>
      <c r="B105" s="5" t="s">
        <v>55</v>
      </c>
      <c r="C105" s="5" t="s">
        <v>69</v>
      </c>
      <c r="D105" s="5" t="str">
        <f>VLOOKUP($B105,Letters!$C$29:$D$52,2,FALSE) &amp; VLOOKUP($C105,Letters!$C$29:$D$52,2,FALSE)</f>
        <v>ER</v>
      </c>
      <c r="E105" s="61"/>
      <c r="F105" s="5"/>
      <c r="G105" s="55">
        <f t="shared" si="10"/>
        <v>0</v>
      </c>
      <c r="H105" s="55">
        <f t="shared" si="11"/>
        <v>0</v>
      </c>
      <c r="I105" s="62"/>
    </row>
    <row r="106" ht="13.5">
      <c r="A106" s="54"/>
      <c r="B106" s="5" t="s">
        <v>55</v>
      </c>
      <c r="C106" s="5" t="s">
        <v>70</v>
      </c>
      <c r="D106" s="5" t="str">
        <f>VLOOKUP($B106,Letters!$C$29:$D$52,2,FALSE) &amp; VLOOKUP($C106,Letters!$C$29:$D$52,2,FALSE)</f>
        <v>ES</v>
      </c>
      <c r="E106" s="61"/>
      <c r="F106" s="5"/>
      <c r="G106" s="55">
        <f t="shared" si="10"/>
        <v>0</v>
      </c>
      <c r="H106" s="55">
        <f t="shared" si="11"/>
        <v>0</v>
      </c>
      <c r="I106" s="62"/>
    </row>
    <row r="107" ht="13.5">
      <c r="A107" s="54"/>
      <c r="B107" s="5" t="s">
        <v>55</v>
      </c>
      <c r="C107" s="5" t="s">
        <v>71</v>
      </c>
      <c r="D107" s="5" t="str">
        <f>VLOOKUP($B107,Letters!$C$29:$D$52,2,FALSE) &amp; VLOOKUP($C107,Letters!$C$29:$D$52,2,FALSE)</f>
        <v>ET</v>
      </c>
      <c r="E107" s="61"/>
      <c r="F107" s="5"/>
      <c r="G107" s="55">
        <f t="shared" si="10"/>
        <v>0</v>
      </c>
      <c r="H107" s="55">
        <f t="shared" si="11"/>
        <v>0</v>
      </c>
      <c r="I107" s="56"/>
    </row>
    <row r="108" ht="13.5">
      <c r="A108" s="54"/>
      <c r="B108" s="5" t="s">
        <v>55</v>
      </c>
      <c r="C108" s="5" t="s">
        <v>72</v>
      </c>
      <c r="D108" s="5" t="str">
        <f>VLOOKUP($B108,Letters!$C$29:$D$52,2,FALSE) &amp; VLOOKUP($C108,Letters!$C$29:$D$52,2,FALSE)</f>
        <v>EU</v>
      </c>
      <c r="E108" s="61"/>
      <c r="F108" s="5"/>
      <c r="G108" s="55">
        <f t="shared" si="10"/>
        <v>0</v>
      </c>
      <c r="H108" s="55">
        <f t="shared" si="11"/>
        <v>0</v>
      </c>
      <c r="I108" s="56"/>
    </row>
    <row r="109" ht="13.5">
      <c r="A109" s="60"/>
      <c r="B109" s="5" t="s">
        <v>55</v>
      </c>
      <c r="C109" s="5" t="s">
        <v>75</v>
      </c>
      <c r="D109" s="5" t="str">
        <f>VLOOKUP($B109,Letters!$C$29:$D$52,2,FALSE) &amp; VLOOKUP($C109,Letters!$C$29:$D$52,2,FALSE)</f>
        <v>EI</v>
      </c>
      <c r="E109" s="5" t="s">
        <v>350</v>
      </c>
      <c r="F109" s="5" t="s">
        <v>351</v>
      </c>
      <c r="G109" s="55">
        <f t="shared" si="10"/>
        <v>8</v>
      </c>
      <c r="H109" s="55">
        <f t="shared" si="11"/>
        <v>8</v>
      </c>
      <c r="I109" s="56">
        <f>AVERAGE(H90:H109)</f>
        <v>1.3</v>
      </c>
    </row>
    <row r="110">
      <c r="A110" s="54"/>
      <c r="B110" s="5"/>
      <c r="C110" s="5"/>
      <c r="D110" s="5"/>
      <c r="E110" s="5"/>
      <c r="F110" s="5"/>
      <c r="G110" s="55"/>
      <c r="H110" s="55"/>
      <c r="I110" s="56"/>
    </row>
    <row r="111" ht="13.5">
      <c r="A111" s="60"/>
      <c r="B111" s="5" t="s">
        <v>56</v>
      </c>
      <c r="C111" s="5" t="s">
        <v>50</v>
      </c>
      <c r="D111" s="5" t="str">
        <f>VLOOKUP($B111,Letters!$C$29:$D$52,2,FALSE) &amp; VLOOKUP($C111,Letters!$C$29:$D$52,2,FALSE)</f>
        <v>FA</v>
      </c>
      <c r="E111" s="61"/>
      <c r="F111" s="5"/>
      <c r="G111" s="55">
        <f t="shared" ref="G111:G130" si="12">(len($F111)-len(SUBSTITUTE($F111,"R","")))+(len($F111)-len(SUBSTITUTE($F111,"L","")))+(len($F111)-len(SUBSTITUTE($F111,"U","")))+(len($F111)-len(SUBSTITUTE($F111,"D","")))+(len($F111)-len(SUBSTITUTE($F111,"F","")))+(len($F111)-len(SUBSTITUTE($F111,"B","")))+(len($F111)-len(SUBSTITUTE($F111,"M","")))+(len($F111)-len(SUBSTITUTE($F111,"S","")))+(len($F111)-len(SUBSTITUTE($F111,"E","")))</f>
        <v>0</v>
      </c>
      <c r="H111" s="55">
        <f t="shared" ref="H111:H130" si="13">(len($F111)-len(SUBSTITUTE($F111,"R","")))+(len($F111)-len(SUBSTITUTE($F111,"L","")))+(len($F111)-len(SUBSTITUTE($F111,"U","")))+(len($F111)-len(SUBSTITUTE($F111,"D","")))+(len($F111)-len(SUBSTITUTE($F111,"F","")))+(len($F111)-len(SUBSTITUTE($F111,"B","")))+(len($F111)-len(SUBSTITUTE($F111,"M","")))+(len($F111)-len(SUBSTITUTE($F111,"S","")))+(len($F111)-len(SUBSTITUTE($F111,"E","")))+(len($F111)-len(SUBSTITUTE($F111,"2","")))</f>
        <v>0</v>
      </c>
      <c r="I111" s="56"/>
    </row>
    <row r="112" ht="13.5">
      <c r="A112" s="54"/>
      <c r="B112" s="5" t="s">
        <v>56</v>
      </c>
      <c r="C112" s="5" t="s">
        <v>52</v>
      </c>
      <c r="D112" s="5" t="str">
        <f>VLOOKUP($B112,Letters!$C$29:$D$52,2,FALSE) &amp; VLOOKUP($C112,Letters!$C$29:$D$52,2,FALSE)</f>
        <v>FB</v>
      </c>
      <c r="E112" s="61"/>
      <c r="F112" s="5"/>
      <c r="G112" s="55">
        <f t="shared" si="12"/>
        <v>0</v>
      </c>
      <c r="H112" s="55">
        <f t="shared" si="13"/>
        <v>0</v>
      </c>
      <c r="I112" s="56"/>
    </row>
    <row r="113" ht="13.5">
      <c r="A113" s="54"/>
      <c r="B113" s="5" t="s">
        <v>56</v>
      </c>
      <c r="C113" s="5" t="s">
        <v>53</v>
      </c>
      <c r="D113" s="5" t="str">
        <f>VLOOKUP($B113,Letters!$C$29:$D$52,2,FALSE) &amp; VLOOKUP($C113,Letters!$C$29:$D$52,2,FALSE)</f>
        <v>FC</v>
      </c>
      <c r="E113" s="61"/>
      <c r="F113" s="5"/>
      <c r="G113" s="55">
        <f t="shared" si="12"/>
        <v>0</v>
      </c>
      <c r="H113" s="55">
        <f t="shared" si="13"/>
        <v>0</v>
      </c>
      <c r="I113" s="56"/>
    </row>
    <row r="114" ht="13.5">
      <c r="A114" s="60"/>
      <c r="B114" s="5" t="s">
        <v>56</v>
      </c>
      <c r="C114" s="5" t="s">
        <v>54</v>
      </c>
      <c r="D114" s="5" t="str">
        <f>VLOOKUP($B114,Letters!$C$29:$D$52,2,FALSE) &amp; VLOOKUP($C114,Letters!$C$29:$D$52,2,FALSE)</f>
        <v>FD</v>
      </c>
      <c r="E114" s="61"/>
      <c r="F114" s="5"/>
      <c r="G114" s="55">
        <f t="shared" si="12"/>
        <v>0</v>
      </c>
      <c r="H114" s="55">
        <f t="shared" si="13"/>
        <v>0</v>
      </c>
      <c r="I114" s="56"/>
    </row>
    <row r="115" ht="13.5">
      <c r="A115" s="54"/>
      <c r="B115" s="5" t="s">
        <v>56</v>
      </c>
      <c r="C115" s="5" t="s">
        <v>55</v>
      </c>
      <c r="D115" s="5" t="str">
        <f>VLOOKUP($B115,Letters!$C$29:$D$52,2,FALSE) &amp; VLOOKUP($C115,Letters!$C$29:$D$52,2,FALSE)</f>
        <v>FE</v>
      </c>
      <c r="E115" s="61"/>
      <c r="F115" s="5"/>
      <c r="G115" s="55">
        <f t="shared" si="12"/>
        <v>0</v>
      </c>
      <c r="H115" s="55">
        <f t="shared" si="13"/>
        <v>0</v>
      </c>
      <c r="I115" s="56"/>
    </row>
    <row r="116" ht="13.5">
      <c r="A116" s="54"/>
      <c r="B116" s="5" t="s">
        <v>56</v>
      </c>
      <c r="C116" s="5" t="s">
        <v>57</v>
      </c>
      <c r="D116" s="5" t="str">
        <f>VLOOKUP($B116,Letters!$C$29:$D$52,2,FALSE) &amp; VLOOKUP($C116,Letters!$C$29:$D$52,2,FALSE)</f>
        <v>FG</v>
      </c>
      <c r="E116" s="61"/>
      <c r="F116" s="5"/>
      <c r="G116" s="55">
        <f t="shared" si="12"/>
        <v>0</v>
      </c>
      <c r="H116" s="55">
        <f t="shared" si="13"/>
        <v>0</v>
      </c>
      <c r="I116" s="56"/>
    </row>
    <row r="117" ht="13.5">
      <c r="A117" s="54"/>
      <c r="B117" s="5" t="s">
        <v>56</v>
      </c>
      <c r="C117" s="5" t="s">
        <v>58</v>
      </c>
      <c r="D117" s="5" t="str">
        <f>VLOOKUP($B117,Letters!$C$29:$D$52,2,FALSE) &amp; VLOOKUP($C117,Letters!$C$29:$D$52,2,FALSE)</f>
        <v>FH</v>
      </c>
      <c r="E117" s="61"/>
      <c r="F117" s="5"/>
      <c r="G117" s="55">
        <f t="shared" si="12"/>
        <v>0</v>
      </c>
      <c r="H117" s="55">
        <f t="shared" si="13"/>
        <v>0</v>
      </c>
      <c r="I117" s="56"/>
    </row>
    <row r="118" ht="13.5">
      <c r="A118" s="54"/>
      <c r="B118" s="5" t="s">
        <v>56</v>
      </c>
      <c r="C118" s="5" t="s">
        <v>60</v>
      </c>
      <c r="D118" s="5" t="str">
        <f>VLOOKUP($B118,Letters!$C$29:$D$52,2,FALSE) &amp; VLOOKUP($C118,Letters!$C$29:$D$52,2,FALSE)</f>
        <v>FJ</v>
      </c>
      <c r="E118" s="61"/>
      <c r="F118" s="5"/>
      <c r="G118" s="55">
        <f t="shared" si="12"/>
        <v>0</v>
      </c>
      <c r="H118" s="55">
        <f t="shared" si="13"/>
        <v>0</v>
      </c>
      <c r="I118" s="56"/>
    </row>
    <row r="119" ht="13.5">
      <c r="A119" s="54"/>
      <c r="B119" s="5" t="s">
        <v>56</v>
      </c>
      <c r="C119" s="5" t="s">
        <v>62</v>
      </c>
      <c r="D119" s="5" t="str">
        <f>VLOOKUP($B119,Letters!$C$29:$D$52,2,FALSE) &amp; VLOOKUP($C119,Letters!$C$29:$D$52,2,FALSE)</f>
        <v>FK</v>
      </c>
      <c r="E119" s="61" t="s">
        <v>352</v>
      </c>
      <c r="F119" s="5" t="s">
        <v>353</v>
      </c>
      <c r="G119" s="55">
        <f t="shared" si="12"/>
        <v>8</v>
      </c>
      <c r="H119" s="55">
        <f t="shared" si="13"/>
        <v>8</v>
      </c>
      <c r="I119" s="56"/>
    </row>
    <row r="120" ht="13.5">
      <c r="A120" s="60"/>
      <c r="B120" s="5" t="s">
        <v>56</v>
      </c>
      <c r="C120" s="5" t="s">
        <v>63</v>
      </c>
      <c r="D120" s="5" t="str">
        <f>VLOOKUP($B120,Letters!$C$29:$D$52,2,FALSE) &amp; VLOOKUP($C120,Letters!$C$29:$D$52,2,FALSE)</f>
        <v>FL</v>
      </c>
      <c r="E120" s="61"/>
      <c r="F120" s="5"/>
      <c r="G120" s="55">
        <f t="shared" si="12"/>
        <v>0</v>
      </c>
      <c r="H120" s="55">
        <f t="shared" si="13"/>
        <v>0</v>
      </c>
      <c r="I120" s="56"/>
    </row>
    <row r="121" ht="13.5">
      <c r="A121" s="54"/>
      <c r="B121" s="5" t="s">
        <v>56</v>
      </c>
      <c r="C121" s="5" t="s">
        <v>64</v>
      </c>
      <c r="D121" s="5" t="str">
        <f>VLOOKUP($B121,Letters!$C$29:$D$52,2,FALSE) &amp; VLOOKUP($C121,Letters!$C$29:$D$52,2,FALSE)</f>
        <v>FM</v>
      </c>
      <c r="E121" s="61"/>
      <c r="F121" s="5"/>
      <c r="G121" s="55">
        <f t="shared" si="12"/>
        <v>0</v>
      </c>
      <c r="H121" s="55">
        <f t="shared" si="13"/>
        <v>0</v>
      </c>
      <c r="I121" s="56"/>
    </row>
    <row r="122" ht="13.5">
      <c r="A122" s="54"/>
      <c r="B122" s="5" t="s">
        <v>56</v>
      </c>
      <c r="C122" s="5" t="s">
        <v>65</v>
      </c>
      <c r="D122" s="5" t="str">
        <f>VLOOKUP($B122,Letters!$C$29:$D$52,2,FALSE) &amp; VLOOKUP($C122,Letters!$C$29:$D$52,2,FALSE)</f>
        <v>FN</v>
      </c>
      <c r="E122" s="61"/>
      <c r="F122" s="5"/>
      <c r="G122" s="55">
        <f t="shared" si="12"/>
        <v>0</v>
      </c>
      <c r="H122" s="55">
        <f t="shared" si="13"/>
        <v>0</v>
      </c>
      <c r="I122" s="56"/>
    </row>
    <row r="123" ht="13.5">
      <c r="A123" s="54"/>
      <c r="B123" s="5" t="s">
        <v>56</v>
      </c>
      <c r="C123" s="5" t="s">
        <v>66</v>
      </c>
      <c r="D123" s="5" t="str">
        <f>VLOOKUP($B123,Letters!$C$29:$D$52,2,FALSE) &amp; VLOOKUP($C123,Letters!$C$29:$D$52,2,FALSE)</f>
        <v>FO</v>
      </c>
      <c r="E123" s="61"/>
      <c r="F123" s="5"/>
      <c r="G123" s="55">
        <f t="shared" si="12"/>
        <v>0</v>
      </c>
      <c r="H123" s="55">
        <f t="shared" si="13"/>
        <v>0</v>
      </c>
      <c r="I123" s="56"/>
    </row>
    <row r="124" ht="13.5">
      <c r="A124" s="54"/>
      <c r="B124" s="5" t="s">
        <v>56</v>
      </c>
      <c r="C124" s="5" t="s">
        <v>67</v>
      </c>
      <c r="D124" s="5" t="str">
        <f>VLOOKUP($B124,Letters!$C$29:$D$52,2,FALSE) &amp; VLOOKUP($C124,Letters!$C$29:$D$52,2,FALSE)</f>
        <v>FP</v>
      </c>
      <c r="E124" s="61"/>
      <c r="F124" s="5"/>
      <c r="G124" s="55">
        <f t="shared" si="12"/>
        <v>0</v>
      </c>
      <c r="H124" s="55">
        <f t="shared" si="13"/>
        <v>0</v>
      </c>
      <c r="I124" s="56"/>
    </row>
    <row r="125" ht="13.5">
      <c r="A125" s="54"/>
      <c r="B125" s="5" t="s">
        <v>56</v>
      </c>
      <c r="C125" s="5" t="s">
        <v>68</v>
      </c>
      <c r="D125" s="5" t="str">
        <f>VLOOKUP($B125,Letters!$C$29:$D$52,2,FALSE) &amp; VLOOKUP($C125,Letters!$C$29:$D$52,2,FALSE)</f>
        <v>FW</v>
      </c>
      <c r="E125" s="61"/>
      <c r="F125" s="5"/>
      <c r="G125" s="55">
        <f t="shared" si="12"/>
        <v>0</v>
      </c>
      <c r="H125" s="55">
        <f t="shared" si="13"/>
        <v>0</v>
      </c>
      <c r="I125" s="56"/>
    </row>
    <row r="126" ht="13.5">
      <c r="A126" s="54"/>
      <c r="B126" s="5" t="s">
        <v>56</v>
      </c>
      <c r="C126" s="5" t="s">
        <v>69</v>
      </c>
      <c r="D126" s="5" t="str">
        <f>VLOOKUP($B126,Letters!$C$29:$D$52,2,FALSE) &amp; VLOOKUP($C126,Letters!$C$29:$D$52,2,FALSE)</f>
        <v>FR</v>
      </c>
      <c r="E126" s="61"/>
      <c r="F126" s="5"/>
      <c r="G126" s="55">
        <f t="shared" si="12"/>
        <v>0</v>
      </c>
      <c r="H126" s="55">
        <f t="shared" si="13"/>
        <v>0</v>
      </c>
      <c r="I126" s="56"/>
    </row>
    <row r="127" ht="13.5">
      <c r="A127" s="54"/>
      <c r="B127" s="5" t="s">
        <v>56</v>
      </c>
      <c r="C127" s="5" t="s">
        <v>70</v>
      </c>
      <c r="D127" s="5" t="str">
        <f>VLOOKUP($B127,Letters!$C$29:$D$52,2,FALSE) &amp; VLOOKUP($C127,Letters!$C$29:$D$52,2,FALSE)</f>
        <v>FS</v>
      </c>
      <c r="E127" s="61"/>
      <c r="F127" s="5"/>
      <c r="G127" s="55">
        <f t="shared" si="12"/>
        <v>0</v>
      </c>
      <c r="H127" s="55">
        <f t="shared" si="13"/>
        <v>0</v>
      </c>
      <c r="I127" s="56"/>
    </row>
    <row r="128" ht="13.5">
      <c r="A128" s="60"/>
      <c r="B128" s="5" t="s">
        <v>56</v>
      </c>
      <c r="C128" s="5" t="s">
        <v>72</v>
      </c>
      <c r="D128" s="5" t="str">
        <f>VLOOKUP($B128,Letters!$C$29:$D$52,2,FALSE) &amp; VLOOKUP($C128,Letters!$C$29:$D$52,2,FALSE)</f>
        <v>FU</v>
      </c>
      <c r="E128" s="61"/>
      <c r="F128" s="5"/>
      <c r="G128" s="55">
        <f t="shared" si="12"/>
        <v>0</v>
      </c>
      <c r="H128" s="55">
        <f t="shared" si="13"/>
        <v>0</v>
      </c>
      <c r="I128" s="56"/>
    </row>
    <row r="129" ht="13.5">
      <c r="A129" s="54"/>
      <c r="B129" s="5" t="s">
        <v>56</v>
      </c>
      <c r="C129" s="5" t="s">
        <v>73</v>
      </c>
      <c r="D129" s="5" t="str">
        <f>VLOOKUP($B129,Letters!$C$29:$D$52,2,FALSE) &amp; VLOOKUP($C129,Letters!$C$29:$D$52,2,FALSE)</f>
        <v>FV</v>
      </c>
      <c r="E129" s="61"/>
      <c r="F129" s="5"/>
      <c r="G129" s="55">
        <f t="shared" si="12"/>
        <v>0</v>
      </c>
      <c r="H129" s="55">
        <f t="shared" si="13"/>
        <v>0</v>
      </c>
      <c r="I129" s="56"/>
    </row>
    <row r="130" ht="13.5">
      <c r="A130" s="54"/>
      <c r="B130" s="5" t="s">
        <v>56</v>
      </c>
      <c r="C130" s="5" t="s">
        <v>75</v>
      </c>
      <c r="D130" s="5" t="str">
        <f>VLOOKUP($B130,Letters!$C$29:$D$52,2,FALSE) &amp; VLOOKUP($C130,Letters!$C$29:$D$52,2,FALSE)</f>
        <v>FI</v>
      </c>
      <c r="E130" s="61"/>
      <c r="F130" s="5"/>
      <c r="G130" s="55">
        <f t="shared" si="12"/>
        <v>0</v>
      </c>
      <c r="H130" s="55">
        <f t="shared" si="13"/>
        <v>0</v>
      </c>
      <c r="I130" s="56">
        <f>AVERAGE(H111:H130)</f>
        <v>0.4</v>
      </c>
    </row>
    <row r="131">
      <c r="A131" s="60"/>
      <c r="B131" s="5"/>
      <c r="C131" s="5"/>
      <c r="D131" s="5"/>
      <c r="E131" s="5"/>
      <c r="F131" s="5"/>
      <c r="G131" s="55"/>
      <c r="H131" s="55"/>
      <c r="I131" s="56"/>
    </row>
    <row r="132" ht="13.5">
      <c r="A132" s="54"/>
      <c r="B132" s="5" t="s">
        <v>57</v>
      </c>
      <c r="C132" s="5" t="s">
        <v>50</v>
      </c>
      <c r="D132" s="5" t="str">
        <f>VLOOKUP($B132,Letters!$C$29:$D$52,2,FALSE) &amp; VLOOKUP($C132,Letters!$C$29:$D$52,2,FALSE)</f>
        <v>GA</v>
      </c>
      <c r="E132" s="61"/>
      <c r="F132" s="5"/>
      <c r="G132" s="55">
        <f t="shared" ref="G132:G151" si="14">(len($F132)-len(SUBSTITUTE($F132,"R","")))+(len($F132)-len(SUBSTITUTE($F132,"L","")))+(len($F132)-len(SUBSTITUTE($F132,"U","")))+(len($F132)-len(SUBSTITUTE($F132,"D","")))+(len($F132)-len(SUBSTITUTE($F132,"F","")))+(len($F132)-len(SUBSTITUTE($F132,"B","")))+(len($F132)-len(SUBSTITUTE($F132,"M","")))+(len($F132)-len(SUBSTITUTE($F132,"S","")))+(len($F132)-len(SUBSTITUTE($F132,"E","")))</f>
        <v>0</v>
      </c>
      <c r="H132" s="55">
        <f t="shared" ref="H132:H151" si="15">(len($F132)-len(SUBSTITUTE($F132,"R","")))+(len($F132)-len(SUBSTITUTE($F132,"L","")))+(len($F132)-len(SUBSTITUTE($F132,"U","")))+(len($F132)-len(SUBSTITUTE($F132,"D","")))+(len($F132)-len(SUBSTITUTE($F132,"F","")))+(len($F132)-len(SUBSTITUTE($F132,"B","")))+(len($F132)-len(SUBSTITUTE($F132,"M","")))+(len($F132)-len(SUBSTITUTE($F132,"S","")))+(len($F132)-len(SUBSTITUTE($F132,"E","")))+(len($F132)-len(SUBSTITUTE($F132,"2","")))</f>
        <v>0</v>
      </c>
      <c r="I132" s="56"/>
    </row>
    <row r="133" ht="13.5">
      <c r="A133" s="54"/>
      <c r="B133" s="5" t="s">
        <v>57</v>
      </c>
      <c r="C133" s="5" t="s">
        <v>53</v>
      </c>
      <c r="D133" s="5" t="str">
        <f>VLOOKUP($B133,Letters!$C$29:$D$52,2,FALSE) &amp; VLOOKUP($C133,Letters!$C$29:$D$52,2,FALSE)</f>
        <v>GC</v>
      </c>
      <c r="E133" s="61"/>
      <c r="F133" s="5"/>
      <c r="G133" s="55">
        <f t="shared" si="14"/>
        <v>0</v>
      </c>
      <c r="H133" s="55">
        <f t="shared" si="15"/>
        <v>0</v>
      </c>
      <c r="I133" s="56"/>
    </row>
    <row r="134" ht="13.5">
      <c r="A134" s="54"/>
      <c r="B134" s="5" t="s">
        <v>57</v>
      </c>
      <c r="C134" s="5" t="s">
        <v>54</v>
      </c>
      <c r="D134" s="5" t="str">
        <f>VLOOKUP($B134,Letters!$C$29:$D$52,2,FALSE) &amp; VLOOKUP($C134,Letters!$C$29:$D$52,2,FALSE)</f>
        <v>GD</v>
      </c>
      <c r="E134" s="61"/>
      <c r="F134" s="5"/>
      <c r="G134" s="55">
        <f t="shared" si="14"/>
        <v>0</v>
      </c>
      <c r="H134" s="55">
        <f t="shared" si="15"/>
        <v>0</v>
      </c>
      <c r="I134" s="56"/>
    </row>
    <row r="135" ht="13.5">
      <c r="A135" s="54"/>
      <c r="B135" s="5" t="s">
        <v>57</v>
      </c>
      <c r="C135" s="5" t="s">
        <v>55</v>
      </c>
      <c r="D135" s="5" t="str">
        <f>VLOOKUP($B135,Letters!$C$29:$D$52,2,FALSE) &amp; VLOOKUP($C135,Letters!$C$29:$D$52,2,FALSE)</f>
        <v>GE</v>
      </c>
      <c r="E135" s="61"/>
      <c r="F135" s="5"/>
      <c r="G135" s="55">
        <f t="shared" si="14"/>
        <v>0</v>
      </c>
      <c r="H135" s="55">
        <f t="shared" si="15"/>
        <v>0</v>
      </c>
      <c r="I135" s="56"/>
    </row>
    <row r="136" ht="13.5">
      <c r="A136" s="54"/>
      <c r="B136" s="5" t="s">
        <v>57</v>
      </c>
      <c r="C136" s="5" t="s">
        <v>56</v>
      </c>
      <c r="D136" s="5" t="str">
        <f>VLOOKUP($B136,Letters!$C$29:$D$52,2,FALSE) &amp; VLOOKUP($C136,Letters!$C$29:$D$52,2,FALSE)</f>
        <v>GF</v>
      </c>
      <c r="E136" s="61"/>
      <c r="F136" s="5"/>
      <c r="G136" s="55">
        <f t="shared" si="14"/>
        <v>0</v>
      </c>
      <c r="H136" s="55">
        <f t="shared" si="15"/>
        <v>0</v>
      </c>
      <c r="I136" s="56"/>
    </row>
    <row r="137" ht="13.5">
      <c r="A137" s="54"/>
      <c r="B137" s="5" t="s">
        <v>57</v>
      </c>
      <c r="C137" s="5" t="s">
        <v>58</v>
      </c>
      <c r="D137" s="5" t="str">
        <f>VLOOKUP($B137,Letters!$C$29:$D$52,2,FALSE) &amp; VLOOKUP($C137,Letters!$C$29:$D$52,2,FALSE)</f>
        <v>GH</v>
      </c>
      <c r="E137" s="61" t="s">
        <v>354</v>
      </c>
      <c r="F137" s="5" t="s">
        <v>355</v>
      </c>
      <c r="G137" s="55">
        <f t="shared" si="14"/>
        <v>8</v>
      </c>
      <c r="H137" s="55">
        <f t="shared" si="15"/>
        <v>8</v>
      </c>
      <c r="I137" s="56"/>
    </row>
    <row r="138" ht="13.5">
      <c r="A138" s="54"/>
      <c r="B138" s="5" t="s">
        <v>57</v>
      </c>
      <c r="C138" s="5" t="s">
        <v>60</v>
      </c>
      <c r="D138" s="5" t="str">
        <f>VLOOKUP($B138,Letters!$C$29:$D$52,2,FALSE) &amp; VLOOKUP($C138,Letters!$C$29:$D$52,2,FALSE)</f>
        <v>GJ</v>
      </c>
      <c r="E138" s="61"/>
      <c r="F138" s="5"/>
      <c r="G138" s="55">
        <f t="shared" si="14"/>
        <v>0</v>
      </c>
      <c r="H138" s="55">
        <f t="shared" si="15"/>
        <v>0</v>
      </c>
      <c r="I138" s="56"/>
    </row>
    <row r="139" ht="13.5">
      <c r="A139" s="60"/>
      <c r="B139" s="5" t="s">
        <v>57</v>
      </c>
      <c r="C139" s="5" t="s">
        <v>62</v>
      </c>
      <c r="D139" s="5" t="str">
        <f>VLOOKUP($B139,Letters!$C$29:$D$52,2,FALSE) &amp; VLOOKUP($C139,Letters!$C$29:$D$52,2,FALSE)</f>
        <v>GK</v>
      </c>
      <c r="E139" s="61"/>
      <c r="F139" s="5"/>
      <c r="G139" s="55">
        <f t="shared" si="14"/>
        <v>0</v>
      </c>
      <c r="H139" s="55">
        <f t="shared" si="15"/>
        <v>0</v>
      </c>
      <c r="I139" s="56"/>
    </row>
    <row r="140" ht="13.5">
      <c r="A140" s="54"/>
      <c r="B140" s="5" t="s">
        <v>57</v>
      </c>
      <c r="C140" s="5" t="s">
        <v>63</v>
      </c>
      <c r="D140" s="5" t="str">
        <f>VLOOKUP($B140,Letters!$C$29:$D$52,2,FALSE) &amp; VLOOKUP($C140,Letters!$C$29:$D$52,2,FALSE)</f>
        <v>GL</v>
      </c>
      <c r="E140" s="61"/>
      <c r="F140" s="5"/>
      <c r="G140" s="55">
        <f t="shared" si="14"/>
        <v>0</v>
      </c>
      <c r="H140" s="55">
        <f t="shared" si="15"/>
        <v>0</v>
      </c>
      <c r="I140" s="56"/>
    </row>
    <row r="141" ht="13.5">
      <c r="A141" s="54"/>
      <c r="B141" s="5" t="s">
        <v>57</v>
      </c>
      <c r="C141" s="5" t="s">
        <v>64</v>
      </c>
      <c r="D141" s="5" t="str">
        <f>VLOOKUP($B141,Letters!$C$29:$D$52,2,FALSE) &amp; VLOOKUP($C141,Letters!$C$29:$D$52,2,FALSE)</f>
        <v>GM</v>
      </c>
      <c r="E141" s="5" t="s">
        <v>356</v>
      </c>
      <c r="F141" s="5" t="s">
        <v>357</v>
      </c>
      <c r="G141" s="55">
        <f t="shared" si="14"/>
        <v>9</v>
      </c>
      <c r="H141" s="55">
        <f t="shared" si="15"/>
        <v>10</v>
      </c>
      <c r="I141" s="56"/>
    </row>
    <row r="142" ht="13.5">
      <c r="A142" s="54"/>
      <c r="B142" s="5" t="s">
        <v>57</v>
      </c>
      <c r="C142" s="5" t="s">
        <v>65</v>
      </c>
      <c r="D142" s="5" t="str">
        <f>VLOOKUP($B142,Letters!$C$29:$D$52,2,FALSE) &amp; VLOOKUP($C142,Letters!$C$29:$D$52,2,FALSE)</f>
        <v>GN</v>
      </c>
      <c r="E142" s="61"/>
      <c r="F142" s="5"/>
      <c r="G142" s="55">
        <f t="shared" si="14"/>
        <v>0</v>
      </c>
      <c r="H142" s="55">
        <f t="shared" si="15"/>
        <v>0</v>
      </c>
      <c r="I142" s="56"/>
    </row>
    <row r="143" ht="13.5">
      <c r="A143" s="54"/>
      <c r="B143" s="5" t="s">
        <v>57</v>
      </c>
      <c r="C143" s="5" t="s">
        <v>66</v>
      </c>
      <c r="D143" s="5" t="str">
        <f>VLOOKUP($B143,Letters!$C$29:$D$52,2,FALSE) &amp; VLOOKUP($C143,Letters!$C$29:$D$52,2,FALSE)</f>
        <v>GO</v>
      </c>
      <c r="E143" s="61"/>
      <c r="F143" s="5"/>
      <c r="G143" s="55">
        <f t="shared" si="14"/>
        <v>0</v>
      </c>
      <c r="H143" s="55">
        <f t="shared" si="15"/>
        <v>0</v>
      </c>
      <c r="I143" s="56"/>
    </row>
    <row r="144" ht="13.5">
      <c r="A144" s="54"/>
      <c r="B144" s="5" t="s">
        <v>57</v>
      </c>
      <c r="C144" s="5" t="s">
        <v>67</v>
      </c>
      <c r="D144" s="5" t="str">
        <f>VLOOKUP($B144,Letters!$C$29:$D$52,2,FALSE) &amp; VLOOKUP($C144,Letters!$C$29:$D$52,2,FALSE)</f>
        <v>GP</v>
      </c>
      <c r="E144" s="61"/>
      <c r="F144" s="5"/>
      <c r="G144" s="55">
        <f t="shared" si="14"/>
        <v>0</v>
      </c>
      <c r="H144" s="55">
        <f t="shared" si="15"/>
        <v>0</v>
      </c>
      <c r="I144" s="56"/>
    </row>
    <row r="145" ht="13.5">
      <c r="A145" s="54"/>
      <c r="B145" s="5" t="s">
        <v>57</v>
      </c>
      <c r="C145" s="5" t="s">
        <v>68</v>
      </c>
      <c r="D145" s="5" t="str">
        <f>VLOOKUP($B145,Letters!$C$29:$D$52,2,FALSE) &amp; VLOOKUP($C145,Letters!$C$29:$D$52,2,FALSE)</f>
        <v>GW</v>
      </c>
      <c r="E145" s="61"/>
      <c r="F145" s="5"/>
      <c r="G145" s="55">
        <f t="shared" si="14"/>
        <v>0</v>
      </c>
      <c r="H145" s="55">
        <f t="shared" si="15"/>
        <v>0</v>
      </c>
      <c r="I145" s="56"/>
    </row>
    <row r="146" ht="13.5">
      <c r="A146" s="54"/>
      <c r="B146" s="5" t="s">
        <v>57</v>
      </c>
      <c r="C146" s="5" t="s">
        <v>69</v>
      </c>
      <c r="D146" s="5" t="str">
        <f>VLOOKUP($B146,Letters!$C$29:$D$52,2,FALSE) &amp; VLOOKUP($C146,Letters!$C$29:$D$52,2,FALSE)</f>
        <v>GR</v>
      </c>
      <c r="E146" s="61"/>
      <c r="F146" s="5"/>
      <c r="G146" s="55">
        <f t="shared" si="14"/>
        <v>0</v>
      </c>
      <c r="H146" s="55">
        <f t="shared" si="15"/>
        <v>0</v>
      </c>
      <c r="I146" s="56"/>
    </row>
    <row r="147" ht="13.5">
      <c r="A147" s="60"/>
      <c r="B147" s="5" t="s">
        <v>57</v>
      </c>
      <c r="C147" s="5" t="s">
        <v>70</v>
      </c>
      <c r="D147" s="5" t="str">
        <f>VLOOKUP($B147,Letters!$C$29:$D$52,2,FALSE) &amp; VLOOKUP($C147,Letters!$C$29:$D$52,2,FALSE)</f>
        <v>GS</v>
      </c>
      <c r="E147" s="61"/>
      <c r="F147" s="5"/>
      <c r="G147" s="55">
        <f t="shared" si="14"/>
        <v>0</v>
      </c>
      <c r="H147" s="55">
        <f t="shared" si="15"/>
        <v>0</v>
      </c>
      <c r="I147" s="62"/>
    </row>
    <row r="148" ht="13.5">
      <c r="A148" s="54"/>
      <c r="B148" s="5" t="s">
        <v>57</v>
      </c>
      <c r="C148" s="5" t="s">
        <v>71</v>
      </c>
      <c r="D148" s="5" t="str">
        <f>VLOOKUP($B148,Letters!$C$29:$D$52,2,FALSE) &amp; VLOOKUP($C148,Letters!$C$29:$D$52,2,FALSE)</f>
        <v>GT</v>
      </c>
      <c r="E148" s="61"/>
      <c r="F148" s="5"/>
      <c r="G148" s="55">
        <f t="shared" si="14"/>
        <v>0</v>
      </c>
      <c r="H148" s="55">
        <f t="shared" si="15"/>
        <v>0</v>
      </c>
      <c r="I148" s="62"/>
    </row>
    <row r="149" ht="13.5">
      <c r="A149" s="54"/>
      <c r="B149" s="5" t="s">
        <v>57</v>
      </c>
      <c r="C149" s="5" t="s">
        <v>72</v>
      </c>
      <c r="D149" s="5" t="str">
        <f>VLOOKUP($B149,Letters!$C$29:$D$52,2,FALSE) &amp; VLOOKUP($C149,Letters!$C$29:$D$52,2,FALSE)</f>
        <v>GU</v>
      </c>
      <c r="E149" s="61"/>
      <c r="F149" s="5"/>
      <c r="G149" s="55">
        <f t="shared" si="14"/>
        <v>0</v>
      </c>
      <c r="H149" s="55">
        <f t="shared" si="15"/>
        <v>0</v>
      </c>
      <c r="I149" s="56"/>
    </row>
    <row r="150" ht="13.5">
      <c r="A150" s="60"/>
      <c r="B150" s="5" t="s">
        <v>57</v>
      </c>
      <c r="C150" s="5" t="s">
        <v>73</v>
      </c>
      <c r="D150" s="5" t="str">
        <f>VLOOKUP($B150,Letters!$C$29:$D$52,2,FALSE) &amp; VLOOKUP($C150,Letters!$C$29:$D$52,2,FALSE)</f>
        <v>GV</v>
      </c>
      <c r="E150" s="5" t="s">
        <v>358</v>
      </c>
      <c r="F150" s="5" t="s">
        <v>359</v>
      </c>
      <c r="G150" s="55">
        <f t="shared" si="14"/>
        <v>8</v>
      </c>
      <c r="H150" s="55">
        <f t="shared" si="15"/>
        <v>8</v>
      </c>
      <c r="I150" s="56"/>
    </row>
    <row r="151" ht="13.5">
      <c r="A151" s="54"/>
      <c r="B151" s="5" t="s">
        <v>57</v>
      </c>
      <c r="C151" s="5" t="s">
        <v>75</v>
      </c>
      <c r="D151" s="5" t="str">
        <f>VLOOKUP($B151,Letters!$C$29:$D$52,2,FALSE) &amp; VLOOKUP($C151,Letters!$C$29:$D$52,2,FALSE)</f>
        <v>GI</v>
      </c>
      <c r="E151" s="61"/>
      <c r="F151" s="5"/>
      <c r="G151" s="55">
        <f t="shared" si="14"/>
        <v>0</v>
      </c>
      <c r="H151" s="55">
        <f t="shared" si="15"/>
        <v>0</v>
      </c>
      <c r="I151" s="56">
        <f>AVERAGE(H132:H151)</f>
        <v>1.3</v>
      </c>
    </row>
    <row r="152">
      <c r="A152" s="54"/>
      <c r="B152" s="5"/>
      <c r="C152" s="5"/>
      <c r="D152" s="5"/>
      <c r="E152" s="5"/>
      <c r="F152" s="5"/>
      <c r="G152" s="55"/>
      <c r="H152" s="55"/>
      <c r="I152" s="56"/>
    </row>
    <row r="153" ht="13.5">
      <c r="A153" s="54"/>
      <c r="B153" s="5" t="s">
        <v>58</v>
      </c>
      <c r="C153" s="5" t="s">
        <v>50</v>
      </c>
      <c r="D153" s="5" t="str">
        <f>VLOOKUP($B153,Letters!$C$29:$D$52,2,FALSE) &amp; VLOOKUP($C153,Letters!$C$29:$D$52,2,FALSE)</f>
        <v>HA</v>
      </c>
      <c r="E153" s="61"/>
      <c r="F153" s="5"/>
      <c r="G153" s="55">
        <f t="shared" ref="G153:G172" si="16">(len($F153)-len(SUBSTITUTE($F153,"R","")))+(len($F153)-len(SUBSTITUTE($F153,"L","")))+(len($F153)-len(SUBSTITUTE($F153,"U","")))+(len($F153)-len(SUBSTITUTE($F153,"D","")))+(len($F153)-len(SUBSTITUTE($F153,"F","")))+(len($F153)-len(SUBSTITUTE($F153,"B","")))+(len($F153)-len(SUBSTITUTE($F153,"M","")))+(len($F153)-len(SUBSTITUTE($F153,"S","")))+(len($F153)-len(SUBSTITUTE($F153,"E","")))</f>
        <v>0</v>
      </c>
      <c r="H153" s="55">
        <f t="shared" ref="H153:H172" si="17">(len($F153)-len(SUBSTITUTE($F153,"R","")))+(len($F153)-len(SUBSTITUTE($F153,"L","")))+(len($F153)-len(SUBSTITUTE($F153,"U","")))+(len($F153)-len(SUBSTITUTE($F153,"D","")))+(len($F153)-len(SUBSTITUTE($F153,"F","")))+(len($F153)-len(SUBSTITUTE($F153,"B","")))+(len($F153)-len(SUBSTITUTE($F153,"M","")))+(len($F153)-len(SUBSTITUTE($F153,"S","")))+(len($F153)-len(SUBSTITUTE($F153,"E","")))+(len($F153)-len(SUBSTITUTE($F153,"2","")))</f>
        <v>0</v>
      </c>
      <c r="I153" s="56"/>
    </row>
    <row r="154" ht="13.5">
      <c r="A154" s="54"/>
      <c r="B154" s="5" t="s">
        <v>58</v>
      </c>
      <c r="C154" s="5" t="s">
        <v>52</v>
      </c>
      <c r="D154" s="5" t="str">
        <f>VLOOKUP($B154,Letters!$C$29:$D$52,2,FALSE) &amp; VLOOKUP($C154,Letters!$C$29:$D$52,2,FALSE)</f>
        <v>HB</v>
      </c>
      <c r="E154" s="61" t="s">
        <v>360</v>
      </c>
      <c r="F154" s="5" t="s">
        <v>361</v>
      </c>
      <c r="G154" s="55">
        <f t="shared" si="16"/>
        <v>11</v>
      </c>
      <c r="H154" s="55">
        <f t="shared" si="17"/>
        <v>12</v>
      </c>
      <c r="I154" s="56"/>
    </row>
    <row r="155" ht="13.5">
      <c r="A155" s="54"/>
      <c r="B155" s="5" t="s">
        <v>58</v>
      </c>
      <c r="C155" s="5" t="s">
        <v>53</v>
      </c>
      <c r="D155" s="5" t="str">
        <f>VLOOKUP($B155,Letters!$C$29:$D$52,2,FALSE) &amp; VLOOKUP($C155,Letters!$C$29:$D$52,2,FALSE)</f>
        <v>HC</v>
      </c>
      <c r="E155" s="61"/>
      <c r="F155" s="5"/>
      <c r="G155" s="55">
        <f t="shared" si="16"/>
        <v>0</v>
      </c>
      <c r="H155" s="55">
        <f t="shared" si="17"/>
        <v>0</v>
      </c>
      <c r="I155" s="56"/>
    </row>
    <row r="156" ht="13.5">
      <c r="A156" s="54"/>
      <c r="B156" s="5" t="s">
        <v>58</v>
      </c>
      <c r="C156" s="5" t="s">
        <v>54</v>
      </c>
      <c r="D156" s="5" t="str">
        <f>VLOOKUP($B156,Letters!$C$29:$D$52,2,FALSE) &amp; VLOOKUP($C156,Letters!$C$29:$D$52,2,FALSE)</f>
        <v>HD</v>
      </c>
      <c r="E156" s="61"/>
      <c r="F156" s="5"/>
      <c r="G156" s="55">
        <f t="shared" si="16"/>
        <v>0</v>
      </c>
      <c r="H156" s="55">
        <f t="shared" si="17"/>
        <v>0</v>
      </c>
      <c r="I156" s="56"/>
    </row>
    <row r="157" ht="13.5">
      <c r="A157" s="54"/>
      <c r="B157" s="5" t="s">
        <v>58</v>
      </c>
      <c r="C157" s="5" t="s">
        <v>55</v>
      </c>
      <c r="D157" s="5" t="str">
        <f>VLOOKUP($B157,Letters!$C$29:$D$52,2,FALSE) &amp; VLOOKUP($C157,Letters!$C$29:$D$52,2,FALSE)</f>
        <v>HE</v>
      </c>
      <c r="E157" s="61"/>
      <c r="F157" s="5"/>
      <c r="G157" s="55">
        <f t="shared" si="16"/>
        <v>0</v>
      </c>
      <c r="H157" s="55">
        <f t="shared" si="17"/>
        <v>0</v>
      </c>
      <c r="I157" s="56"/>
    </row>
    <row r="158" ht="13.5">
      <c r="A158" s="60"/>
      <c r="B158" s="5" t="s">
        <v>58</v>
      </c>
      <c r="C158" s="5" t="s">
        <v>56</v>
      </c>
      <c r="D158" s="5" t="str">
        <f>VLOOKUP($B158,Letters!$C$29:$D$52,2,FALSE) &amp; VLOOKUP($C158,Letters!$C$29:$D$52,2,FALSE)</f>
        <v>HF</v>
      </c>
      <c r="E158" s="61"/>
      <c r="F158" s="5"/>
      <c r="G158" s="55">
        <f t="shared" si="16"/>
        <v>0</v>
      </c>
      <c r="H158" s="55">
        <f t="shared" si="17"/>
        <v>0</v>
      </c>
      <c r="I158" s="56"/>
    </row>
    <row r="159" ht="13.5">
      <c r="A159" s="54"/>
      <c r="B159" s="5" t="s">
        <v>58</v>
      </c>
      <c r="C159" s="5" t="s">
        <v>57</v>
      </c>
      <c r="D159" s="5" t="str">
        <f>VLOOKUP($B159,Letters!$C$29:$D$52,2,FALSE) &amp; VLOOKUP($C159,Letters!$C$29:$D$52,2,FALSE)</f>
        <v>HG</v>
      </c>
      <c r="E159" s="61"/>
      <c r="F159" s="5"/>
      <c r="G159" s="55">
        <f t="shared" si="16"/>
        <v>0</v>
      </c>
      <c r="H159" s="55">
        <f t="shared" si="17"/>
        <v>0</v>
      </c>
      <c r="I159" s="56"/>
    </row>
    <row r="160" ht="13.5">
      <c r="A160" s="54"/>
      <c r="B160" s="5" t="s">
        <v>58</v>
      </c>
      <c r="C160" s="5" t="s">
        <v>62</v>
      </c>
      <c r="D160" s="5" t="str">
        <f>VLOOKUP($B160,Letters!$C$29:$D$52,2,FALSE) &amp; VLOOKUP($C160,Letters!$C$29:$D$52,2,FALSE)</f>
        <v>HK</v>
      </c>
      <c r="E160" s="61"/>
      <c r="F160" s="5"/>
      <c r="G160" s="55">
        <f t="shared" si="16"/>
        <v>0</v>
      </c>
      <c r="H160" s="55">
        <f t="shared" si="17"/>
        <v>0</v>
      </c>
      <c r="I160" s="56"/>
    </row>
    <row r="161" ht="13.5">
      <c r="A161" s="54"/>
      <c r="B161" s="5" t="s">
        <v>58</v>
      </c>
      <c r="C161" s="5" t="s">
        <v>63</v>
      </c>
      <c r="D161" s="5" t="str">
        <f>VLOOKUP($B161,Letters!$C$29:$D$52,2,FALSE) &amp; VLOOKUP($C161,Letters!$C$29:$D$52,2,FALSE)</f>
        <v>HL</v>
      </c>
      <c r="E161" s="61"/>
      <c r="F161" s="5"/>
      <c r="G161" s="55">
        <f t="shared" si="16"/>
        <v>0</v>
      </c>
      <c r="H161" s="55">
        <f t="shared" si="17"/>
        <v>0</v>
      </c>
      <c r="I161" s="56"/>
    </row>
    <row r="162" ht="13.5">
      <c r="A162" s="60"/>
      <c r="B162" s="5" t="s">
        <v>58</v>
      </c>
      <c r="C162" s="5" t="s">
        <v>64</v>
      </c>
      <c r="D162" s="5" t="str">
        <f>VLOOKUP($B162,Letters!$C$29:$D$52,2,FALSE) &amp; VLOOKUP($C162,Letters!$C$29:$D$52,2,FALSE)</f>
        <v>HM</v>
      </c>
      <c r="E162" s="61"/>
      <c r="F162" s="5"/>
      <c r="G162" s="55">
        <f t="shared" si="16"/>
        <v>0</v>
      </c>
      <c r="H162" s="55">
        <f t="shared" si="17"/>
        <v>0</v>
      </c>
      <c r="I162" s="56"/>
    </row>
    <row r="163" ht="13.5">
      <c r="A163" s="54"/>
      <c r="B163" s="5" t="s">
        <v>58</v>
      </c>
      <c r="C163" s="5" t="s">
        <v>65</v>
      </c>
      <c r="D163" s="5" t="str">
        <f>VLOOKUP($B163,Letters!$C$29:$D$52,2,FALSE) &amp; VLOOKUP($C163,Letters!$C$29:$D$52,2,FALSE)</f>
        <v>HN</v>
      </c>
      <c r="E163" s="61"/>
      <c r="F163" s="5"/>
      <c r="G163" s="55">
        <f t="shared" si="16"/>
        <v>0</v>
      </c>
      <c r="H163" s="55">
        <f t="shared" si="17"/>
        <v>0</v>
      </c>
      <c r="I163" s="56"/>
    </row>
    <row r="164" ht="13.5">
      <c r="A164" s="54"/>
      <c r="B164" s="5" t="s">
        <v>58</v>
      </c>
      <c r="C164" s="5" t="s">
        <v>66</v>
      </c>
      <c r="D164" s="5" t="str">
        <f>VLOOKUP($B164,Letters!$C$29:$D$52,2,FALSE) &amp; VLOOKUP($C164,Letters!$C$29:$D$52,2,FALSE)</f>
        <v>HO</v>
      </c>
      <c r="E164" s="61"/>
      <c r="F164" s="5"/>
      <c r="G164" s="55">
        <f t="shared" si="16"/>
        <v>0</v>
      </c>
      <c r="H164" s="55">
        <f t="shared" si="17"/>
        <v>0</v>
      </c>
      <c r="I164" s="56"/>
    </row>
    <row r="165" ht="13.5">
      <c r="A165" s="54"/>
      <c r="B165" s="5" t="s">
        <v>58</v>
      </c>
      <c r="C165" s="5" t="s">
        <v>67</v>
      </c>
      <c r="D165" s="5" t="str">
        <f>VLOOKUP($B165,Letters!$C$29:$D$52,2,FALSE) &amp; VLOOKUP($C165,Letters!$C$29:$D$52,2,FALSE)</f>
        <v>HP</v>
      </c>
      <c r="E165" s="61"/>
      <c r="F165" s="5"/>
      <c r="G165" s="55">
        <f t="shared" si="16"/>
        <v>0</v>
      </c>
      <c r="H165" s="55">
        <f t="shared" si="17"/>
        <v>0</v>
      </c>
      <c r="I165" s="56"/>
    </row>
    <row r="166" ht="13.5">
      <c r="A166" s="54"/>
      <c r="B166" s="5" t="s">
        <v>58</v>
      </c>
      <c r="C166" s="5" t="s">
        <v>68</v>
      </c>
      <c r="D166" s="5" t="str">
        <f>VLOOKUP($B166,Letters!$C$29:$D$52,2,FALSE) &amp; VLOOKUP($C166,Letters!$C$29:$D$52,2,FALSE)</f>
        <v>HW</v>
      </c>
      <c r="E166" s="61"/>
      <c r="F166" s="5"/>
      <c r="G166" s="55">
        <f t="shared" si="16"/>
        <v>0</v>
      </c>
      <c r="H166" s="55">
        <f t="shared" si="17"/>
        <v>0</v>
      </c>
      <c r="I166" s="56"/>
    </row>
    <row r="167" ht="13.5">
      <c r="A167" s="54"/>
      <c r="B167" s="5" t="s">
        <v>58</v>
      </c>
      <c r="C167" s="5" t="s">
        <v>69</v>
      </c>
      <c r="D167" s="5" t="str">
        <f>VLOOKUP($B167,Letters!$C$29:$D$52,2,FALSE) &amp; VLOOKUP($C167,Letters!$C$29:$D$52,2,FALSE)</f>
        <v>HR</v>
      </c>
      <c r="E167" s="61"/>
      <c r="F167" s="5"/>
      <c r="G167" s="55">
        <f t="shared" si="16"/>
        <v>0</v>
      </c>
      <c r="H167" s="55">
        <f t="shared" si="17"/>
        <v>0</v>
      </c>
      <c r="I167" s="56"/>
    </row>
    <row r="168" ht="13.5">
      <c r="A168" s="60"/>
      <c r="B168" s="5" t="s">
        <v>58</v>
      </c>
      <c r="C168" s="5" t="s">
        <v>70</v>
      </c>
      <c r="D168" s="5" t="str">
        <f>VLOOKUP($B168,Letters!$C$29:$D$52,2,FALSE) &amp; VLOOKUP($C168,Letters!$C$29:$D$52,2,FALSE)</f>
        <v>HS</v>
      </c>
      <c r="E168" s="61"/>
      <c r="F168" s="5"/>
      <c r="G168" s="55">
        <f t="shared" si="16"/>
        <v>0</v>
      </c>
      <c r="H168" s="55">
        <f t="shared" si="17"/>
        <v>0</v>
      </c>
      <c r="I168" s="56"/>
    </row>
    <row r="169" ht="13.5">
      <c r="A169" s="60"/>
      <c r="B169" s="5" t="s">
        <v>58</v>
      </c>
      <c r="C169" s="5" t="s">
        <v>71</v>
      </c>
      <c r="D169" s="5" t="str">
        <f>VLOOKUP($B169,Letters!$C$29:$D$52,2,FALSE) &amp; VLOOKUP($C169,Letters!$C$29:$D$52,2,FALSE)</f>
        <v>HT</v>
      </c>
      <c r="E169" s="61"/>
      <c r="F169" s="5"/>
      <c r="G169" s="55">
        <f t="shared" si="16"/>
        <v>0</v>
      </c>
      <c r="H169" s="55">
        <f t="shared" si="17"/>
        <v>0</v>
      </c>
      <c r="I169" s="56"/>
    </row>
    <row r="170" ht="13.5">
      <c r="A170" s="60"/>
      <c r="B170" s="5" t="s">
        <v>58</v>
      </c>
      <c r="C170" s="5" t="s">
        <v>72</v>
      </c>
      <c r="D170" s="5" t="str">
        <f>VLOOKUP($B170,Letters!$C$29:$D$52,2,FALSE) &amp; VLOOKUP($C170,Letters!$C$29:$D$52,2,FALSE)</f>
        <v>HU</v>
      </c>
      <c r="E170" s="61"/>
      <c r="F170" s="5"/>
      <c r="G170" s="55">
        <f t="shared" si="16"/>
        <v>0</v>
      </c>
      <c r="H170" s="55">
        <f t="shared" si="17"/>
        <v>0</v>
      </c>
      <c r="I170" s="56"/>
    </row>
    <row r="171" ht="13.5">
      <c r="A171" s="60"/>
      <c r="B171" s="5" t="s">
        <v>58</v>
      </c>
      <c r="C171" s="5" t="s">
        <v>73</v>
      </c>
      <c r="D171" s="5" t="str">
        <f>VLOOKUP($B171,Letters!$C$29:$D$52,2,FALSE) &amp; VLOOKUP($C171,Letters!$C$29:$D$52,2,FALSE)</f>
        <v>HV</v>
      </c>
      <c r="E171" s="61"/>
      <c r="F171" s="5"/>
      <c r="G171" s="55">
        <f t="shared" si="16"/>
        <v>0</v>
      </c>
      <c r="H171" s="55">
        <f t="shared" si="17"/>
        <v>0</v>
      </c>
      <c r="I171" s="56"/>
    </row>
    <row r="172" ht="13.5">
      <c r="A172" s="54"/>
      <c r="B172" s="5" t="s">
        <v>58</v>
      </c>
      <c r="C172" s="5" t="s">
        <v>75</v>
      </c>
      <c r="D172" s="5" t="str">
        <f>VLOOKUP($B172,Letters!$C$29:$D$52,2,FALSE) &amp; VLOOKUP($C172,Letters!$C$29:$D$52,2,FALSE)</f>
        <v>HI</v>
      </c>
      <c r="E172" s="61"/>
      <c r="F172" s="5"/>
      <c r="G172" s="55">
        <f t="shared" si="16"/>
        <v>0</v>
      </c>
      <c r="H172" s="55">
        <f t="shared" si="17"/>
        <v>0</v>
      </c>
      <c r="I172" s="56">
        <f>AVERAGE(H153:H172)</f>
        <v>0.6</v>
      </c>
    </row>
    <row r="173">
      <c r="A173" s="54"/>
      <c r="B173" s="5"/>
      <c r="C173" s="5"/>
      <c r="D173" s="5"/>
      <c r="E173" s="5"/>
      <c r="F173" s="5"/>
      <c r="G173" s="55"/>
      <c r="H173" s="55"/>
      <c r="I173" s="56"/>
    </row>
    <row r="174" ht="13.5">
      <c r="A174" s="54"/>
      <c r="B174" s="5" t="s">
        <v>60</v>
      </c>
      <c r="C174" s="5" t="s">
        <v>50</v>
      </c>
      <c r="D174" s="5" t="str">
        <f>VLOOKUP($B174,Letters!$C$29:$D$52,2,FALSE) &amp; VLOOKUP($C174,Letters!$C$29:$D$52,2,FALSE)</f>
        <v>JA</v>
      </c>
      <c r="E174" s="61" t="s">
        <v>362</v>
      </c>
      <c r="F174" s="5" t="s">
        <v>363</v>
      </c>
      <c r="G174" s="55">
        <f t="shared" ref="G174:G193" si="18">(len($F174)-len(SUBSTITUTE($F174,"R","")))+(len($F174)-len(SUBSTITUTE($F174,"L","")))+(len($F174)-len(SUBSTITUTE($F174,"U","")))+(len($F174)-len(SUBSTITUTE($F174,"D","")))+(len($F174)-len(SUBSTITUTE($F174,"F","")))+(len($F174)-len(SUBSTITUTE($F174,"B","")))+(len($F174)-len(SUBSTITUTE($F174,"M","")))+(len($F174)-len(SUBSTITUTE($F174,"S","")))+(len($F174)-len(SUBSTITUTE($F174,"E","")))</f>
        <v>9</v>
      </c>
      <c r="H174" s="55">
        <f t="shared" ref="H174:H193" si="19">(len($F174)-len(SUBSTITUTE($F174,"R","")))+(len($F174)-len(SUBSTITUTE($F174,"L","")))+(len($F174)-len(SUBSTITUTE($F174,"U","")))+(len($F174)-len(SUBSTITUTE($F174,"D","")))+(len($F174)-len(SUBSTITUTE($F174,"F","")))+(len($F174)-len(SUBSTITUTE($F174,"B","")))+(len($F174)-len(SUBSTITUTE($F174,"M","")))+(len($F174)-len(SUBSTITUTE($F174,"S","")))+(len($F174)-len(SUBSTITUTE($F174,"E","")))+(len($F174)-len(SUBSTITUTE($F174,"2","")))</f>
        <v>10</v>
      </c>
      <c r="I174" s="56"/>
    </row>
    <row r="175" ht="13.5">
      <c r="A175" s="54"/>
      <c r="B175" s="5" t="s">
        <v>60</v>
      </c>
      <c r="C175" s="5" t="s">
        <v>52</v>
      </c>
      <c r="D175" s="5" t="str">
        <f>VLOOKUP($B175,Letters!$C$29:$D$52,2,FALSE) &amp; VLOOKUP($C175,Letters!$C$29:$D$52,2,FALSE)</f>
        <v>JB</v>
      </c>
      <c r="E175" s="61"/>
      <c r="F175" s="5"/>
      <c r="G175" s="55">
        <f t="shared" si="18"/>
        <v>0</v>
      </c>
      <c r="H175" s="55">
        <f t="shared" si="19"/>
        <v>0</v>
      </c>
      <c r="I175" s="56"/>
    </row>
    <row r="176" ht="13.5">
      <c r="A176" s="54"/>
      <c r="B176" s="5" t="s">
        <v>60</v>
      </c>
      <c r="C176" s="5" t="s">
        <v>53</v>
      </c>
      <c r="D176" s="5" t="str">
        <f>VLOOKUP($B176,Letters!$C$29:$D$52,2,FALSE) &amp; VLOOKUP($C176,Letters!$C$29:$D$52,2,FALSE)</f>
        <v>JC</v>
      </c>
      <c r="E176" s="61"/>
      <c r="F176" s="5"/>
      <c r="G176" s="55">
        <f t="shared" si="18"/>
        <v>0</v>
      </c>
      <c r="H176" s="55">
        <f t="shared" si="19"/>
        <v>0</v>
      </c>
      <c r="I176" s="56"/>
    </row>
    <row r="177" ht="13.5">
      <c r="A177" s="60"/>
      <c r="B177" s="5" t="s">
        <v>60</v>
      </c>
      <c r="C177" s="5" t="s">
        <v>54</v>
      </c>
      <c r="D177" s="5" t="str">
        <f>VLOOKUP($B177,Letters!$C$29:$D$52,2,FALSE) &amp; VLOOKUP($C177,Letters!$C$29:$D$52,2,FALSE)</f>
        <v>JD</v>
      </c>
      <c r="E177" s="61"/>
      <c r="F177" s="5"/>
      <c r="G177" s="55">
        <f t="shared" si="18"/>
        <v>0</v>
      </c>
      <c r="H177" s="55">
        <f t="shared" si="19"/>
        <v>0</v>
      </c>
      <c r="I177" s="56"/>
    </row>
    <row r="178" ht="13.5">
      <c r="A178" s="54"/>
      <c r="B178" s="5" t="s">
        <v>60</v>
      </c>
      <c r="C178" s="5" t="s">
        <v>55</v>
      </c>
      <c r="D178" s="5" t="str">
        <f>VLOOKUP($B178,Letters!$C$29:$D$52,2,FALSE) &amp; VLOOKUP($C178,Letters!$C$29:$D$52,2,FALSE)</f>
        <v>JE</v>
      </c>
      <c r="E178" s="61"/>
      <c r="F178" s="5"/>
      <c r="G178" s="55">
        <f t="shared" si="18"/>
        <v>0</v>
      </c>
      <c r="H178" s="55">
        <f t="shared" si="19"/>
        <v>0</v>
      </c>
      <c r="I178" s="56"/>
    </row>
    <row r="179" ht="13.5">
      <c r="A179" s="54"/>
      <c r="B179" s="5" t="s">
        <v>60</v>
      </c>
      <c r="C179" s="5" t="s">
        <v>56</v>
      </c>
      <c r="D179" s="5" t="str">
        <f>VLOOKUP($B179,Letters!$C$29:$D$52,2,FALSE) &amp; VLOOKUP($C179,Letters!$C$29:$D$52,2,FALSE)</f>
        <v>JF</v>
      </c>
      <c r="E179" s="61"/>
      <c r="F179" s="5"/>
      <c r="G179" s="55">
        <f t="shared" si="18"/>
        <v>0</v>
      </c>
      <c r="H179" s="55">
        <f t="shared" si="19"/>
        <v>0</v>
      </c>
      <c r="I179" s="56"/>
    </row>
    <row r="180" ht="13.5">
      <c r="A180" s="54"/>
      <c r="B180" s="5" t="s">
        <v>60</v>
      </c>
      <c r="C180" s="5" t="s">
        <v>57</v>
      </c>
      <c r="D180" s="5" t="str">
        <f>VLOOKUP($B180,Letters!$C$29:$D$52,2,FALSE) &amp; VLOOKUP($C180,Letters!$C$29:$D$52,2,FALSE)</f>
        <v>JG</v>
      </c>
      <c r="E180" s="61"/>
      <c r="F180" s="5"/>
      <c r="G180" s="55">
        <f t="shared" si="18"/>
        <v>0</v>
      </c>
      <c r="H180" s="55">
        <f t="shared" si="19"/>
        <v>0</v>
      </c>
      <c r="I180" s="56"/>
    </row>
    <row r="181" ht="13.5">
      <c r="A181" s="60"/>
      <c r="B181" s="5" t="s">
        <v>60</v>
      </c>
      <c r="C181" s="5" t="s">
        <v>62</v>
      </c>
      <c r="D181" s="5" t="str">
        <f>VLOOKUP($B181,Letters!$C$29:$D$52,2,FALSE) &amp; VLOOKUP($C181,Letters!$C$29:$D$52,2,FALSE)</f>
        <v>JK</v>
      </c>
      <c r="E181" s="61"/>
      <c r="F181" s="5"/>
      <c r="G181" s="55">
        <f t="shared" si="18"/>
        <v>0</v>
      </c>
      <c r="H181" s="55">
        <f t="shared" si="19"/>
        <v>0</v>
      </c>
      <c r="I181" s="56"/>
    </row>
    <row r="182" ht="13.5">
      <c r="A182" s="54"/>
      <c r="B182" s="5" t="s">
        <v>60</v>
      </c>
      <c r="C182" s="5" t="s">
        <v>63</v>
      </c>
      <c r="D182" s="5" t="str">
        <f>VLOOKUP($B182,Letters!$C$29:$D$52,2,FALSE) &amp; VLOOKUP($C182,Letters!$C$29:$D$52,2,FALSE)</f>
        <v>JL</v>
      </c>
      <c r="E182" s="61"/>
      <c r="F182" s="5"/>
      <c r="G182" s="55">
        <f t="shared" si="18"/>
        <v>0</v>
      </c>
      <c r="H182" s="55">
        <f t="shared" si="19"/>
        <v>0</v>
      </c>
      <c r="I182" s="56"/>
    </row>
    <row r="183" ht="13.5">
      <c r="A183" s="54"/>
      <c r="B183" s="5" t="s">
        <v>60</v>
      </c>
      <c r="C183" s="5" t="s">
        <v>64</v>
      </c>
      <c r="D183" s="5" t="str">
        <f>VLOOKUP($B183,Letters!$C$29:$D$52,2,FALSE) &amp; VLOOKUP($C183,Letters!$C$29:$D$52,2,FALSE)</f>
        <v>JM</v>
      </c>
      <c r="E183" s="61"/>
      <c r="F183" s="5"/>
      <c r="G183" s="55">
        <f t="shared" si="18"/>
        <v>0</v>
      </c>
      <c r="H183" s="55">
        <f t="shared" si="19"/>
        <v>0</v>
      </c>
      <c r="I183" s="56"/>
    </row>
    <row r="184" ht="13.5">
      <c r="A184" s="54"/>
      <c r="B184" s="5" t="s">
        <v>60</v>
      </c>
      <c r="C184" s="5" t="s">
        <v>65</v>
      </c>
      <c r="D184" s="5" t="str">
        <f>VLOOKUP($B184,Letters!$C$29:$D$52,2,FALSE) &amp; VLOOKUP($C184,Letters!$C$29:$D$52,2,FALSE)</f>
        <v>JN</v>
      </c>
      <c r="E184" s="61"/>
      <c r="F184" s="5"/>
      <c r="G184" s="55">
        <f t="shared" si="18"/>
        <v>0</v>
      </c>
      <c r="H184" s="55">
        <f t="shared" si="19"/>
        <v>0</v>
      </c>
      <c r="I184" s="56"/>
    </row>
    <row r="185" ht="13.5">
      <c r="A185" s="54"/>
      <c r="B185" s="5" t="s">
        <v>60</v>
      </c>
      <c r="C185" s="5" t="s">
        <v>66</v>
      </c>
      <c r="D185" s="5" t="str">
        <f>VLOOKUP($B185,Letters!$C$29:$D$52,2,FALSE) &amp; VLOOKUP($C185,Letters!$C$29:$D$52,2,FALSE)</f>
        <v>JO</v>
      </c>
      <c r="E185" s="61"/>
      <c r="F185" s="5"/>
      <c r="G185" s="55">
        <f t="shared" si="18"/>
        <v>0</v>
      </c>
      <c r="H185" s="55">
        <f t="shared" si="19"/>
        <v>0</v>
      </c>
      <c r="I185" s="56"/>
    </row>
    <row r="186" ht="13.5">
      <c r="A186" s="60"/>
      <c r="B186" s="5" t="s">
        <v>60</v>
      </c>
      <c r="C186" s="5" t="s">
        <v>67</v>
      </c>
      <c r="D186" s="5" t="str">
        <f>VLOOKUP($B186,Letters!$C$29:$D$52,2,FALSE) &amp; VLOOKUP($C186,Letters!$C$29:$D$52,2,FALSE)</f>
        <v>JP</v>
      </c>
      <c r="E186" s="61"/>
      <c r="F186" s="5"/>
      <c r="G186" s="55">
        <f t="shared" si="18"/>
        <v>0</v>
      </c>
      <c r="H186" s="55">
        <f t="shared" si="19"/>
        <v>0</v>
      </c>
      <c r="I186" s="56"/>
    </row>
    <row r="187" ht="13.5">
      <c r="A187" s="54"/>
      <c r="B187" s="5" t="s">
        <v>60</v>
      </c>
      <c r="C187" s="5" t="s">
        <v>68</v>
      </c>
      <c r="D187" s="5" t="str">
        <f>VLOOKUP($B187,Letters!$C$29:$D$52,2,FALSE) &amp; VLOOKUP($C187,Letters!$C$29:$D$52,2,FALSE)</f>
        <v>JW</v>
      </c>
      <c r="E187" s="61"/>
      <c r="F187" s="5"/>
      <c r="G187" s="55">
        <f t="shared" si="18"/>
        <v>0</v>
      </c>
      <c r="H187" s="55">
        <f t="shared" si="19"/>
        <v>0</v>
      </c>
      <c r="I187" s="56"/>
    </row>
    <row r="188" ht="13.5">
      <c r="A188" s="60"/>
      <c r="B188" s="5" t="s">
        <v>60</v>
      </c>
      <c r="C188" s="5" t="s">
        <v>69</v>
      </c>
      <c r="D188" s="5" t="str">
        <f>VLOOKUP($B188,Letters!$C$29:$D$52,2,FALSE) &amp; VLOOKUP($C188,Letters!$C$29:$D$52,2,FALSE)</f>
        <v>JR</v>
      </c>
      <c r="E188" s="61"/>
      <c r="F188" s="5"/>
      <c r="G188" s="55">
        <f t="shared" si="18"/>
        <v>0</v>
      </c>
      <c r="H188" s="55">
        <f t="shared" si="19"/>
        <v>0</v>
      </c>
      <c r="I188" s="56"/>
    </row>
    <row r="189" ht="13.5">
      <c r="A189" s="60"/>
      <c r="B189" s="5" t="s">
        <v>60</v>
      </c>
      <c r="C189" s="5" t="s">
        <v>70</v>
      </c>
      <c r="D189" s="5" t="str">
        <f>VLOOKUP($B189,Letters!$C$29:$D$52,2,FALSE) &amp; VLOOKUP($C189,Letters!$C$29:$D$52,2,FALSE)</f>
        <v>JS</v>
      </c>
      <c r="E189" s="61"/>
      <c r="F189" s="5"/>
      <c r="G189" s="55">
        <f t="shared" si="18"/>
        <v>0</v>
      </c>
      <c r="H189" s="55">
        <f t="shared" si="19"/>
        <v>0</v>
      </c>
      <c r="I189" s="62"/>
    </row>
    <row r="190" ht="13.5">
      <c r="A190" s="54"/>
      <c r="B190" s="5" t="s">
        <v>60</v>
      </c>
      <c r="C190" s="5" t="s">
        <v>71</v>
      </c>
      <c r="D190" s="5" t="str">
        <f>VLOOKUP($B190,Letters!$C$29:$D$52,2,FALSE) &amp; VLOOKUP($C190,Letters!$C$29:$D$52,2,FALSE)</f>
        <v>JT</v>
      </c>
      <c r="E190" s="61"/>
      <c r="F190" s="5"/>
      <c r="G190" s="55">
        <f t="shared" si="18"/>
        <v>0</v>
      </c>
      <c r="H190" s="55">
        <f t="shared" si="19"/>
        <v>0</v>
      </c>
      <c r="I190" s="62"/>
    </row>
    <row r="191" ht="13.5">
      <c r="A191" s="60"/>
      <c r="B191" s="5" t="s">
        <v>60</v>
      </c>
      <c r="C191" s="5" t="s">
        <v>72</v>
      </c>
      <c r="D191" s="5" t="str">
        <f>VLOOKUP($B191,Letters!$C$29:$D$52,2,FALSE) &amp; VLOOKUP($C191,Letters!$C$29:$D$52,2,FALSE)</f>
        <v>JU</v>
      </c>
      <c r="E191" s="61"/>
      <c r="F191" s="5"/>
      <c r="G191" s="55">
        <f t="shared" si="18"/>
        <v>0</v>
      </c>
      <c r="H191" s="55">
        <f t="shared" si="19"/>
        <v>0</v>
      </c>
      <c r="I191" s="56"/>
    </row>
    <row r="192" ht="13.5">
      <c r="A192" s="54"/>
      <c r="B192" s="5" t="s">
        <v>60</v>
      </c>
      <c r="C192" s="5" t="s">
        <v>73</v>
      </c>
      <c r="D192" s="5" t="str">
        <f>VLOOKUP($B192,Letters!$C$29:$D$52,2,FALSE) &amp; VLOOKUP($C192,Letters!$C$29:$D$52,2,FALSE)</f>
        <v>JV</v>
      </c>
      <c r="E192" s="61"/>
      <c r="F192" s="5"/>
      <c r="G192" s="55">
        <f t="shared" si="18"/>
        <v>0</v>
      </c>
      <c r="H192" s="55">
        <f t="shared" si="19"/>
        <v>0</v>
      </c>
      <c r="I192" s="56"/>
    </row>
    <row r="193" ht="13.5">
      <c r="A193" s="54"/>
      <c r="B193" s="5" t="s">
        <v>60</v>
      </c>
      <c r="C193" s="5" t="s">
        <v>75</v>
      </c>
      <c r="D193" s="5" t="str">
        <f>VLOOKUP($B193,Letters!$C$29:$D$52,2,FALSE) &amp; VLOOKUP($C193,Letters!$C$29:$D$52,2,FALSE)</f>
        <v>JI</v>
      </c>
      <c r="E193" s="61"/>
      <c r="F193" s="5"/>
      <c r="G193" s="55">
        <f t="shared" si="18"/>
        <v>0</v>
      </c>
      <c r="H193" s="55">
        <f t="shared" si="19"/>
        <v>0</v>
      </c>
      <c r="I193" s="56">
        <f>AVERAGE(H174:H193)</f>
        <v>0.5</v>
      </c>
    </row>
    <row r="194">
      <c r="A194" s="54"/>
      <c r="B194" s="5"/>
      <c r="C194" s="5"/>
      <c r="D194" s="5"/>
      <c r="E194" s="5"/>
      <c r="F194" s="5"/>
      <c r="G194" s="55"/>
      <c r="H194" s="55"/>
      <c r="I194" s="56"/>
    </row>
    <row r="195" ht="13.5">
      <c r="A195" s="54"/>
      <c r="B195" s="5" t="s">
        <v>62</v>
      </c>
      <c r="C195" s="5" t="s">
        <v>52</v>
      </c>
      <c r="D195" s="5" t="str">
        <f>VLOOKUP($B195,Letters!$C$29:$D$52,2,FALSE) &amp; VLOOKUP($C195,Letters!$C$29:$D$52,2,FALSE)</f>
        <v>KB</v>
      </c>
      <c r="E195" s="5" t="s">
        <v>364</v>
      </c>
      <c r="F195" s="5" t="s">
        <v>365</v>
      </c>
      <c r="G195" s="55">
        <f t="shared" ref="G195:G214" si="20">(len($F195)-len(SUBSTITUTE($F195,"R","")))+(len($F195)-len(SUBSTITUTE($F195,"L","")))+(len($F195)-len(SUBSTITUTE($F195,"U","")))+(len($F195)-len(SUBSTITUTE($F195,"D","")))+(len($F195)-len(SUBSTITUTE($F195,"F","")))+(len($F195)-len(SUBSTITUTE($F195,"B","")))+(len($F195)-len(SUBSTITUTE($F195,"M","")))+(len($F195)-len(SUBSTITUTE($F195,"S","")))+(len($F195)-len(SUBSTITUTE($F195,"E","")))</f>
        <v>10</v>
      </c>
      <c r="H195" s="55">
        <f t="shared" ref="H195:H214" si="21">(len($F195)-len(SUBSTITUTE($F195,"R","")))+(len($F195)-len(SUBSTITUTE($F195,"L","")))+(len($F195)-len(SUBSTITUTE($F195,"U","")))+(len($F195)-len(SUBSTITUTE($F195,"D","")))+(len($F195)-len(SUBSTITUTE($F195,"F","")))+(len($F195)-len(SUBSTITUTE($F195,"B","")))+(len($F195)-len(SUBSTITUTE($F195,"M","")))+(len($F195)-len(SUBSTITUTE($F195,"S","")))+(len($F195)-len(SUBSTITUTE($F195,"E","")))+(len($F195)-len(SUBSTITUTE($F195,"2","")))</f>
        <v>11</v>
      </c>
      <c r="I195" s="56"/>
    </row>
    <row r="196" ht="13.5">
      <c r="A196" s="60"/>
      <c r="B196" s="5" t="s">
        <v>62</v>
      </c>
      <c r="C196" s="5" t="s">
        <v>53</v>
      </c>
      <c r="D196" s="5" t="str">
        <f>VLOOKUP($B196,Letters!$C$29:$D$52,2,FALSE) &amp; VLOOKUP($C196,Letters!$C$29:$D$52,2,FALSE)</f>
        <v>KC</v>
      </c>
      <c r="E196" s="5" t="s">
        <v>366</v>
      </c>
      <c r="F196" s="5" t="s">
        <v>367</v>
      </c>
      <c r="G196" s="55">
        <f t="shared" si="20"/>
        <v>10</v>
      </c>
      <c r="H196" s="55">
        <f t="shared" si="21"/>
        <v>10</v>
      </c>
      <c r="I196" s="56"/>
    </row>
    <row r="197" ht="13.5">
      <c r="A197" s="54"/>
      <c r="B197" s="5" t="s">
        <v>62</v>
      </c>
      <c r="C197" s="5" t="s">
        <v>54</v>
      </c>
      <c r="D197" s="5" t="str">
        <f>VLOOKUP($B197,Letters!$C$29:$D$52,2,FALSE) &amp; VLOOKUP($C197,Letters!$C$29:$D$52,2,FALSE)</f>
        <v>KD</v>
      </c>
      <c r="E197" s="5" t="s">
        <v>368</v>
      </c>
      <c r="F197" s="5" t="s">
        <v>369</v>
      </c>
      <c r="G197" s="55">
        <f t="shared" si="20"/>
        <v>10</v>
      </c>
      <c r="H197" s="55">
        <f t="shared" si="21"/>
        <v>11</v>
      </c>
      <c r="I197" s="56"/>
    </row>
    <row r="198" ht="13.5">
      <c r="A198" s="54"/>
      <c r="B198" s="5" t="s">
        <v>62</v>
      </c>
      <c r="C198" s="5" t="s">
        <v>55</v>
      </c>
      <c r="D198" s="5" t="str">
        <f>VLOOKUP($B198,Letters!$C$29:$D$52,2,FALSE) &amp; VLOOKUP($C198,Letters!$C$29:$D$52,2,FALSE)</f>
        <v>KE</v>
      </c>
      <c r="E198" s="5" t="s">
        <v>370</v>
      </c>
      <c r="F198" s="5" t="s">
        <v>371</v>
      </c>
      <c r="G198" s="55">
        <f t="shared" si="20"/>
        <v>8</v>
      </c>
      <c r="H198" s="55">
        <f t="shared" si="21"/>
        <v>10</v>
      </c>
      <c r="I198" s="56"/>
    </row>
    <row r="199" ht="13.5">
      <c r="A199" s="54"/>
      <c r="B199" s="5" t="s">
        <v>62</v>
      </c>
      <c r="C199" s="5" t="s">
        <v>56</v>
      </c>
      <c r="D199" s="5" t="str">
        <f>VLOOKUP($B199,Letters!$C$29:$D$52,2,FALSE) &amp; VLOOKUP($C199,Letters!$C$29:$D$52,2,FALSE)</f>
        <v>KF</v>
      </c>
      <c r="E199" s="5" t="s">
        <v>372</v>
      </c>
      <c r="F199" s="5" t="s">
        <v>373</v>
      </c>
      <c r="G199" s="55">
        <f t="shared" si="20"/>
        <v>8</v>
      </c>
      <c r="H199" s="55">
        <f t="shared" si="21"/>
        <v>8</v>
      </c>
      <c r="I199" s="56"/>
    </row>
    <row r="200" ht="13.5">
      <c r="A200" s="54"/>
      <c r="B200" s="5" t="s">
        <v>62</v>
      </c>
      <c r="C200" s="5" t="s">
        <v>57</v>
      </c>
      <c r="D200" s="5" t="str">
        <f>VLOOKUP($B200,Letters!$C$29:$D$52,2,FALSE) &amp; VLOOKUP($C200,Letters!$C$29:$D$52,2,FALSE)</f>
        <v>KG</v>
      </c>
      <c r="E200" s="5" t="s">
        <v>374</v>
      </c>
      <c r="F200" s="5" t="s">
        <v>375</v>
      </c>
      <c r="G200" s="55">
        <f t="shared" si="20"/>
        <v>9</v>
      </c>
      <c r="H200" s="55">
        <f t="shared" si="21"/>
        <v>9</v>
      </c>
      <c r="I200" s="56"/>
    </row>
    <row r="201" ht="13.5">
      <c r="A201" s="54"/>
      <c r="B201" s="5" t="s">
        <v>62</v>
      </c>
      <c r="C201" s="5" t="s">
        <v>58</v>
      </c>
      <c r="D201" s="5" t="str">
        <f>VLOOKUP($B201,Letters!$C$29:$D$52,2,FALSE) &amp; VLOOKUP($C201,Letters!$C$29:$D$52,2,FALSE)</f>
        <v>KH</v>
      </c>
      <c r="E201" s="5" t="s">
        <v>376</v>
      </c>
      <c r="F201" s="5" t="s">
        <v>377</v>
      </c>
      <c r="G201" s="55">
        <f t="shared" si="20"/>
        <v>8</v>
      </c>
      <c r="H201" s="55">
        <f t="shared" si="21"/>
        <v>8</v>
      </c>
      <c r="I201" s="56"/>
    </row>
    <row r="202" ht="13.5">
      <c r="A202" s="54"/>
      <c r="B202" s="5" t="s">
        <v>62</v>
      </c>
      <c r="C202" s="5" t="s">
        <v>60</v>
      </c>
      <c r="D202" s="5" t="str">
        <f>VLOOKUP($B202,Letters!$C$29:$D$52,2,FALSE) &amp; VLOOKUP($C202,Letters!$C$29:$D$52,2,FALSE)</f>
        <v>KJ</v>
      </c>
      <c r="E202" s="5" t="s">
        <v>378</v>
      </c>
      <c r="F202" s="5" t="s">
        <v>379</v>
      </c>
      <c r="G202" s="55">
        <f t="shared" si="20"/>
        <v>9</v>
      </c>
      <c r="H202" s="55">
        <f t="shared" si="21"/>
        <v>10</v>
      </c>
      <c r="I202" s="56"/>
    </row>
    <row r="203" ht="13.5">
      <c r="A203" s="54"/>
      <c r="B203" s="5" t="s">
        <v>62</v>
      </c>
      <c r="C203" s="5" t="s">
        <v>63</v>
      </c>
      <c r="D203" s="5" t="str">
        <f>VLOOKUP($B203,Letters!$C$29:$D$52,2,FALSE) &amp; VLOOKUP($C203,Letters!$C$29:$D$52,2,FALSE)</f>
        <v>KL</v>
      </c>
      <c r="E203" s="5" t="s">
        <v>380</v>
      </c>
      <c r="F203" s="5" t="s">
        <v>381</v>
      </c>
      <c r="G203" s="55">
        <f t="shared" si="20"/>
        <v>9</v>
      </c>
      <c r="H203" s="55">
        <f t="shared" si="21"/>
        <v>10</v>
      </c>
      <c r="I203" s="56"/>
    </row>
    <row r="204" ht="13.5">
      <c r="A204" s="60"/>
      <c r="B204" s="5" t="s">
        <v>62</v>
      </c>
      <c r="C204" s="5" t="s">
        <v>64</v>
      </c>
      <c r="D204" s="5" t="str">
        <f>VLOOKUP($B204,Letters!$C$29:$D$52,2,FALSE) &amp; VLOOKUP($C204,Letters!$C$29:$D$52,2,FALSE)</f>
        <v>KM</v>
      </c>
      <c r="E204" s="5" t="s">
        <v>382</v>
      </c>
      <c r="F204" s="5" t="s">
        <v>383</v>
      </c>
      <c r="G204" s="55">
        <f t="shared" si="20"/>
        <v>8</v>
      </c>
      <c r="H204" s="55">
        <f t="shared" si="21"/>
        <v>10</v>
      </c>
      <c r="I204" s="56"/>
    </row>
    <row r="205" ht="13.5">
      <c r="A205" s="54"/>
      <c r="B205" s="5" t="s">
        <v>62</v>
      </c>
      <c r="C205" s="5" t="s">
        <v>65</v>
      </c>
      <c r="D205" s="5" t="str">
        <f>VLOOKUP($B205,Letters!$C$29:$D$52,2,FALSE) &amp; VLOOKUP($C205,Letters!$C$29:$D$52,2,FALSE)</f>
        <v>KN</v>
      </c>
      <c r="E205" s="5" t="s">
        <v>384</v>
      </c>
      <c r="F205" s="5" t="s">
        <v>385</v>
      </c>
      <c r="G205" s="55">
        <f t="shared" si="20"/>
        <v>8</v>
      </c>
      <c r="H205" s="55">
        <f t="shared" si="21"/>
        <v>8</v>
      </c>
      <c r="I205" s="56"/>
    </row>
    <row r="206" ht="13.5">
      <c r="A206" s="54"/>
      <c r="B206" s="5" t="s">
        <v>62</v>
      </c>
      <c r="C206" s="5" t="s">
        <v>66</v>
      </c>
      <c r="D206" s="5" t="str">
        <f>VLOOKUP($B206,Letters!$C$29:$D$52,2,FALSE) &amp; VLOOKUP($C206,Letters!$C$29:$D$52,2,FALSE)</f>
        <v>KO</v>
      </c>
      <c r="E206" s="5" t="s">
        <v>386</v>
      </c>
      <c r="F206" s="5" t="s">
        <v>387</v>
      </c>
      <c r="G206" s="55">
        <f t="shared" si="20"/>
        <v>9</v>
      </c>
      <c r="H206" s="55">
        <f t="shared" si="21"/>
        <v>9</v>
      </c>
      <c r="I206" s="56"/>
    </row>
    <row r="207" ht="13.5">
      <c r="A207" s="60"/>
      <c r="B207" s="5" t="s">
        <v>62</v>
      </c>
      <c r="C207" s="5" t="s">
        <v>67</v>
      </c>
      <c r="D207" s="5" t="str">
        <f>VLOOKUP($B207,Letters!$C$29:$D$52,2,FALSE) &amp; VLOOKUP($C207,Letters!$C$29:$D$52,2,FALSE)</f>
        <v>KP</v>
      </c>
      <c r="E207" s="5" t="s">
        <v>388</v>
      </c>
      <c r="F207" s="5" t="s">
        <v>389</v>
      </c>
      <c r="G207" s="55">
        <f t="shared" si="20"/>
        <v>8</v>
      </c>
      <c r="H207" s="55">
        <f t="shared" si="21"/>
        <v>8</v>
      </c>
      <c r="I207" s="56"/>
    </row>
    <row r="208" ht="13.5">
      <c r="A208" s="54"/>
      <c r="B208" s="5" t="s">
        <v>62</v>
      </c>
      <c r="C208" s="5" t="s">
        <v>68</v>
      </c>
      <c r="D208" s="5" t="str">
        <f>VLOOKUP($B208,Letters!$C$29:$D$52,2,FALSE) &amp; VLOOKUP($C208,Letters!$C$29:$D$52,2,FALSE)</f>
        <v>KW</v>
      </c>
      <c r="E208" s="63" t="s">
        <v>390</v>
      </c>
      <c r="F208" s="63" t="s">
        <v>391</v>
      </c>
      <c r="G208" s="55">
        <f t="shared" si="20"/>
        <v>12</v>
      </c>
      <c r="H208" s="55">
        <f t="shared" si="21"/>
        <v>13</v>
      </c>
      <c r="I208" s="56"/>
    </row>
    <row r="209" ht="13.5">
      <c r="A209" s="54"/>
      <c r="B209" s="5" t="s">
        <v>62</v>
      </c>
      <c r="C209" s="5" t="s">
        <v>69</v>
      </c>
      <c r="D209" s="5" t="str">
        <f>VLOOKUP($B209,Letters!$C$29:$D$52,2,FALSE) &amp; VLOOKUP($C209,Letters!$C$29:$D$52,2,FALSE)</f>
        <v>KR</v>
      </c>
      <c r="E209" s="5" t="s">
        <v>392</v>
      </c>
      <c r="F209" s="5" t="s">
        <v>393</v>
      </c>
      <c r="G209" s="55">
        <f t="shared" si="20"/>
        <v>9</v>
      </c>
      <c r="H209" s="55">
        <f t="shared" si="21"/>
        <v>10</v>
      </c>
      <c r="I209" s="56"/>
    </row>
    <row r="210" ht="13.5">
      <c r="A210" s="54"/>
      <c r="B210" s="5" t="s">
        <v>62</v>
      </c>
      <c r="C210" s="5" t="s">
        <v>70</v>
      </c>
      <c r="D210" s="5" t="str">
        <f>VLOOKUP($B210,Letters!$C$29:$D$52,2,FALSE) &amp; VLOOKUP($C210,Letters!$C$29:$D$52,2,FALSE)</f>
        <v>KS</v>
      </c>
      <c r="E210" s="5" t="s">
        <v>394</v>
      </c>
      <c r="F210" s="5" t="s">
        <v>395</v>
      </c>
      <c r="G210" s="55">
        <f t="shared" si="20"/>
        <v>9</v>
      </c>
      <c r="H210" s="55">
        <f t="shared" si="21"/>
        <v>10</v>
      </c>
      <c r="I210" s="56"/>
    </row>
    <row r="211" ht="13.5">
      <c r="A211" s="54"/>
      <c r="B211" s="5" t="s">
        <v>62</v>
      </c>
      <c r="C211" s="5" t="s">
        <v>71</v>
      </c>
      <c r="D211" s="5" t="str">
        <f>VLOOKUP($B211,Letters!$C$29:$D$52,2,FALSE) &amp; VLOOKUP($C211,Letters!$C$29:$D$52,2,FALSE)</f>
        <v>KT</v>
      </c>
      <c r="E211" s="5" t="s">
        <v>396</v>
      </c>
      <c r="F211" s="5" t="s">
        <v>397</v>
      </c>
      <c r="G211" s="55">
        <f t="shared" si="20"/>
        <v>9</v>
      </c>
      <c r="H211" s="55">
        <f t="shared" si="21"/>
        <v>10</v>
      </c>
      <c r="I211" s="56"/>
    </row>
    <row r="212" ht="13.5">
      <c r="A212" s="54"/>
      <c r="B212" s="5" t="s">
        <v>62</v>
      </c>
      <c r="C212" s="5" t="s">
        <v>72</v>
      </c>
      <c r="D212" s="5" t="str">
        <f>VLOOKUP($B212,Letters!$C$29:$D$52,2,FALSE) &amp; VLOOKUP($C212,Letters!$C$29:$D$52,2,FALSE)</f>
        <v>KU</v>
      </c>
      <c r="E212" s="5" t="s">
        <v>398</v>
      </c>
      <c r="F212" s="5" t="s">
        <v>399</v>
      </c>
      <c r="G212" s="55">
        <f t="shared" si="20"/>
        <v>9</v>
      </c>
      <c r="H212" s="55">
        <f t="shared" si="21"/>
        <v>10</v>
      </c>
      <c r="I212" s="56"/>
    </row>
    <row r="213" ht="13.5">
      <c r="A213" s="54"/>
      <c r="B213" s="5" t="s">
        <v>62</v>
      </c>
      <c r="C213" s="5" t="s">
        <v>73</v>
      </c>
      <c r="D213" s="5" t="str">
        <f>VLOOKUP($B213,Letters!$C$29:$D$52,2,FALSE) &amp; VLOOKUP($C213,Letters!$C$29:$D$52,2,FALSE)</f>
        <v>KV</v>
      </c>
      <c r="E213" s="5" t="s">
        <v>400</v>
      </c>
      <c r="F213" s="5" t="s">
        <v>401</v>
      </c>
      <c r="G213" s="55">
        <f t="shared" si="20"/>
        <v>10</v>
      </c>
      <c r="H213" s="55">
        <f t="shared" si="21"/>
        <v>10</v>
      </c>
      <c r="I213" s="56"/>
    </row>
    <row r="214" ht="13.5">
      <c r="A214" s="54"/>
      <c r="B214" s="5" t="s">
        <v>62</v>
      </c>
      <c r="C214" s="5" t="s">
        <v>75</v>
      </c>
      <c r="D214" s="5" t="str">
        <f>VLOOKUP($B214,Letters!$C$29:$D$52,2,FALSE) &amp; VLOOKUP($C214,Letters!$C$29:$D$52,2,FALSE)</f>
        <v>KI</v>
      </c>
      <c r="E214" s="5" t="s">
        <v>402</v>
      </c>
      <c r="F214" s="5" t="s">
        <v>403</v>
      </c>
      <c r="G214" s="55">
        <f t="shared" si="20"/>
        <v>10</v>
      </c>
      <c r="H214" s="55">
        <f t="shared" si="21"/>
        <v>10</v>
      </c>
      <c r="I214" s="56">
        <f>AVERAGE(H195:H214)</f>
        <v>9.75</v>
      </c>
    </row>
    <row r="215">
      <c r="A215" s="60"/>
      <c r="B215" s="5"/>
      <c r="C215" s="5"/>
      <c r="D215" s="5"/>
      <c r="E215" s="5"/>
      <c r="F215" s="5"/>
      <c r="G215" s="55"/>
      <c r="H215" s="55"/>
      <c r="I215" s="56"/>
    </row>
    <row r="216" ht="13.5">
      <c r="A216" s="60"/>
      <c r="B216" s="5" t="s">
        <v>63</v>
      </c>
      <c r="C216" s="5" t="s">
        <v>50</v>
      </c>
      <c r="D216" s="5" t="str">
        <f>VLOOKUP($B216,Letters!$C$29:$D$52,2,FALSE) &amp; VLOOKUP($C216,Letters!$C$29:$D$52,2,FALSE)</f>
        <v>LA</v>
      </c>
      <c r="E216" s="61" t="s">
        <v>404</v>
      </c>
      <c r="F216" s="5" t="s">
        <v>405</v>
      </c>
      <c r="G216" s="55">
        <f t="shared" ref="G216:G235" si="22">(len($F216)-len(SUBSTITUTE($F216,"R","")))+(len($F216)-len(SUBSTITUTE($F216,"L","")))+(len($F216)-len(SUBSTITUTE($F216,"U","")))+(len($F216)-len(SUBSTITUTE($F216,"D","")))+(len($F216)-len(SUBSTITUTE($F216,"F","")))+(len($F216)-len(SUBSTITUTE($F216,"B","")))+(len($F216)-len(SUBSTITUTE($F216,"M","")))+(len($F216)-len(SUBSTITUTE($F216,"S","")))+(len($F216)-len(SUBSTITUTE($F216,"E","")))</f>
        <v>9</v>
      </c>
      <c r="H216" s="55">
        <f t="shared" ref="H216:H235" si="23">(len($F216)-len(SUBSTITUTE($F216,"R","")))+(len($F216)-len(SUBSTITUTE($F216,"L","")))+(len($F216)-len(SUBSTITUTE($F216,"U","")))+(len($F216)-len(SUBSTITUTE($F216,"D","")))+(len($F216)-len(SUBSTITUTE($F216,"F","")))+(len($F216)-len(SUBSTITUTE($F216,"B","")))+(len($F216)-len(SUBSTITUTE($F216,"M","")))+(len($F216)-len(SUBSTITUTE($F216,"S","")))+(len($F216)-len(SUBSTITUTE($F216,"E","")))+(len($F216)-len(SUBSTITUTE($F216,"2","")))</f>
        <v>10</v>
      </c>
      <c r="I216" s="56"/>
    </row>
    <row r="217" ht="13.5">
      <c r="A217" s="60"/>
      <c r="B217" s="5" t="s">
        <v>63</v>
      </c>
      <c r="C217" s="5" t="s">
        <v>52</v>
      </c>
      <c r="D217" s="5" t="str">
        <f>VLOOKUP($B217,Letters!$C$29:$D$52,2,FALSE) &amp; VLOOKUP($C217,Letters!$C$29:$D$52,2,FALSE)</f>
        <v>LB</v>
      </c>
      <c r="E217" s="61"/>
      <c r="F217" s="5"/>
      <c r="G217" s="55">
        <f t="shared" si="22"/>
        <v>0</v>
      </c>
      <c r="H217" s="55">
        <f t="shared" si="23"/>
        <v>0</v>
      </c>
      <c r="I217" s="56"/>
    </row>
    <row r="218" ht="13.5">
      <c r="A218" s="60"/>
      <c r="B218" s="5" t="s">
        <v>63</v>
      </c>
      <c r="C218" s="5" t="s">
        <v>53</v>
      </c>
      <c r="D218" s="5" t="str">
        <f>VLOOKUP($B218,Letters!$C$29:$D$52,2,FALSE) &amp; VLOOKUP($C218,Letters!$C$29:$D$52,2,FALSE)</f>
        <v>LC</v>
      </c>
      <c r="E218" s="61"/>
      <c r="F218" s="5"/>
      <c r="G218" s="55">
        <f t="shared" si="22"/>
        <v>0</v>
      </c>
      <c r="H218" s="55">
        <f t="shared" si="23"/>
        <v>0</v>
      </c>
      <c r="I218" s="56"/>
    </row>
    <row r="219" ht="13.5">
      <c r="A219" s="60"/>
      <c r="B219" s="5" t="s">
        <v>63</v>
      </c>
      <c r="C219" s="5" t="s">
        <v>54</v>
      </c>
      <c r="D219" s="5" t="str">
        <f>VLOOKUP($B219,Letters!$C$29:$D$52,2,FALSE) &amp; VLOOKUP($C219,Letters!$C$29:$D$52,2,FALSE)</f>
        <v>LD</v>
      </c>
      <c r="E219" s="61"/>
      <c r="F219" s="5"/>
      <c r="G219" s="55">
        <f t="shared" si="22"/>
        <v>0</v>
      </c>
      <c r="H219" s="55">
        <f t="shared" si="23"/>
        <v>0</v>
      </c>
      <c r="I219" s="56"/>
    </row>
    <row r="220" ht="13.5">
      <c r="A220" s="60"/>
      <c r="B220" s="5" t="s">
        <v>63</v>
      </c>
      <c r="C220" s="5" t="s">
        <v>55</v>
      </c>
      <c r="D220" s="5" t="str">
        <f>VLOOKUP($B220,Letters!$C$29:$D$52,2,FALSE) &amp; VLOOKUP($C220,Letters!$C$29:$D$52,2,FALSE)</f>
        <v>LE</v>
      </c>
      <c r="E220" s="61"/>
      <c r="F220" s="5"/>
      <c r="G220" s="55">
        <f t="shared" si="22"/>
        <v>0</v>
      </c>
      <c r="H220" s="55">
        <f t="shared" si="23"/>
        <v>0</v>
      </c>
      <c r="I220" s="56"/>
    </row>
    <row r="221" ht="13.5">
      <c r="A221" s="60"/>
      <c r="B221" s="5" t="s">
        <v>63</v>
      </c>
      <c r="C221" s="5" t="s">
        <v>56</v>
      </c>
      <c r="D221" s="5" t="str">
        <f>VLOOKUP($B221,Letters!$C$29:$D$52,2,FALSE) &amp; VLOOKUP($C221,Letters!$C$29:$D$52,2,FALSE)</f>
        <v>LF</v>
      </c>
      <c r="E221" s="61"/>
      <c r="F221" s="5"/>
      <c r="G221" s="55">
        <f t="shared" si="22"/>
        <v>0</v>
      </c>
      <c r="H221" s="55">
        <f t="shared" si="23"/>
        <v>0</v>
      </c>
      <c r="I221" s="56"/>
    </row>
    <row r="222" ht="13.5">
      <c r="A222" s="60"/>
      <c r="B222" s="5" t="s">
        <v>63</v>
      </c>
      <c r="C222" s="5" t="s">
        <v>57</v>
      </c>
      <c r="D222" s="5" t="str">
        <f>VLOOKUP($B222,Letters!$C$29:$D$52,2,FALSE) &amp; VLOOKUP($C222,Letters!$C$29:$D$52,2,FALSE)</f>
        <v>LG</v>
      </c>
      <c r="E222" s="61"/>
      <c r="F222" s="5"/>
      <c r="G222" s="55">
        <f t="shared" si="22"/>
        <v>0</v>
      </c>
      <c r="H222" s="55">
        <f t="shared" si="23"/>
        <v>0</v>
      </c>
      <c r="I222" s="56"/>
    </row>
    <row r="223" ht="13.5">
      <c r="A223" s="60"/>
      <c r="B223" s="5" t="s">
        <v>63</v>
      </c>
      <c r="C223" s="5" t="s">
        <v>58</v>
      </c>
      <c r="D223" s="5" t="str">
        <f>VLOOKUP($B223,Letters!$C$29:$D$52,2,FALSE) &amp; VLOOKUP($C223,Letters!$C$29:$D$52,2,FALSE)</f>
        <v>LH</v>
      </c>
      <c r="E223" s="61"/>
      <c r="F223" s="5"/>
      <c r="G223" s="55">
        <f t="shared" si="22"/>
        <v>0</v>
      </c>
      <c r="H223" s="55">
        <f t="shared" si="23"/>
        <v>0</v>
      </c>
      <c r="I223" s="56"/>
    </row>
    <row r="224" ht="13.5">
      <c r="A224" s="60"/>
      <c r="B224" s="5" t="s">
        <v>63</v>
      </c>
      <c r="C224" s="5" t="s">
        <v>60</v>
      </c>
      <c r="D224" s="5" t="str">
        <f>VLOOKUP($B224,Letters!$C$29:$D$52,2,FALSE) &amp; VLOOKUP($C224,Letters!$C$29:$D$52,2,FALSE)</f>
        <v>LJ</v>
      </c>
      <c r="E224" s="61"/>
      <c r="F224" s="5"/>
      <c r="G224" s="55">
        <f t="shared" si="22"/>
        <v>0</v>
      </c>
      <c r="H224" s="55">
        <f t="shared" si="23"/>
        <v>0</v>
      </c>
      <c r="I224" s="56"/>
    </row>
    <row r="225" ht="13.5">
      <c r="A225" s="60"/>
      <c r="B225" s="5" t="s">
        <v>63</v>
      </c>
      <c r="C225" s="5" t="s">
        <v>62</v>
      </c>
      <c r="D225" s="5" t="str">
        <f>VLOOKUP($B225,Letters!$C$29:$D$52,2,FALSE) &amp; VLOOKUP($C225,Letters!$C$29:$D$52,2,FALSE)</f>
        <v>LK</v>
      </c>
      <c r="E225" s="61"/>
      <c r="F225" s="5"/>
      <c r="G225" s="55">
        <f t="shared" si="22"/>
        <v>0</v>
      </c>
      <c r="H225" s="55">
        <f t="shared" si="23"/>
        <v>0</v>
      </c>
      <c r="I225" s="56"/>
    </row>
    <row r="226" ht="13.5">
      <c r="A226" s="60"/>
      <c r="B226" s="5" t="s">
        <v>63</v>
      </c>
      <c r="C226" s="5" t="s">
        <v>64</v>
      </c>
      <c r="D226" s="5" t="str">
        <f>VLOOKUP($B226,Letters!$C$29:$D$52,2,FALSE) &amp; VLOOKUP($C226,Letters!$C$29:$D$52,2,FALSE)</f>
        <v>LM</v>
      </c>
      <c r="E226" s="61"/>
      <c r="F226" s="5"/>
      <c r="G226" s="55">
        <f t="shared" si="22"/>
        <v>0</v>
      </c>
      <c r="H226" s="55">
        <f t="shared" si="23"/>
        <v>0</v>
      </c>
      <c r="I226" s="56"/>
    </row>
    <row r="227" ht="13.5">
      <c r="A227" s="60"/>
      <c r="B227" s="5" t="s">
        <v>63</v>
      </c>
      <c r="C227" s="5" t="s">
        <v>66</v>
      </c>
      <c r="D227" s="5" t="str">
        <f>VLOOKUP($B227,Letters!$C$29:$D$52,2,FALSE) &amp; VLOOKUP($C227,Letters!$C$29:$D$52,2,FALSE)</f>
        <v>LO</v>
      </c>
      <c r="E227" s="61"/>
      <c r="F227" s="5"/>
      <c r="G227" s="55">
        <f t="shared" si="22"/>
        <v>0</v>
      </c>
      <c r="H227" s="55">
        <f t="shared" si="23"/>
        <v>0</v>
      </c>
      <c r="I227" s="56"/>
    </row>
    <row r="228" ht="13.5">
      <c r="A228" s="60"/>
      <c r="B228" s="5" t="s">
        <v>63</v>
      </c>
      <c r="C228" s="5" t="s">
        <v>67</v>
      </c>
      <c r="D228" s="5" t="str">
        <f>VLOOKUP($B228,Letters!$C$29:$D$52,2,FALSE) &amp; VLOOKUP($C228,Letters!$C$29:$D$52,2,FALSE)</f>
        <v>LP</v>
      </c>
      <c r="E228" s="61"/>
      <c r="F228" s="5"/>
      <c r="G228" s="55">
        <f t="shared" si="22"/>
        <v>0</v>
      </c>
      <c r="H228" s="55">
        <f t="shared" si="23"/>
        <v>0</v>
      </c>
      <c r="I228" s="56"/>
    </row>
    <row r="229" ht="13.5">
      <c r="A229" s="60"/>
      <c r="B229" s="5" t="s">
        <v>63</v>
      </c>
      <c r="C229" s="5" t="s">
        <v>68</v>
      </c>
      <c r="D229" s="5" t="str">
        <f>VLOOKUP($B229,Letters!$C$29:$D$52,2,FALSE) &amp; VLOOKUP($C229,Letters!$C$29:$D$52,2,FALSE)</f>
        <v>LW</v>
      </c>
      <c r="E229" s="61"/>
      <c r="F229" s="5"/>
      <c r="G229" s="55">
        <f t="shared" si="22"/>
        <v>0</v>
      </c>
      <c r="H229" s="55">
        <f t="shared" si="23"/>
        <v>0</v>
      </c>
      <c r="I229" s="56"/>
    </row>
    <row r="230" ht="13.5">
      <c r="A230" s="60"/>
      <c r="B230" s="5" t="s">
        <v>63</v>
      </c>
      <c r="C230" s="5" t="s">
        <v>69</v>
      </c>
      <c r="D230" s="5" t="str">
        <f>VLOOKUP($B230,Letters!$C$29:$D$52,2,FALSE) &amp; VLOOKUP($C230,Letters!$C$29:$D$52,2,FALSE)</f>
        <v>LR</v>
      </c>
      <c r="E230" s="61"/>
      <c r="F230" s="5"/>
      <c r="G230" s="55">
        <f t="shared" si="22"/>
        <v>0</v>
      </c>
      <c r="H230" s="55">
        <f t="shared" si="23"/>
        <v>0</v>
      </c>
      <c r="I230" s="56"/>
    </row>
    <row r="231" ht="13.5">
      <c r="A231" s="60"/>
      <c r="B231" s="5" t="s">
        <v>63</v>
      </c>
      <c r="C231" s="5" t="s">
        <v>70</v>
      </c>
      <c r="D231" s="5" t="str">
        <f>VLOOKUP($B231,Letters!$C$29:$D$52,2,FALSE) &amp; VLOOKUP($C231,Letters!$C$29:$D$52,2,FALSE)</f>
        <v>LS</v>
      </c>
      <c r="E231" s="61"/>
      <c r="F231" s="5"/>
      <c r="G231" s="55">
        <f t="shared" si="22"/>
        <v>0</v>
      </c>
      <c r="H231" s="55">
        <f t="shared" si="23"/>
        <v>0</v>
      </c>
      <c r="I231" s="62"/>
    </row>
    <row r="232" ht="13.5">
      <c r="A232" s="60"/>
      <c r="B232" s="5" t="s">
        <v>63</v>
      </c>
      <c r="C232" s="5" t="s">
        <v>71</v>
      </c>
      <c r="D232" s="5" t="str">
        <f>VLOOKUP($B232,Letters!$C$29:$D$52,2,FALSE) &amp; VLOOKUP($C232,Letters!$C$29:$D$52,2,FALSE)</f>
        <v>LT</v>
      </c>
      <c r="E232" s="61"/>
      <c r="F232" s="5"/>
      <c r="G232" s="55">
        <f t="shared" si="22"/>
        <v>0</v>
      </c>
      <c r="H232" s="55">
        <f t="shared" si="23"/>
        <v>0</v>
      </c>
      <c r="I232" s="62"/>
    </row>
    <row r="233" ht="13.5">
      <c r="A233" s="54"/>
      <c r="B233" s="5" t="s">
        <v>63</v>
      </c>
      <c r="C233" s="5" t="s">
        <v>72</v>
      </c>
      <c r="D233" s="5" t="str">
        <f>VLOOKUP($B233,Letters!$C$29:$D$52,2,FALSE) &amp; VLOOKUP($C233,Letters!$C$29:$D$52,2,FALSE)</f>
        <v>LU</v>
      </c>
      <c r="E233" s="61"/>
      <c r="F233" s="5"/>
      <c r="G233" s="55">
        <f t="shared" si="22"/>
        <v>0</v>
      </c>
      <c r="H233" s="55">
        <f t="shared" si="23"/>
        <v>0</v>
      </c>
      <c r="I233" s="56"/>
    </row>
    <row r="234" ht="13.5">
      <c r="A234" s="60"/>
      <c r="B234" s="5" t="s">
        <v>63</v>
      </c>
      <c r="C234" s="5" t="s">
        <v>73</v>
      </c>
      <c r="D234" s="5" t="str">
        <f>VLOOKUP($B234,Letters!$C$29:$D$52,2,FALSE) &amp; VLOOKUP($C234,Letters!$C$29:$D$52,2,FALSE)</f>
        <v>LV</v>
      </c>
      <c r="E234" s="61"/>
      <c r="F234" s="5"/>
      <c r="G234" s="55">
        <f t="shared" si="22"/>
        <v>0</v>
      </c>
      <c r="H234" s="55">
        <f t="shared" si="23"/>
        <v>0</v>
      </c>
      <c r="I234" s="56"/>
    </row>
    <row r="235" ht="13.5">
      <c r="A235" s="54"/>
      <c r="B235" s="5" t="s">
        <v>63</v>
      </c>
      <c r="C235" s="5" t="s">
        <v>75</v>
      </c>
      <c r="D235" s="5" t="str">
        <f>VLOOKUP($B235,Letters!$C$29:$D$52,2,FALSE) &amp; VLOOKUP($C235,Letters!$C$29:$D$52,2,FALSE)</f>
        <v>LI</v>
      </c>
      <c r="E235" s="61"/>
      <c r="F235" s="5"/>
      <c r="G235" s="55">
        <f t="shared" si="22"/>
        <v>0</v>
      </c>
      <c r="H235" s="55">
        <f t="shared" si="23"/>
        <v>0</v>
      </c>
      <c r="I235" s="56">
        <f>AVERAGE(H216:H235)</f>
        <v>0.5</v>
      </c>
    </row>
    <row r="236">
      <c r="A236" s="60"/>
      <c r="B236" s="5"/>
      <c r="C236" s="5"/>
      <c r="D236" s="5"/>
      <c r="E236" s="5"/>
      <c r="F236" s="5"/>
      <c r="G236" s="55"/>
      <c r="H236" s="55"/>
      <c r="I236" s="56"/>
    </row>
    <row r="237" ht="13.5">
      <c r="A237" s="54"/>
      <c r="B237" s="5" t="s">
        <v>64</v>
      </c>
      <c r="C237" s="5" t="s">
        <v>50</v>
      </c>
      <c r="D237" s="5" t="str">
        <f>VLOOKUP($B237,Letters!$C$29:$D$52,2,FALSE) &amp; VLOOKUP($C237,Letters!$C$29:$D$52,2,FALSE)</f>
        <v>MA</v>
      </c>
      <c r="E237" s="61"/>
      <c r="F237" s="5"/>
      <c r="G237" s="55">
        <f t="shared" ref="G237:G256" si="24">(len($F237)-len(SUBSTITUTE($F237,"R","")))+(len($F237)-len(SUBSTITUTE($F237,"L","")))+(len($F237)-len(SUBSTITUTE($F237,"U","")))+(len($F237)-len(SUBSTITUTE($F237,"D","")))+(len($F237)-len(SUBSTITUTE($F237,"F","")))+(len($F237)-len(SUBSTITUTE($F237,"B","")))+(len($F237)-len(SUBSTITUTE($F237,"M","")))+(len($F237)-len(SUBSTITUTE($F237,"S","")))+(len($F237)-len(SUBSTITUTE($F237,"E","")))</f>
        <v>0</v>
      </c>
      <c r="H237" s="55">
        <f t="shared" ref="H237:H256" si="25">(len($F237)-len(SUBSTITUTE($F237,"R","")))+(len($F237)-len(SUBSTITUTE($F237,"L","")))+(len($F237)-len(SUBSTITUTE($F237,"U","")))+(len($F237)-len(SUBSTITUTE($F237,"D","")))+(len($F237)-len(SUBSTITUTE($F237,"F","")))+(len($F237)-len(SUBSTITUTE($F237,"B","")))+(len($F237)-len(SUBSTITUTE($F237,"M","")))+(len($F237)-len(SUBSTITUTE($F237,"S","")))+(len($F237)-len(SUBSTITUTE($F237,"E","")))+(len($F237)-len(SUBSTITUTE($F237,"2","")))</f>
        <v>0</v>
      </c>
      <c r="I237" s="56"/>
    </row>
    <row r="238" ht="13.5">
      <c r="A238" s="54"/>
      <c r="B238" s="5" t="s">
        <v>64</v>
      </c>
      <c r="C238" s="5" t="s">
        <v>52</v>
      </c>
      <c r="D238" s="5" t="str">
        <f>VLOOKUP($B238,Letters!$C$29:$D$52,2,FALSE) &amp; VLOOKUP($C238,Letters!$C$29:$D$52,2,FALSE)</f>
        <v>MB</v>
      </c>
      <c r="E238" s="61"/>
      <c r="F238" s="5"/>
      <c r="G238" s="55">
        <f t="shared" si="24"/>
        <v>0</v>
      </c>
      <c r="H238" s="55">
        <f t="shared" si="25"/>
        <v>0</v>
      </c>
      <c r="I238" s="56"/>
    </row>
    <row r="239" ht="13.5">
      <c r="A239" s="54"/>
      <c r="B239" s="5" t="s">
        <v>64</v>
      </c>
      <c r="C239" s="5" t="s">
        <v>53</v>
      </c>
      <c r="D239" s="5" t="str">
        <f>VLOOKUP($B239,Letters!$C$29:$D$52,2,FALSE) &amp; VLOOKUP($C239,Letters!$C$29:$D$52,2,FALSE)</f>
        <v>MC</v>
      </c>
      <c r="E239" s="61"/>
      <c r="F239" s="5"/>
      <c r="G239" s="55">
        <f t="shared" si="24"/>
        <v>0</v>
      </c>
      <c r="H239" s="55">
        <f t="shared" si="25"/>
        <v>0</v>
      </c>
      <c r="I239" s="56"/>
    </row>
    <row r="240" ht="13.5">
      <c r="A240" s="54"/>
      <c r="B240" s="5" t="s">
        <v>64</v>
      </c>
      <c r="C240" s="5" t="s">
        <v>54</v>
      </c>
      <c r="D240" s="5" t="str">
        <f>VLOOKUP($B240,Letters!$C$29:$D$52,2,FALSE) &amp; VLOOKUP($C240,Letters!$C$29:$D$52,2,FALSE)</f>
        <v>MD</v>
      </c>
      <c r="E240" s="5" t="s">
        <v>406</v>
      </c>
      <c r="F240" s="5" t="s">
        <v>407</v>
      </c>
      <c r="G240" s="55">
        <f t="shared" si="24"/>
        <v>8</v>
      </c>
      <c r="H240" s="55">
        <f t="shared" si="25"/>
        <v>8</v>
      </c>
      <c r="I240" s="56"/>
    </row>
    <row r="241" ht="13.5">
      <c r="A241" s="54"/>
      <c r="B241" s="5" t="s">
        <v>64</v>
      </c>
      <c r="C241" s="5" t="s">
        <v>55</v>
      </c>
      <c r="D241" s="5" t="str">
        <f>VLOOKUP($B241,Letters!$C$29:$D$52,2,FALSE) &amp; VLOOKUP($C241,Letters!$C$29:$D$52,2,FALSE)</f>
        <v>ME</v>
      </c>
      <c r="E241" s="61"/>
      <c r="F241" s="5"/>
      <c r="G241" s="55">
        <f t="shared" si="24"/>
        <v>0</v>
      </c>
      <c r="H241" s="55">
        <f t="shared" si="25"/>
        <v>0</v>
      </c>
      <c r="I241" s="56"/>
    </row>
    <row r="242" ht="13.5">
      <c r="A242" s="60"/>
      <c r="B242" s="5" t="s">
        <v>64</v>
      </c>
      <c r="C242" s="5" t="s">
        <v>56</v>
      </c>
      <c r="D242" s="5" t="str">
        <f>VLOOKUP($B242,Letters!$C$29:$D$52,2,FALSE) &amp; VLOOKUP($C242,Letters!$C$29:$D$52,2,FALSE)</f>
        <v>MF</v>
      </c>
      <c r="E242" s="61"/>
      <c r="F242" s="5"/>
      <c r="G242" s="55">
        <f t="shared" si="24"/>
        <v>0</v>
      </c>
      <c r="H242" s="55">
        <f t="shared" si="25"/>
        <v>0</v>
      </c>
      <c r="I242" s="56"/>
    </row>
    <row r="243" ht="13.5">
      <c r="A243" s="54"/>
      <c r="B243" s="5" t="s">
        <v>64</v>
      </c>
      <c r="C243" s="5" t="s">
        <v>57</v>
      </c>
      <c r="D243" s="5" t="str">
        <f>VLOOKUP($B243,Letters!$C$29:$D$52,2,FALSE) &amp; VLOOKUP($C243,Letters!$C$29:$D$52,2,FALSE)</f>
        <v>MG</v>
      </c>
      <c r="E243" s="5" t="s">
        <v>408</v>
      </c>
      <c r="F243" s="5" t="s">
        <v>409</v>
      </c>
      <c r="G243" s="55">
        <f t="shared" si="24"/>
        <v>9</v>
      </c>
      <c r="H243" s="55">
        <f t="shared" si="25"/>
        <v>10</v>
      </c>
      <c r="I243" s="56"/>
    </row>
    <row r="244" ht="13.5">
      <c r="A244" s="54"/>
      <c r="B244" s="5" t="s">
        <v>64</v>
      </c>
      <c r="C244" s="5" t="s">
        <v>58</v>
      </c>
      <c r="D244" s="5" t="str">
        <f>VLOOKUP($B244,Letters!$C$29:$D$52,2,FALSE) &amp; VLOOKUP($C244,Letters!$C$29:$D$52,2,FALSE)</f>
        <v>MH</v>
      </c>
      <c r="E244" s="61"/>
      <c r="F244" s="5"/>
      <c r="G244" s="55">
        <f t="shared" si="24"/>
        <v>0</v>
      </c>
      <c r="H244" s="55">
        <f t="shared" si="25"/>
        <v>0</v>
      </c>
      <c r="I244" s="56"/>
    </row>
    <row r="245" ht="13.5">
      <c r="A245" s="60"/>
      <c r="B245" s="5" t="s">
        <v>64</v>
      </c>
      <c r="C245" s="5" t="s">
        <v>60</v>
      </c>
      <c r="D245" s="5" t="str">
        <f>VLOOKUP($B245,Letters!$C$29:$D$52,2,FALSE) &amp; VLOOKUP($C245,Letters!$C$29:$D$52,2,FALSE)</f>
        <v>MJ</v>
      </c>
      <c r="E245" s="61"/>
      <c r="F245" s="5"/>
      <c r="G245" s="55">
        <f t="shared" si="24"/>
        <v>0</v>
      </c>
      <c r="H245" s="55">
        <f t="shared" si="25"/>
        <v>0</v>
      </c>
      <c r="I245" s="56"/>
    </row>
    <row r="246" ht="13.5">
      <c r="A246" s="54"/>
      <c r="B246" s="5" t="s">
        <v>64</v>
      </c>
      <c r="C246" s="5" t="s">
        <v>62</v>
      </c>
      <c r="D246" s="5" t="str">
        <f>VLOOKUP($B246,Letters!$C$29:$D$52,2,FALSE) &amp; VLOOKUP($C246,Letters!$C$29:$D$52,2,FALSE)</f>
        <v>MK</v>
      </c>
      <c r="E246" s="61"/>
      <c r="F246" s="5"/>
      <c r="G246" s="55">
        <f t="shared" si="24"/>
        <v>0</v>
      </c>
      <c r="H246" s="55">
        <f t="shared" si="25"/>
        <v>0</v>
      </c>
      <c r="I246" s="56"/>
    </row>
    <row r="247" ht="13.5">
      <c r="A247" s="60"/>
      <c r="B247" s="5" t="s">
        <v>64</v>
      </c>
      <c r="C247" s="5" t="s">
        <v>63</v>
      </c>
      <c r="D247" s="5" t="str">
        <f>VLOOKUP($B247,Letters!$C$29:$D$52,2,FALSE) &amp; VLOOKUP($C247,Letters!$C$29:$D$52,2,FALSE)</f>
        <v>ML</v>
      </c>
      <c r="E247" s="61"/>
      <c r="F247" s="5"/>
      <c r="G247" s="55">
        <f t="shared" si="24"/>
        <v>0</v>
      </c>
      <c r="H247" s="55">
        <f t="shared" si="25"/>
        <v>0</v>
      </c>
      <c r="I247" s="56"/>
    </row>
    <row r="248" ht="13.5">
      <c r="A248" s="54"/>
      <c r="B248" s="5" t="s">
        <v>64</v>
      </c>
      <c r="C248" s="5" t="s">
        <v>65</v>
      </c>
      <c r="D248" s="5" t="str">
        <f>VLOOKUP($B248,Letters!$C$29:$D$52,2,FALSE) &amp; VLOOKUP($C248,Letters!$C$29:$D$52,2,FALSE)</f>
        <v>MN</v>
      </c>
      <c r="E248" s="61"/>
      <c r="F248" s="5"/>
      <c r="G248" s="55">
        <f t="shared" si="24"/>
        <v>0</v>
      </c>
      <c r="H248" s="55">
        <f t="shared" si="25"/>
        <v>0</v>
      </c>
      <c r="I248" s="56"/>
    </row>
    <row r="249" ht="13.5">
      <c r="A249" s="54"/>
      <c r="B249" s="5" t="s">
        <v>64</v>
      </c>
      <c r="C249" s="5" t="s">
        <v>66</v>
      </c>
      <c r="D249" s="5" t="str">
        <f>VLOOKUP($B249,Letters!$C$29:$D$52,2,FALSE) &amp; VLOOKUP($C249,Letters!$C$29:$D$52,2,FALSE)</f>
        <v>MO</v>
      </c>
      <c r="E249" s="61"/>
      <c r="F249" s="5"/>
      <c r="G249" s="55">
        <f t="shared" si="24"/>
        <v>0</v>
      </c>
      <c r="H249" s="55">
        <f t="shared" si="25"/>
        <v>0</v>
      </c>
      <c r="I249" s="56"/>
    </row>
    <row r="250" ht="13.5">
      <c r="A250" s="54"/>
      <c r="B250" s="5" t="s">
        <v>64</v>
      </c>
      <c r="C250" s="5" t="s">
        <v>67</v>
      </c>
      <c r="D250" s="5" t="str">
        <f>VLOOKUP($B250,Letters!$C$29:$D$52,2,FALSE) &amp; VLOOKUP($C250,Letters!$C$29:$D$52,2,FALSE)</f>
        <v>MP</v>
      </c>
      <c r="E250" s="61"/>
      <c r="F250" s="5"/>
      <c r="G250" s="55">
        <f t="shared" si="24"/>
        <v>0</v>
      </c>
      <c r="H250" s="55">
        <f t="shared" si="25"/>
        <v>0</v>
      </c>
      <c r="I250" s="56"/>
    </row>
    <row r="251" ht="13.5">
      <c r="A251" s="54"/>
      <c r="B251" s="5" t="s">
        <v>64</v>
      </c>
      <c r="C251" s="5" t="s">
        <v>68</v>
      </c>
      <c r="D251" s="5" t="str">
        <f>VLOOKUP($B251,Letters!$C$29:$D$52,2,FALSE) &amp; VLOOKUP($C251,Letters!$C$29:$D$52,2,FALSE)</f>
        <v>MW</v>
      </c>
      <c r="E251" s="61"/>
      <c r="F251" s="5"/>
      <c r="G251" s="55">
        <f t="shared" si="24"/>
        <v>0</v>
      </c>
      <c r="H251" s="55">
        <f t="shared" si="25"/>
        <v>0</v>
      </c>
      <c r="I251" s="56"/>
    </row>
    <row r="252" ht="13.5">
      <c r="A252" s="54"/>
      <c r="B252" s="5" t="s">
        <v>64</v>
      </c>
      <c r="C252" s="5" t="s">
        <v>69</v>
      </c>
      <c r="D252" s="5" t="str">
        <f>VLOOKUP($B252,Letters!$C$29:$D$52,2,FALSE) &amp; VLOOKUP($C252,Letters!$C$29:$D$52,2,FALSE)</f>
        <v>MR</v>
      </c>
      <c r="E252" s="5" t="s">
        <v>410</v>
      </c>
      <c r="F252" s="5" t="s">
        <v>411</v>
      </c>
      <c r="G252" s="55">
        <f t="shared" si="24"/>
        <v>9</v>
      </c>
      <c r="H252" s="55">
        <f t="shared" si="25"/>
        <v>10</v>
      </c>
      <c r="I252" s="56"/>
    </row>
    <row r="253" ht="13.5">
      <c r="A253" s="60"/>
      <c r="B253" s="5" t="s">
        <v>64</v>
      </c>
      <c r="C253" s="5" t="s">
        <v>70</v>
      </c>
      <c r="D253" s="5" t="str">
        <f>VLOOKUP($B253,Letters!$C$29:$D$52,2,FALSE) &amp; VLOOKUP($C253,Letters!$C$29:$D$52,2,FALSE)</f>
        <v>MS</v>
      </c>
      <c r="E253" s="61"/>
      <c r="F253" s="5"/>
      <c r="G253" s="55">
        <f t="shared" si="24"/>
        <v>0</v>
      </c>
      <c r="H253" s="55">
        <f t="shared" si="25"/>
        <v>0</v>
      </c>
      <c r="I253" s="56"/>
    </row>
    <row r="254" ht="13.5">
      <c r="A254" s="60"/>
      <c r="B254" s="5" t="s">
        <v>64</v>
      </c>
      <c r="C254" s="5" t="s">
        <v>71</v>
      </c>
      <c r="D254" s="5" t="str">
        <f>VLOOKUP($B254,Letters!$C$29:$D$52,2,FALSE) &amp; VLOOKUP($C254,Letters!$C$29:$D$52,2,FALSE)</f>
        <v>MT</v>
      </c>
      <c r="E254" s="61"/>
      <c r="F254" s="5"/>
      <c r="G254" s="55">
        <f t="shared" si="24"/>
        <v>0</v>
      </c>
      <c r="H254" s="55">
        <f t="shared" si="25"/>
        <v>0</v>
      </c>
      <c r="I254" s="56"/>
    </row>
    <row r="255" ht="13.5">
      <c r="A255" s="60"/>
      <c r="B255" s="5" t="s">
        <v>64</v>
      </c>
      <c r="C255" s="5" t="s">
        <v>72</v>
      </c>
      <c r="D255" s="5" t="str">
        <f>VLOOKUP($B255,Letters!$C$29:$D$52,2,FALSE) &amp; VLOOKUP($C255,Letters!$C$29:$D$52,2,FALSE)</f>
        <v>MU</v>
      </c>
      <c r="E255" s="61"/>
      <c r="F255" s="5"/>
      <c r="G255" s="55">
        <f t="shared" si="24"/>
        <v>0</v>
      </c>
      <c r="H255" s="55">
        <f t="shared" si="25"/>
        <v>0</v>
      </c>
      <c r="I255" s="56"/>
    </row>
    <row r="256" ht="13.5">
      <c r="A256" s="54"/>
      <c r="B256" s="5" t="s">
        <v>64</v>
      </c>
      <c r="C256" s="5" t="s">
        <v>73</v>
      </c>
      <c r="D256" s="5" t="str">
        <f>VLOOKUP($B256,Letters!$C$29:$D$52,2,FALSE) &amp; VLOOKUP($C256,Letters!$C$29:$D$52,2,FALSE)</f>
        <v>MV</v>
      </c>
      <c r="E256" s="61"/>
      <c r="F256" s="5"/>
      <c r="G256" s="55">
        <f t="shared" si="24"/>
        <v>0</v>
      </c>
      <c r="H256" s="55">
        <f t="shared" si="25"/>
        <v>0</v>
      </c>
      <c r="I256" s="56">
        <f>AVERAGE(H237:H256)</f>
        <v>1.4</v>
      </c>
    </row>
    <row r="257">
      <c r="A257" s="54"/>
      <c r="B257" s="5"/>
      <c r="C257" s="5"/>
      <c r="D257" s="5"/>
      <c r="E257" s="5"/>
      <c r="F257" s="5"/>
      <c r="G257" s="55"/>
      <c r="H257" s="55"/>
      <c r="I257" s="56"/>
    </row>
    <row r="258" ht="13.5">
      <c r="A258" s="54"/>
      <c r="B258" s="5" t="s">
        <v>65</v>
      </c>
      <c r="C258" s="5" t="s">
        <v>50</v>
      </c>
      <c r="D258" s="5" t="str">
        <f>VLOOKUP($B258,Letters!$C$29:$D$52,2,FALSE) &amp; VLOOKUP($C258,Letters!$C$29:$D$52,2,FALSE)</f>
        <v>NA</v>
      </c>
      <c r="E258" s="61"/>
      <c r="F258" s="5"/>
      <c r="G258" s="55">
        <f t="shared" ref="G258:G277" si="26">(len($F258)-len(SUBSTITUTE($F258,"R","")))+(len($F258)-len(SUBSTITUTE($F258,"L","")))+(len($F258)-len(SUBSTITUTE($F258,"U","")))+(len($F258)-len(SUBSTITUTE($F258,"D","")))+(len($F258)-len(SUBSTITUTE($F258,"F","")))+(len($F258)-len(SUBSTITUTE($F258,"B","")))+(len($F258)-len(SUBSTITUTE($F258,"M","")))+(len($F258)-len(SUBSTITUTE($F258,"S","")))+(len($F258)-len(SUBSTITUTE($F258,"E","")))</f>
        <v>0</v>
      </c>
      <c r="H258" s="55">
        <f t="shared" ref="H258:H277" si="27">(len($F258)-len(SUBSTITUTE($F258,"R","")))+(len($F258)-len(SUBSTITUTE($F258,"L","")))+(len($F258)-len(SUBSTITUTE($F258,"U","")))+(len($F258)-len(SUBSTITUTE($F258,"D","")))+(len($F258)-len(SUBSTITUTE($F258,"F","")))+(len($F258)-len(SUBSTITUTE($F258,"B","")))+(len($F258)-len(SUBSTITUTE($F258,"M","")))+(len($F258)-len(SUBSTITUTE($F258,"S","")))+(len($F258)-len(SUBSTITUTE($F258,"E","")))+(len($F258)-len(SUBSTITUTE($F258,"2","")))</f>
        <v>0</v>
      </c>
      <c r="I258" s="56"/>
    </row>
    <row r="259" ht="13.5">
      <c r="A259" s="54"/>
      <c r="B259" s="5" t="s">
        <v>65</v>
      </c>
      <c r="C259" s="5" t="s">
        <v>52</v>
      </c>
      <c r="D259" s="5" t="str">
        <f>VLOOKUP($B259,Letters!$C$29:$D$52,2,FALSE) &amp; VLOOKUP($C259,Letters!$C$29:$D$52,2,FALSE)</f>
        <v>NB</v>
      </c>
      <c r="E259" s="61"/>
      <c r="F259" s="5"/>
      <c r="G259" s="55">
        <f t="shared" si="26"/>
        <v>0</v>
      </c>
      <c r="H259" s="55">
        <f t="shared" si="27"/>
        <v>0</v>
      </c>
      <c r="I259" s="56"/>
    </row>
    <row r="260" ht="13.5">
      <c r="A260" s="54"/>
      <c r="B260" s="5" t="s">
        <v>65</v>
      </c>
      <c r="C260" s="5" t="s">
        <v>53</v>
      </c>
      <c r="D260" s="5" t="str">
        <f>VLOOKUP($B260,Letters!$C$29:$D$52,2,FALSE) &amp; VLOOKUP($C260,Letters!$C$29:$D$52,2,FALSE)</f>
        <v>NC</v>
      </c>
      <c r="E260" s="61"/>
      <c r="F260" s="5"/>
      <c r="G260" s="55">
        <f t="shared" si="26"/>
        <v>0</v>
      </c>
      <c r="H260" s="55">
        <f t="shared" si="27"/>
        <v>0</v>
      </c>
      <c r="I260" s="56"/>
    </row>
    <row r="261" ht="13.5">
      <c r="A261" s="60"/>
      <c r="B261" s="5" t="s">
        <v>65</v>
      </c>
      <c r="C261" s="5" t="s">
        <v>54</v>
      </c>
      <c r="D261" s="5" t="str">
        <f>VLOOKUP($B261,Letters!$C$29:$D$52,2,FALSE) &amp; VLOOKUP($C261,Letters!$C$29:$D$52,2,FALSE)</f>
        <v>ND</v>
      </c>
      <c r="E261" s="61"/>
      <c r="F261" s="5"/>
      <c r="G261" s="55">
        <f t="shared" si="26"/>
        <v>0</v>
      </c>
      <c r="H261" s="55">
        <f t="shared" si="27"/>
        <v>0</v>
      </c>
      <c r="I261" s="56"/>
    </row>
    <row r="262" ht="13.5">
      <c r="A262" s="54"/>
      <c r="B262" s="5" t="s">
        <v>65</v>
      </c>
      <c r="C262" s="5" t="s">
        <v>55</v>
      </c>
      <c r="D262" s="5" t="str">
        <f>VLOOKUP($B262,Letters!$C$29:$D$52,2,FALSE) &amp; VLOOKUP($C262,Letters!$C$29:$D$52,2,FALSE)</f>
        <v>NE</v>
      </c>
      <c r="E262" s="61"/>
      <c r="F262" s="5"/>
      <c r="G262" s="55">
        <f t="shared" si="26"/>
        <v>0</v>
      </c>
      <c r="H262" s="55">
        <f t="shared" si="27"/>
        <v>0</v>
      </c>
      <c r="I262" s="56"/>
    </row>
    <row r="263" ht="13.5">
      <c r="A263" s="60"/>
      <c r="B263" s="5" t="s">
        <v>65</v>
      </c>
      <c r="C263" s="5" t="s">
        <v>56</v>
      </c>
      <c r="D263" s="5" t="str">
        <f>VLOOKUP($B263,Letters!$C$29:$D$52,2,FALSE) &amp; VLOOKUP($C263,Letters!$C$29:$D$52,2,FALSE)</f>
        <v>NF</v>
      </c>
      <c r="E263" s="61"/>
      <c r="F263" s="5"/>
      <c r="G263" s="55">
        <f t="shared" si="26"/>
        <v>0</v>
      </c>
      <c r="H263" s="55">
        <f t="shared" si="27"/>
        <v>0</v>
      </c>
      <c r="I263" s="56"/>
    </row>
    <row r="264" ht="13.5">
      <c r="A264" s="54"/>
      <c r="B264" s="5" t="s">
        <v>65</v>
      </c>
      <c r="C264" s="5" t="s">
        <v>57</v>
      </c>
      <c r="D264" s="5" t="str">
        <f>VLOOKUP($B264,Letters!$C$29:$D$52,2,FALSE) &amp; VLOOKUP($C264,Letters!$C$29:$D$52,2,FALSE)</f>
        <v>NG</v>
      </c>
      <c r="E264" s="61"/>
      <c r="F264" s="5"/>
      <c r="G264" s="55">
        <f t="shared" si="26"/>
        <v>0</v>
      </c>
      <c r="H264" s="55">
        <f t="shared" si="27"/>
        <v>0</v>
      </c>
      <c r="I264" s="56"/>
    </row>
    <row r="265" ht="13.5">
      <c r="A265" s="60"/>
      <c r="B265" s="5" t="s">
        <v>65</v>
      </c>
      <c r="C265" s="5" t="s">
        <v>58</v>
      </c>
      <c r="D265" s="5" t="str">
        <f>VLOOKUP($B265,Letters!$C$29:$D$52,2,FALSE) &amp; VLOOKUP($C265,Letters!$C$29:$D$52,2,FALSE)</f>
        <v>NH</v>
      </c>
      <c r="E265" s="61"/>
      <c r="F265" s="5"/>
      <c r="G265" s="55">
        <f t="shared" si="26"/>
        <v>0</v>
      </c>
      <c r="H265" s="55">
        <f t="shared" si="27"/>
        <v>0</v>
      </c>
      <c r="I265" s="56"/>
    </row>
    <row r="266" ht="13.5">
      <c r="A266" s="54"/>
      <c r="B266" s="5" t="s">
        <v>65</v>
      </c>
      <c r="C266" s="5" t="s">
        <v>60</v>
      </c>
      <c r="D266" s="5" t="str">
        <f>VLOOKUP($B266,Letters!$C$29:$D$52,2,FALSE) &amp; VLOOKUP($C266,Letters!$C$29:$D$52,2,FALSE)</f>
        <v>NJ</v>
      </c>
      <c r="E266" s="61"/>
      <c r="F266" s="5"/>
      <c r="G266" s="55">
        <f t="shared" si="26"/>
        <v>0</v>
      </c>
      <c r="H266" s="55">
        <f t="shared" si="27"/>
        <v>0</v>
      </c>
      <c r="I266" s="56"/>
    </row>
    <row r="267" ht="13.5">
      <c r="A267" s="60"/>
      <c r="B267" s="5" t="s">
        <v>65</v>
      </c>
      <c r="C267" s="5" t="s">
        <v>62</v>
      </c>
      <c r="D267" s="5" t="str">
        <f>VLOOKUP($B267,Letters!$C$29:$D$52,2,FALSE) &amp; VLOOKUP($C267,Letters!$C$29:$D$52,2,FALSE)</f>
        <v>NK</v>
      </c>
      <c r="E267" s="61"/>
      <c r="F267" s="5"/>
      <c r="G267" s="55">
        <f t="shared" si="26"/>
        <v>0</v>
      </c>
      <c r="H267" s="55">
        <f t="shared" si="27"/>
        <v>0</v>
      </c>
      <c r="I267" s="56"/>
    </row>
    <row r="268" ht="13.5">
      <c r="A268" s="54"/>
      <c r="B268" s="5" t="s">
        <v>65</v>
      </c>
      <c r="C268" s="5" t="s">
        <v>64</v>
      </c>
      <c r="D268" s="5" t="str">
        <f>VLOOKUP($B268,Letters!$C$29:$D$52,2,FALSE) &amp; VLOOKUP($C268,Letters!$C$29:$D$52,2,FALSE)</f>
        <v>NM</v>
      </c>
      <c r="E268" s="61"/>
      <c r="F268" s="5"/>
      <c r="G268" s="55">
        <f t="shared" si="26"/>
        <v>0</v>
      </c>
      <c r="H268" s="55">
        <f t="shared" si="27"/>
        <v>0</v>
      </c>
      <c r="I268" s="56"/>
    </row>
    <row r="269" ht="13.5">
      <c r="A269" s="54"/>
      <c r="B269" s="5" t="s">
        <v>65</v>
      </c>
      <c r="C269" s="5" t="s">
        <v>66</v>
      </c>
      <c r="D269" s="5" t="str">
        <f>VLOOKUP($B269,Letters!$C$29:$D$52,2,FALSE) &amp; VLOOKUP($C269,Letters!$C$29:$D$52,2,FALSE)</f>
        <v>NO</v>
      </c>
      <c r="E269" s="61"/>
      <c r="F269" s="5"/>
      <c r="G269" s="55">
        <f t="shared" si="26"/>
        <v>0</v>
      </c>
      <c r="H269" s="55">
        <f t="shared" si="27"/>
        <v>0</v>
      </c>
      <c r="I269" s="56"/>
    </row>
    <row r="270" ht="13.5">
      <c r="A270" s="54"/>
      <c r="B270" s="5" t="s">
        <v>65</v>
      </c>
      <c r="C270" s="5" t="s">
        <v>67</v>
      </c>
      <c r="D270" s="5" t="str">
        <f>VLOOKUP($B270,Letters!$C$29:$D$52,2,FALSE) &amp; VLOOKUP($C270,Letters!$C$29:$D$52,2,FALSE)</f>
        <v>NP</v>
      </c>
      <c r="E270" s="61"/>
      <c r="F270" s="5"/>
      <c r="G270" s="55">
        <f t="shared" si="26"/>
        <v>0</v>
      </c>
      <c r="H270" s="55">
        <f t="shared" si="27"/>
        <v>0</v>
      </c>
      <c r="I270" s="56"/>
    </row>
    <row r="271" ht="13.5">
      <c r="A271" s="54"/>
      <c r="B271" s="5" t="s">
        <v>65</v>
      </c>
      <c r="C271" s="5" t="s">
        <v>68</v>
      </c>
      <c r="D271" s="5" t="str">
        <f>VLOOKUP($B271,Letters!$C$29:$D$52,2,FALSE) &amp; VLOOKUP($C271,Letters!$C$29:$D$52,2,FALSE)</f>
        <v>NW</v>
      </c>
      <c r="E271" s="61"/>
      <c r="F271" s="5"/>
      <c r="G271" s="55">
        <f t="shared" si="26"/>
        <v>0</v>
      </c>
      <c r="H271" s="55">
        <f t="shared" si="27"/>
        <v>0</v>
      </c>
      <c r="I271" s="56"/>
    </row>
    <row r="272" ht="13.5">
      <c r="A272" s="60"/>
      <c r="B272" s="5" t="s">
        <v>65</v>
      </c>
      <c r="C272" s="5" t="s">
        <v>69</v>
      </c>
      <c r="D272" s="5" t="str">
        <f>VLOOKUP($B272,Letters!$C$29:$D$52,2,FALSE) &amp; VLOOKUP($C272,Letters!$C$29:$D$52,2,FALSE)</f>
        <v>NR</v>
      </c>
      <c r="E272" s="61"/>
      <c r="F272" s="5"/>
      <c r="G272" s="55">
        <f t="shared" si="26"/>
        <v>0</v>
      </c>
      <c r="H272" s="55">
        <f t="shared" si="27"/>
        <v>0</v>
      </c>
      <c r="I272" s="56"/>
    </row>
    <row r="273" ht="13.5">
      <c r="A273" s="60"/>
      <c r="B273" s="5" t="s">
        <v>65</v>
      </c>
      <c r="C273" s="5" t="s">
        <v>70</v>
      </c>
      <c r="D273" s="5" t="str">
        <f>VLOOKUP($B273,Letters!$C$29:$D$52,2,FALSE) &amp; VLOOKUP($C273,Letters!$C$29:$D$52,2,FALSE)</f>
        <v>NS</v>
      </c>
      <c r="E273" s="61"/>
      <c r="F273" s="5"/>
      <c r="G273" s="55">
        <f t="shared" si="26"/>
        <v>0</v>
      </c>
      <c r="H273" s="55">
        <f t="shared" si="27"/>
        <v>0</v>
      </c>
      <c r="I273" s="62"/>
    </row>
    <row r="274" ht="13.5">
      <c r="A274" s="60"/>
      <c r="B274" s="5" t="s">
        <v>65</v>
      </c>
      <c r="C274" s="5" t="s">
        <v>71</v>
      </c>
      <c r="D274" s="5" t="str">
        <f>VLOOKUP($B274,Letters!$C$29:$D$52,2,FALSE) &amp; VLOOKUP($C274,Letters!$C$29:$D$52,2,FALSE)</f>
        <v>NT</v>
      </c>
      <c r="E274" s="61"/>
      <c r="F274" s="5"/>
      <c r="G274" s="55">
        <f t="shared" si="26"/>
        <v>0</v>
      </c>
      <c r="H274" s="55">
        <f t="shared" si="27"/>
        <v>0</v>
      </c>
      <c r="I274" s="62"/>
    </row>
    <row r="275" ht="13.5">
      <c r="A275" s="60"/>
      <c r="B275" s="5" t="s">
        <v>65</v>
      </c>
      <c r="C275" s="5" t="s">
        <v>72</v>
      </c>
      <c r="D275" s="5" t="str">
        <f>VLOOKUP($B275,Letters!$C$29:$D$52,2,FALSE) &amp; VLOOKUP($C275,Letters!$C$29:$D$52,2,FALSE)</f>
        <v>NU</v>
      </c>
      <c r="E275" s="61"/>
      <c r="F275" s="5"/>
      <c r="G275" s="55">
        <f t="shared" si="26"/>
        <v>0</v>
      </c>
      <c r="H275" s="55">
        <f t="shared" si="27"/>
        <v>0</v>
      </c>
      <c r="I275" s="56"/>
    </row>
    <row r="276" ht="13.5">
      <c r="A276" s="60"/>
      <c r="B276" s="5" t="s">
        <v>65</v>
      </c>
      <c r="C276" s="5" t="s">
        <v>73</v>
      </c>
      <c r="D276" s="5" t="str">
        <f>VLOOKUP($B276,Letters!$C$29:$D$52,2,FALSE) &amp; VLOOKUP($C276,Letters!$C$29:$D$52,2,FALSE)</f>
        <v>NV</v>
      </c>
      <c r="E276" s="61"/>
      <c r="F276" s="5"/>
      <c r="G276" s="55">
        <f t="shared" si="26"/>
        <v>0</v>
      </c>
      <c r="H276" s="55">
        <f t="shared" si="27"/>
        <v>0</v>
      </c>
      <c r="I276" s="56"/>
    </row>
    <row r="277" ht="13.5">
      <c r="A277" s="60"/>
      <c r="B277" s="5" t="s">
        <v>65</v>
      </c>
      <c r="C277" s="5" t="s">
        <v>75</v>
      </c>
      <c r="D277" s="5" t="str">
        <f>VLOOKUP($B277,Letters!$C$29:$D$52,2,FALSE) &amp; VLOOKUP($C277,Letters!$C$29:$D$52,2,FALSE)</f>
        <v>NI</v>
      </c>
      <c r="E277" s="61"/>
      <c r="F277" s="5"/>
      <c r="G277" s="55">
        <f t="shared" si="26"/>
        <v>0</v>
      </c>
      <c r="H277" s="55">
        <f t="shared" si="27"/>
        <v>0</v>
      </c>
      <c r="I277" s="56">
        <f>AVERAGE(H258:H277)</f>
        <v>0</v>
      </c>
    </row>
    <row r="278">
      <c r="A278" s="60"/>
      <c r="B278" s="5"/>
      <c r="C278" s="5"/>
      <c r="D278" s="5"/>
      <c r="E278" s="5"/>
      <c r="F278" s="5"/>
      <c r="G278" s="55"/>
      <c r="H278" s="55"/>
      <c r="I278" s="56"/>
    </row>
    <row r="279" ht="13.5">
      <c r="A279" s="60"/>
      <c r="B279" s="5" t="s">
        <v>66</v>
      </c>
      <c r="C279" s="5" t="s">
        <v>50</v>
      </c>
      <c r="D279" s="5" t="str">
        <f>VLOOKUP($B279,Letters!$C$29:$D$52,2,FALSE) &amp; VLOOKUP($C279,Letters!$C$29:$D$52,2,FALSE)</f>
        <v>OA</v>
      </c>
      <c r="E279" s="61"/>
      <c r="F279" s="5"/>
      <c r="G279" s="55">
        <f t="shared" ref="G279:G298" si="28">(len($F279)-len(SUBSTITUTE($F279,"R","")))+(len($F279)-len(SUBSTITUTE($F279,"L","")))+(len($F279)-len(SUBSTITUTE($F279,"U","")))+(len($F279)-len(SUBSTITUTE($F279,"D","")))+(len($F279)-len(SUBSTITUTE($F279,"F","")))+(len($F279)-len(SUBSTITUTE($F279,"B","")))+(len($F279)-len(SUBSTITUTE($F279,"M","")))+(len($F279)-len(SUBSTITUTE($F279,"S","")))+(len($F279)-len(SUBSTITUTE($F279,"E","")))</f>
        <v>0</v>
      </c>
      <c r="H279" s="55">
        <f t="shared" ref="H279:H298" si="29">(len($F279)-len(SUBSTITUTE($F279,"R","")))+(len($F279)-len(SUBSTITUTE($F279,"L","")))+(len($F279)-len(SUBSTITUTE($F279,"U","")))+(len($F279)-len(SUBSTITUTE($F279,"D","")))+(len($F279)-len(SUBSTITUTE($F279,"F","")))+(len($F279)-len(SUBSTITUTE($F279,"B","")))+(len($F279)-len(SUBSTITUTE($F279,"M","")))+(len($F279)-len(SUBSTITUTE($F279,"S","")))+(len($F279)-len(SUBSTITUTE($F279,"E","")))+(len($F279)-len(SUBSTITUTE($F279,"2","")))</f>
        <v>0</v>
      </c>
      <c r="I279" s="56"/>
    </row>
    <row r="280" ht="13.5">
      <c r="A280" s="60"/>
      <c r="B280" s="5" t="s">
        <v>66</v>
      </c>
      <c r="C280" s="5" t="s">
        <v>52</v>
      </c>
      <c r="D280" s="5" t="str">
        <f>VLOOKUP($B280,Letters!$C$29:$D$52,2,FALSE) &amp; VLOOKUP($C280,Letters!$C$29:$D$52,2,FALSE)</f>
        <v>OB</v>
      </c>
      <c r="E280" s="61" t="s">
        <v>412</v>
      </c>
      <c r="F280" s="5"/>
      <c r="G280" s="55">
        <f t="shared" si="28"/>
        <v>0</v>
      </c>
      <c r="H280" s="55">
        <f t="shared" si="29"/>
        <v>0</v>
      </c>
      <c r="I280" s="56"/>
    </row>
    <row r="281" ht="13.5">
      <c r="A281" s="60"/>
      <c r="B281" s="5" t="s">
        <v>66</v>
      </c>
      <c r="C281" s="5" t="s">
        <v>53</v>
      </c>
      <c r="D281" s="5" t="str">
        <f>VLOOKUP($B281,Letters!$C$29:$D$52,2,FALSE) &amp; VLOOKUP($C281,Letters!$C$29:$D$52,2,FALSE)</f>
        <v>OC</v>
      </c>
      <c r="E281" s="61"/>
      <c r="F281" s="5"/>
      <c r="G281" s="55">
        <f t="shared" si="28"/>
        <v>0</v>
      </c>
      <c r="H281" s="55">
        <f t="shared" si="29"/>
        <v>0</v>
      </c>
      <c r="I281" s="56"/>
    </row>
    <row r="282" ht="13.5">
      <c r="A282" s="60"/>
      <c r="B282" s="5" t="s">
        <v>66</v>
      </c>
      <c r="C282" s="5" t="s">
        <v>55</v>
      </c>
      <c r="D282" s="5" t="str">
        <f>VLOOKUP($B282,Letters!$C$29:$D$52,2,FALSE) &amp; VLOOKUP($C282,Letters!$C$29:$D$52,2,FALSE)</f>
        <v>OE</v>
      </c>
      <c r="E282" s="61"/>
      <c r="F282" s="5"/>
      <c r="G282" s="55">
        <f t="shared" si="28"/>
        <v>0</v>
      </c>
      <c r="H282" s="55">
        <f t="shared" si="29"/>
        <v>0</v>
      </c>
      <c r="I282" s="56"/>
    </row>
    <row r="283" ht="13.5">
      <c r="A283" s="60"/>
      <c r="B283" s="5" t="s">
        <v>66</v>
      </c>
      <c r="C283" s="5" t="s">
        <v>56</v>
      </c>
      <c r="D283" s="5" t="str">
        <f>VLOOKUP($B283,Letters!$C$29:$D$52,2,FALSE) &amp; VLOOKUP($C283,Letters!$C$29:$D$52,2,FALSE)</f>
        <v>OF</v>
      </c>
      <c r="E283" s="61"/>
      <c r="F283" s="5"/>
      <c r="G283" s="55">
        <f t="shared" si="28"/>
        <v>0</v>
      </c>
      <c r="H283" s="55">
        <f t="shared" si="29"/>
        <v>0</v>
      </c>
      <c r="I283" s="56"/>
    </row>
    <row r="284" ht="13.5">
      <c r="A284" s="60"/>
      <c r="B284" s="5" t="s">
        <v>66</v>
      </c>
      <c r="C284" s="5" t="s">
        <v>57</v>
      </c>
      <c r="D284" s="5" t="str">
        <f>VLOOKUP($B284,Letters!$C$29:$D$52,2,FALSE) &amp; VLOOKUP($C284,Letters!$C$29:$D$52,2,FALSE)</f>
        <v>OG</v>
      </c>
      <c r="E284" s="61"/>
      <c r="F284" s="5"/>
      <c r="G284" s="55">
        <f t="shared" si="28"/>
        <v>0</v>
      </c>
      <c r="H284" s="55">
        <f t="shared" si="29"/>
        <v>0</v>
      </c>
      <c r="I284" s="56"/>
    </row>
    <row r="285" ht="13.5">
      <c r="A285" s="60"/>
      <c r="B285" s="5" t="s">
        <v>66</v>
      </c>
      <c r="C285" s="5" t="s">
        <v>58</v>
      </c>
      <c r="D285" s="5" t="str">
        <f>VLOOKUP($B285,Letters!$C$29:$D$52,2,FALSE) &amp; VLOOKUP($C285,Letters!$C$29:$D$52,2,FALSE)</f>
        <v>OH</v>
      </c>
      <c r="E285" s="61"/>
      <c r="F285" s="5"/>
      <c r="G285" s="55">
        <f t="shared" si="28"/>
        <v>0</v>
      </c>
      <c r="H285" s="55">
        <f t="shared" si="29"/>
        <v>0</v>
      </c>
      <c r="I285" s="56"/>
    </row>
    <row r="286" ht="13.5">
      <c r="A286" s="54"/>
      <c r="B286" s="5" t="s">
        <v>66</v>
      </c>
      <c r="C286" s="5" t="s">
        <v>60</v>
      </c>
      <c r="D286" s="5" t="str">
        <f>VLOOKUP($B286,Letters!$C$29:$D$52,2,FALSE) &amp; VLOOKUP($C286,Letters!$C$29:$D$52,2,FALSE)</f>
        <v>OJ</v>
      </c>
      <c r="E286" s="61"/>
      <c r="F286" s="5"/>
      <c r="G286" s="55">
        <f t="shared" si="28"/>
        <v>0</v>
      </c>
      <c r="H286" s="55">
        <f t="shared" si="29"/>
        <v>0</v>
      </c>
      <c r="I286" s="56"/>
    </row>
    <row r="287" ht="13.5">
      <c r="A287" s="54"/>
      <c r="B287" s="5" t="s">
        <v>66</v>
      </c>
      <c r="C287" s="5" t="s">
        <v>62</v>
      </c>
      <c r="D287" s="5" t="str">
        <f>VLOOKUP($B287,Letters!$C$29:$D$52,2,FALSE) &amp; VLOOKUP($C287,Letters!$C$29:$D$52,2,FALSE)</f>
        <v>OK</v>
      </c>
      <c r="E287" s="61"/>
      <c r="F287" s="5"/>
      <c r="G287" s="55">
        <f t="shared" si="28"/>
        <v>0</v>
      </c>
      <c r="H287" s="55">
        <f t="shared" si="29"/>
        <v>0</v>
      </c>
      <c r="I287" s="56"/>
    </row>
    <row r="288" ht="13.5">
      <c r="A288" s="54"/>
      <c r="B288" s="5" t="s">
        <v>66</v>
      </c>
      <c r="C288" s="5" t="s">
        <v>63</v>
      </c>
      <c r="D288" s="5" t="str">
        <f>VLOOKUP($B288,Letters!$C$29:$D$52,2,FALSE) &amp; VLOOKUP($C288,Letters!$C$29:$D$52,2,FALSE)</f>
        <v>OL</v>
      </c>
      <c r="E288" s="61"/>
      <c r="F288" s="5"/>
      <c r="G288" s="55">
        <f t="shared" si="28"/>
        <v>0</v>
      </c>
      <c r="H288" s="55">
        <f t="shared" si="29"/>
        <v>0</v>
      </c>
      <c r="I288" s="56"/>
    </row>
    <row r="289" ht="13.5">
      <c r="A289" s="54"/>
      <c r="B289" s="5" t="s">
        <v>66</v>
      </c>
      <c r="C289" s="5" t="s">
        <v>64</v>
      </c>
      <c r="D289" s="5" t="str">
        <f>VLOOKUP($B289,Letters!$C$29:$D$52,2,FALSE) &amp; VLOOKUP($C289,Letters!$C$29:$D$52,2,FALSE)</f>
        <v>OM</v>
      </c>
      <c r="E289" s="61"/>
      <c r="F289" s="5"/>
      <c r="G289" s="55">
        <f t="shared" si="28"/>
        <v>0</v>
      </c>
      <c r="H289" s="55">
        <f t="shared" si="29"/>
        <v>0</v>
      </c>
      <c r="I289" s="56"/>
    </row>
    <row r="290" ht="13.5">
      <c r="A290" s="54"/>
      <c r="B290" s="5" t="s">
        <v>66</v>
      </c>
      <c r="C290" s="5" t="s">
        <v>65</v>
      </c>
      <c r="D290" s="5" t="str">
        <f>VLOOKUP($B290,Letters!$C$29:$D$52,2,FALSE) &amp; VLOOKUP($C290,Letters!$C$29:$D$52,2,FALSE)</f>
        <v>ON</v>
      </c>
      <c r="E290" s="61"/>
      <c r="F290" s="5"/>
      <c r="G290" s="55">
        <f t="shared" si="28"/>
        <v>0</v>
      </c>
      <c r="H290" s="55">
        <f t="shared" si="29"/>
        <v>0</v>
      </c>
      <c r="I290" s="56"/>
    </row>
    <row r="291" ht="13.5">
      <c r="A291" s="60"/>
      <c r="B291" s="5" t="s">
        <v>66</v>
      </c>
      <c r="C291" s="5" t="s">
        <v>67</v>
      </c>
      <c r="D291" s="5" t="str">
        <f>VLOOKUP($B291,Letters!$C$29:$D$52,2,FALSE) &amp; VLOOKUP($C291,Letters!$C$29:$D$52,2,FALSE)</f>
        <v>OP</v>
      </c>
      <c r="E291" s="61"/>
      <c r="F291" s="5"/>
      <c r="G291" s="55">
        <f t="shared" si="28"/>
        <v>0</v>
      </c>
      <c r="H291" s="55">
        <f t="shared" si="29"/>
        <v>0</v>
      </c>
      <c r="I291" s="56"/>
    </row>
    <row r="292" ht="13.5">
      <c r="A292" s="54"/>
      <c r="B292" s="5" t="s">
        <v>66</v>
      </c>
      <c r="C292" s="5" t="s">
        <v>68</v>
      </c>
      <c r="D292" s="5" t="str">
        <f>VLOOKUP($B292,Letters!$C$29:$D$52,2,FALSE) &amp; VLOOKUP($C292,Letters!$C$29:$D$52,2,FALSE)</f>
        <v>OW</v>
      </c>
      <c r="E292" s="61"/>
      <c r="F292" s="5"/>
      <c r="G292" s="55">
        <f t="shared" si="28"/>
        <v>0</v>
      </c>
      <c r="H292" s="55">
        <f t="shared" si="29"/>
        <v>0</v>
      </c>
      <c r="I292" s="56"/>
    </row>
    <row r="293" ht="13.5">
      <c r="A293" s="54"/>
      <c r="B293" s="5" t="s">
        <v>66</v>
      </c>
      <c r="C293" s="5" t="s">
        <v>69</v>
      </c>
      <c r="D293" s="5" t="str">
        <f>VLOOKUP($B293,Letters!$C$29:$D$52,2,FALSE) &amp; VLOOKUP($C293,Letters!$C$29:$D$52,2,FALSE)</f>
        <v>OR</v>
      </c>
      <c r="E293" s="61"/>
      <c r="F293" s="5"/>
      <c r="G293" s="55">
        <f t="shared" si="28"/>
        <v>0</v>
      </c>
      <c r="H293" s="55">
        <f t="shared" si="29"/>
        <v>0</v>
      </c>
      <c r="I293" s="56"/>
    </row>
    <row r="294" ht="13.5">
      <c r="A294" s="54"/>
      <c r="B294" s="5" t="s">
        <v>66</v>
      </c>
      <c r="C294" s="5" t="s">
        <v>70</v>
      </c>
      <c r="D294" s="5" t="str">
        <f>VLOOKUP($B294,Letters!$C$29:$D$52,2,FALSE) &amp; VLOOKUP($C294,Letters!$C$29:$D$52,2,FALSE)</f>
        <v>OS</v>
      </c>
      <c r="E294" s="61"/>
      <c r="F294" s="5"/>
      <c r="G294" s="55">
        <f t="shared" si="28"/>
        <v>0</v>
      </c>
      <c r="H294" s="55">
        <f t="shared" si="29"/>
        <v>0</v>
      </c>
      <c r="I294" s="56"/>
    </row>
    <row r="295" ht="13.5">
      <c r="A295" s="54"/>
      <c r="B295" s="5" t="s">
        <v>66</v>
      </c>
      <c r="C295" s="5" t="s">
        <v>71</v>
      </c>
      <c r="D295" s="5" t="str">
        <f>VLOOKUP($B295,Letters!$C$29:$D$52,2,FALSE) &amp; VLOOKUP($C295,Letters!$C$29:$D$52,2,FALSE)</f>
        <v>OT</v>
      </c>
      <c r="E295" s="61"/>
      <c r="F295" s="5"/>
      <c r="G295" s="55">
        <f t="shared" si="28"/>
        <v>0</v>
      </c>
      <c r="H295" s="55">
        <f t="shared" si="29"/>
        <v>0</v>
      </c>
      <c r="I295" s="56"/>
    </row>
    <row r="296" ht="13.5">
      <c r="A296" s="54"/>
      <c r="B296" s="5" t="s">
        <v>66</v>
      </c>
      <c r="C296" s="5" t="s">
        <v>72</v>
      </c>
      <c r="D296" s="5" t="str">
        <f>VLOOKUP($B296,Letters!$C$29:$D$52,2,FALSE) &amp; VLOOKUP($C296,Letters!$C$29:$D$52,2,FALSE)</f>
        <v>OU</v>
      </c>
      <c r="E296" s="61"/>
      <c r="F296" s="5"/>
      <c r="G296" s="55">
        <f t="shared" si="28"/>
        <v>0</v>
      </c>
      <c r="H296" s="55">
        <f t="shared" si="29"/>
        <v>0</v>
      </c>
      <c r="I296" s="56"/>
    </row>
    <row r="297" ht="13.5">
      <c r="A297" s="54"/>
      <c r="B297" s="5" t="s">
        <v>66</v>
      </c>
      <c r="C297" s="5" t="s">
        <v>73</v>
      </c>
      <c r="D297" s="5" t="str">
        <f>VLOOKUP($B297,Letters!$C$29:$D$52,2,FALSE) &amp; VLOOKUP($C297,Letters!$C$29:$D$52,2,FALSE)</f>
        <v>OV</v>
      </c>
      <c r="E297" s="61"/>
      <c r="F297" s="5"/>
      <c r="G297" s="55">
        <f t="shared" si="28"/>
        <v>0</v>
      </c>
      <c r="H297" s="55">
        <f t="shared" si="29"/>
        <v>0</v>
      </c>
      <c r="I297" s="56"/>
    </row>
    <row r="298" ht="13.5">
      <c r="A298" s="60"/>
      <c r="B298" s="5" t="s">
        <v>66</v>
      </c>
      <c r="C298" s="5" t="s">
        <v>75</v>
      </c>
      <c r="D298" s="5" t="str">
        <f>VLOOKUP($B298,Letters!$C$29:$D$52,2,FALSE) &amp; VLOOKUP($C298,Letters!$C$29:$D$52,2,FALSE)</f>
        <v>OI</v>
      </c>
      <c r="E298" s="61" t="s">
        <v>413</v>
      </c>
      <c r="F298" s="5"/>
      <c r="G298" s="55">
        <f t="shared" si="28"/>
        <v>0</v>
      </c>
      <c r="H298" s="55">
        <f t="shared" si="29"/>
        <v>0</v>
      </c>
      <c r="I298" s="56">
        <f>AVERAGE(H279:H298)</f>
        <v>0</v>
      </c>
    </row>
    <row r="299">
      <c r="A299" s="54"/>
      <c r="B299" s="5"/>
      <c r="C299" s="5"/>
      <c r="D299" s="5"/>
      <c r="E299" s="5"/>
      <c r="F299" s="5"/>
      <c r="G299" s="55"/>
      <c r="H299" s="55"/>
      <c r="I299" s="56"/>
    </row>
    <row r="300" ht="13.5">
      <c r="A300" s="54"/>
      <c r="B300" s="5" t="s">
        <v>67</v>
      </c>
      <c r="C300" s="5" t="s">
        <v>50</v>
      </c>
      <c r="D300" s="5" t="str">
        <f>VLOOKUP($B300,Letters!$C$29:$D$52,2,FALSE) &amp; VLOOKUP($C300,Letters!$C$29:$D$52,2,FALSE)</f>
        <v>PA</v>
      </c>
      <c r="E300" s="61"/>
      <c r="F300" s="5"/>
      <c r="G300" s="55">
        <f t="shared" ref="G300:G319" si="30">(len($F300)-len(SUBSTITUTE($F300,"R","")))+(len($F300)-len(SUBSTITUTE($F300,"L","")))+(len($F300)-len(SUBSTITUTE($F300,"U","")))+(len($F300)-len(SUBSTITUTE($F300,"D","")))+(len($F300)-len(SUBSTITUTE($F300,"F","")))+(len($F300)-len(SUBSTITUTE($F300,"B","")))+(len($F300)-len(SUBSTITUTE($F300,"M","")))+(len($F300)-len(SUBSTITUTE($F300,"S","")))+(len($F300)-len(SUBSTITUTE($F300,"E","")))</f>
        <v>0</v>
      </c>
      <c r="H300" s="55">
        <f t="shared" ref="H300:H319" si="31">(len($F300)-len(SUBSTITUTE($F300,"R","")))+(len($F300)-len(SUBSTITUTE($F300,"L","")))+(len($F300)-len(SUBSTITUTE($F300,"U","")))+(len($F300)-len(SUBSTITUTE($F300,"D","")))+(len($F300)-len(SUBSTITUTE($F300,"F","")))+(len($F300)-len(SUBSTITUTE($F300,"B","")))+(len($F300)-len(SUBSTITUTE($F300,"M","")))+(len($F300)-len(SUBSTITUTE($F300,"S","")))+(len($F300)-len(SUBSTITUTE($F300,"E","")))+(len($F300)-len(SUBSTITUTE($F300,"2","")))</f>
        <v>0</v>
      </c>
      <c r="I300" s="56"/>
    </row>
    <row r="301" ht="13.5">
      <c r="A301" s="60"/>
      <c r="B301" s="5" t="s">
        <v>67</v>
      </c>
      <c r="C301" s="5" t="s">
        <v>52</v>
      </c>
      <c r="D301" s="5" t="str">
        <f>VLOOKUP($B301,Letters!$C$29:$D$52,2,FALSE) &amp; VLOOKUP($C301,Letters!$C$29:$D$52,2,FALSE)</f>
        <v>PB</v>
      </c>
      <c r="E301" s="61"/>
      <c r="F301" s="5"/>
      <c r="G301" s="55">
        <f t="shared" si="30"/>
        <v>0</v>
      </c>
      <c r="H301" s="55">
        <f t="shared" si="31"/>
        <v>0</v>
      </c>
      <c r="I301" s="56"/>
    </row>
    <row r="302" ht="13.5">
      <c r="A302" s="54"/>
      <c r="B302" s="5" t="s">
        <v>67</v>
      </c>
      <c r="C302" s="5" t="s">
        <v>53</v>
      </c>
      <c r="D302" s="5" t="str">
        <f>VLOOKUP($B302,Letters!$C$29:$D$52,2,FALSE) &amp; VLOOKUP($C302,Letters!$C$29:$D$52,2,FALSE)</f>
        <v>PC</v>
      </c>
      <c r="E302" s="61"/>
      <c r="F302" s="5"/>
      <c r="G302" s="55">
        <f t="shared" si="30"/>
        <v>0</v>
      </c>
      <c r="H302" s="55">
        <f t="shared" si="31"/>
        <v>0</v>
      </c>
      <c r="I302" s="56"/>
    </row>
    <row r="303" ht="13.5">
      <c r="A303" s="54"/>
      <c r="B303" s="5" t="s">
        <v>67</v>
      </c>
      <c r="C303" s="5" t="s">
        <v>54</v>
      </c>
      <c r="D303" s="5" t="str">
        <f>VLOOKUP($B303,Letters!$C$29:$D$52,2,FALSE) &amp; VLOOKUP($C303,Letters!$C$29:$D$52,2,FALSE)</f>
        <v>PD</v>
      </c>
      <c r="E303" s="61"/>
      <c r="F303" s="5"/>
      <c r="G303" s="55">
        <f t="shared" si="30"/>
        <v>0</v>
      </c>
      <c r="H303" s="55">
        <f t="shared" si="31"/>
        <v>0</v>
      </c>
      <c r="I303" s="56"/>
    </row>
    <row r="304" ht="13.5">
      <c r="A304" s="60"/>
      <c r="B304" s="5" t="s">
        <v>67</v>
      </c>
      <c r="C304" s="5" t="s">
        <v>55</v>
      </c>
      <c r="D304" s="5" t="str">
        <f>VLOOKUP($B304,Letters!$C$29:$D$52,2,FALSE) &amp; VLOOKUP($C304,Letters!$C$29:$D$52,2,FALSE)</f>
        <v>PE</v>
      </c>
      <c r="E304" s="61"/>
      <c r="F304" s="5"/>
      <c r="G304" s="55">
        <f t="shared" si="30"/>
        <v>0</v>
      </c>
      <c r="H304" s="55">
        <f t="shared" si="31"/>
        <v>0</v>
      </c>
      <c r="I304" s="56"/>
    </row>
    <row r="305" ht="13.5">
      <c r="A305" s="54"/>
      <c r="B305" s="5" t="s">
        <v>67</v>
      </c>
      <c r="C305" s="5" t="s">
        <v>56</v>
      </c>
      <c r="D305" s="5" t="str">
        <f>VLOOKUP($B305,Letters!$C$29:$D$52,2,FALSE) &amp; VLOOKUP($C305,Letters!$C$29:$D$52,2,FALSE)</f>
        <v>PF</v>
      </c>
      <c r="E305" s="61"/>
      <c r="F305" s="5"/>
      <c r="G305" s="55">
        <f t="shared" si="30"/>
        <v>0</v>
      </c>
      <c r="H305" s="55">
        <f t="shared" si="31"/>
        <v>0</v>
      </c>
      <c r="I305" s="56"/>
    </row>
    <row r="306" ht="13.5">
      <c r="A306" s="54"/>
      <c r="B306" s="5" t="s">
        <v>67</v>
      </c>
      <c r="C306" s="5" t="s">
        <v>57</v>
      </c>
      <c r="D306" s="5" t="str">
        <f>VLOOKUP($B306,Letters!$C$29:$D$52,2,FALSE) &amp; VLOOKUP($C306,Letters!$C$29:$D$52,2,FALSE)</f>
        <v>PG</v>
      </c>
      <c r="E306" s="61"/>
      <c r="F306" s="5"/>
      <c r="G306" s="55">
        <f t="shared" si="30"/>
        <v>0</v>
      </c>
      <c r="H306" s="55">
        <f t="shared" si="31"/>
        <v>0</v>
      </c>
      <c r="I306" s="56"/>
    </row>
    <row r="307" ht="13.5">
      <c r="A307" s="54"/>
      <c r="B307" s="5" t="s">
        <v>67</v>
      </c>
      <c r="C307" s="5" t="s">
        <v>58</v>
      </c>
      <c r="D307" s="5" t="str">
        <f>VLOOKUP($B307,Letters!$C$29:$D$52,2,FALSE) &amp; VLOOKUP($C307,Letters!$C$29:$D$52,2,FALSE)</f>
        <v>PH</v>
      </c>
      <c r="E307" s="61"/>
      <c r="F307" s="5"/>
      <c r="G307" s="55">
        <f t="shared" si="30"/>
        <v>0</v>
      </c>
      <c r="H307" s="55">
        <f t="shared" si="31"/>
        <v>0</v>
      </c>
      <c r="I307" s="56"/>
    </row>
    <row r="308" ht="13.5">
      <c r="A308" s="54"/>
      <c r="B308" s="5" t="s">
        <v>67</v>
      </c>
      <c r="C308" s="5" t="s">
        <v>60</v>
      </c>
      <c r="D308" s="5" t="str">
        <f>VLOOKUP($B308,Letters!$C$29:$D$52,2,FALSE) &amp; VLOOKUP($C308,Letters!$C$29:$D$52,2,FALSE)</f>
        <v>PJ</v>
      </c>
      <c r="E308" s="61"/>
      <c r="F308" s="5"/>
      <c r="G308" s="55">
        <f t="shared" si="30"/>
        <v>0</v>
      </c>
      <c r="H308" s="55">
        <f t="shared" si="31"/>
        <v>0</v>
      </c>
      <c r="I308" s="56"/>
    </row>
    <row r="309" ht="13.5">
      <c r="A309" s="54"/>
      <c r="B309" s="5" t="s">
        <v>67</v>
      </c>
      <c r="C309" s="5" t="s">
        <v>62</v>
      </c>
      <c r="D309" s="5" t="str">
        <f>VLOOKUP($B309,Letters!$C$29:$D$52,2,FALSE) &amp; VLOOKUP($C309,Letters!$C$29:$D$52,2,FALSE)</f>
        <v>PK</v>
      </c>
      <c r="E309" s="61"/>
      <c r="F309" s="5"/>
      <c r="G309" s="55">
        <f t="shared" si="30"/>
        <v>0</v>
      </c>
      <c r="H309" s="55">
        <f t="shared" si="31"/>
        <v>0</v>
      </c>
      <c r="I309" s="56"/>
    </row>
    <row r="310" ht="13.5">
      <c r="A310" s="60"/>
      <c r="B310" s="5" t="s">
        <v>67</v>
      </c>
      <c r="C310" s="5" t="s">
        <v>63</v>
      </c>
      <c r="D310" s="5" t="str">
        <f>VLOOKUP($B310,Letters!$C$29:$D$52,2,FALSE) &amp; VLOOKUP($C310,Letters!$C$29:$D$52,2,FALSE)</f>
        <v>PL</v>
      </c>
      <c r="E310" s="61"/>
      <c r="F310" s="5"/>
      <c r="G310" s="55">
        <f t="shared" si="30"/>
        <v>0</v>
      </c>
      <c r="H310" s="55">
        <f t="shared" si="31"/>
        <v>0</v>
      </c>
      <c r="I310" s="56"/>
    </row>
    <row r="311" ht="13.5">
      <c r="A311" s="54"/>
      <c r="B311" s="5" t="s">
        <v>67</v>
      </c>
      <c r="C311" s="5" t="s">
        <v>64</v>
      </c>
      <c r="D311" s="5" t="str">
        <f>VLOOKUP($B311,Letters!$C$29:$D$52,2,FALSE) &amp; VLOOKUP($C311,Letters!$C$29:$D$52,2,FALSE)</f>
        <v>PM</v>
      </c>
      <c r="E311" s="61"/>
      <c r="F311" s="5"/>
      <c r="G311" s="55">
        <f t="shared" si="30"/>
        <v>0</v>
      </c>
      <c r="H311" s="55">
        <f t="shared" si="31"/>
        <v>0</v>
      </c>
      <c r="I311" s="56"/>
    </row>
    <row r="312" ht="13.5">
      <c r="A312" s="54"/>
      <c r="B312" s="5" t="s">
        <v>67</v>
      </c>
      <c r="C312" s="5" t="s">
        <v>65</v>
      </c>
      <c r="D312" s="5" t="str">
        <f>VLOOKUP($B312,Letters!$C$29:$D$52,2,FALSE) &amp; VLOOKUP($C312,Letters!$C$29:$D$52,2,FALSE)</f>
        <v>PN</v>
      </c>
      <c r="E312" s="61"/>
      <c r="F312" s="5"/>
      <c r="G312" s="55">
        <f t="shared" si="30"/>
        <v>0</v>
      </c>
      <c r="H312" s="55">
        <f t="shared" si="31"/>
        <v>0</v>
      </c>
      <c r="I312" s="56"/>
    </row>
    <row r="313" ht="13.5">
      <c r="A313" s="54"/>
      <c r="B313" s="5" t="s">
        <v>67</v>
      </c>
      <c r="C313" s="5" t="s">
        <v>66</v>
      </c>
      <c r="D313" s="5" t="str">
        <f>VLOOKUP($B313,Letters!$C$29:$D$52,2,FALSE) &amp; VLOOKUP($C313,Letters!$C$29:$D$52,2,FALSE)</f>
        <v>PO</v>
      </c>
      <c r="E313" s="61"/>
      <c r="F313" s="5"/>
      <c r="G313" s="55">
        <f t="shared" si="30"/>
        <v>0</v>
      </c>
      <c r="H313" s="55">
        <f t="shared" si="31"/>
        <v>0</v>
      </c>
      <c r="I313" s="56"/>
    </row>
    <row r="314" ht="13.5">
      <c r="A314" s="54"/>
      <c r="B314" s="5" t="s">
        <v>67</v>
      </c>
      <c r="C314" s="5" t="s">
        <v>68</v>
      </c>
      <c r="D314" s="5" t="str">
        <f>VLOOKUP($B314,Letters!$C$29:$D$52,2,FALSE) &amp; VLOOKUP($C314,Letters!$C$29:$D$52,2,FALSE)</f>
        <v>PW</v>
      </c>
      <c r="E314" s="61"/>
      <c r="F314" s="5"/>
      <c r="G314" s="55">
        <f t="shared" si="30"/>
        <v>0</v>
      </c>
      <c r="H314" s="55">
        <f t="shared" si="31"/>
        <v>0</v>
      </c>
      <c r="I314" s="56"/>
    </row>
    <row r="315" ht="13.5">
      <c r="A315" s="60"/>
      <c r="B315" s="5" t="s">
        <v>67</v>
      </c>
      <c r="C315" s="5" t="s">
        <v>70</v>
      </c>
      <c r="D315" s="5" t="str">
        <f>VLOOKUP($B315,Letters!$C$29:$D$52,2,FALSE) &amp; VLOOKUP($C315,Letters!$C$29:$D$52,2,FALSE)</f>
        <v>PS</v>
      </c>
      <c r="E315" s="61"/>
      <c r="F315" s="5"/>
      <c r="G315" s="55">
        <f t="shared" si="30"/>
        <v>0</v>
      </c>
      <c r="H315" s="55">
        <f t="shared" si="31"/>
        <v>0</v>
      </c>
      <c r="I315" s="62"/>
    </row>
    <row r="316" ht="13.5">
      <c r="A316" s="54"/>
      <c r="B316" s="5" t="s">
        <v>67</v>
      </c>
      <c r="C316" s="5" t="s">
        <v>71</v>
      </c>
      <c r="D316" s="5" t="str">
        <f>VLOOKUP($B316,Letters!$C$29:$D$52,2,FALSE) &amp; VLOOKUP($C316,Letters!$C$29:$D$52,2,FALSE)</f>
        <v>PT</v>
      </c>
      <c r="E316" s="61"/>
      <c r="F316" s="5"/>
      <c r="G316" s="55">
        <f t="shared" si="30"/>
        <v>0</v>
      </c>
      <c r="H316" s="55">
        <f t="shared" si="31"/>
        <v>0</v>
      </c>
      <c r="I316" s="62"/>
    </row>
    <row r="317" ht="13.5">
      <c r="A317" s="54"/>
      <c r="B317" s="5" t="s">
        <v>67</v>
      </c>
      <c r="C317" s="5" t="s">
        <v>72</v>
      </c>
      <c r="D317" s="5" t="str">
        <f>VLOOKUP($B317,Letters!$C$29:$D$52,2,FALSE) &amp; VLOOKUP($C317,Letters!$C$29:$D$52,2,FALSE)</f>
        <v>PU</v>
      </c>
      <c r="E317" s="61"/>
      <c r="F317" s="5"/>
      <c r="G317" s="55">
        <f t="shared" si="30"/>
        <v>0</v>
      </c>
      <c r="H317" s="55">
        <f t="shared" si="31"/>
        <v>0</v>
      </c>
      <c r="I317" s="56"/>
    </row>
    <row r="318" ht="13.5">
      <c r="A318" s="54"/>
      <c r="B318" s="5" t="s">
        <v>67</v>
      </c>
      <c r="C318" s="5" t="s">
        <v>73</v>
      </c>
      <c r="D318" s="5" t="str">
        <f>VLOOKUP($B318,Letters!$C$29:$D$52,2,FALSE) &amp; VLOOKUP($C318,Letters!$C$29:$D$52,2,FALSE)</f>
        <v>PV</v>
      </c>
      <c r="E318" s="5" t="s">
        <v>414</v>
      </c>
      <c r="F318" s="5" t="s">
        <v>415</v>
      </c>
      <c r="G318" s="55">
        <f t="shared" si="30"/>
        <v>8</v>
      </c>
      <c r="H318" s="55">
        <f t="shared" si="31"/>
        <v>8</v>
      </c>
      <c r="I318" s="56"/>
    </row>
    <row r="319" ht="13.5">
      <c r="A319" s="60"/>
      <c r="B319" s="5" t="s">
        <v>67</v>
      </c>
      <c r="C319" s="5" t="s">
        <v>75</v>
      </c>
      <c r="D319" s="5" t="str">
        <f>VLOOKUP($B319,Letters!$C$29:$D$52,2,FALSE) &amp; VLOOKUP($C319,Letters!$C$29:$D$52,2,FALSE)</f>
        <v>PI</v>
      </c>
      <c r="E319" s="61"/>
      <c r="F319" s="5"/>
      <c r="G319" s="55">
        <f t="shared" si="30"/>
        <v>0</v>
      </c>
      <c r="H319" s="55">
        <f t="shared" si="31"/>
        <v>0</v>
      </c>
      <c r="I319" s="56">
        <f>AVERAGE(H300:H319)</f>
        <v>0.4</v>
      </c>
    </row>
    <row r="320">
      <c r="A320" s="54"/>
      <c r="B320" s="5"/>
      <c r="C320" s="5"/>
      <c r="D320" s="5"/>
      <c r="E320" s="5"/>
      <c r="F320" s="5"/>
      <c r="G320" s="55"/>
      <c r="H320" s="55"/>
      <c r="I320" s="56"/>
    </row>
    <row r="321" ht="13.5">
      <c r="A321" s="60"/>
      <c r="B321" s="5" t="s">
        <v>68</v>
      </c>
      <c r="C321" s="5" t="s">
        <v>50</v>
      </c>
      <c r="D321" s="5" t="str">
        <f>VLOOKUP($B321,Letters!$C$29:$D$52,2,FALSE) &amp; VLOOKUP($C321,Letters!$C$29:$D$52,2,FALSE)</f>
        <v>WA</v>
      </c>
      <c r="E321" s="5" t="s">
        <v>416</v>
      </c>
      <c r="F321" s="5" t="s">
        <v>417</v>
      </c>
      <c r="G321" s="55">
        <f t="shared" ref="G321:G340" si="32">(len($F321)-len(SUBSTITUTE($F321,"R","")))+(len($F321)-len(SUBSTITUTE($F321,"L","")))+(len($F321)-len(SUBSTITUTE($F321,"U","")))+(len($F321)-len(SUBSTITUTE($F321,"D","")))+(len($F321)-len(SUBSTITUTE($F321,"F","")))+(len($F321)-len(SUBSTITUTE($F321,"B","")))+(len($F321)-len(SUBSTITUTE($F321,"M","")))+(len($F321)-len(SUBSTITUTE($F321,"S","")))+(len($F321)-len(SUBSTITUTE($F321,"E","")))</f>
        <v>10</v>
      </c>
      <c r="H321" s="55">
        <f t="shared" ref="H321:H340" si="33">(len($F321)-len(SUBSTITUTE($F321,"R","")))+(len($F321)-len(SUBSTITUTE($F321,"L","")))+(len($F321)-len(SUBSTITUTE($F321,"U","")))+(len($F321)-len(SUBSTITUTE($F321,"D","")))+(len($F321)-len(SUBSTITUTE($F321,"F","")))+(len($F321)-len(SUBSTITUTE($F321,"B","")))+(len($F321)-len(SUBSTITUTE($F321,"M","")))+(len($F321)-len(SUBSTITUTE($F321,"S","")))+(len($F321)-len(SUBSTITUTE($F321,"E","")))+(len($F321)-len(SUBSTITUTE($F321,"2","")))</f>
        <v>10</v>
      </c>
      <c r="I321" s="56"/>
    </row>
    <row r="322" ht="13.5">
      <c r="A322" s="60"/>
      <c r="B322" s="5" t="s">
        <v>68</v>
      </c>
      <c r="C322" s="5" t="s">
        <v>52</v>
      </c>
      <c r="D322" s="5" t="str">
        <f>VLOOKUP($B322,Letters!$C$29:$D$52,2,FALSE) &amp; VLOOKUP($C322,Letters!$C$29:$D$52,2,FALSE)</f>
        <v>WB</v>
      </c>
      <c r="E322" s="64" t="s">
        <v>418</v>
      </c>
      <c r="F322" s="5"/>
      <c r="G322" s="55">
        <f t="shared" si="32"/>
        <v>0</v>
      </c>
      <c r="H322" s="55">
        <f t="shared" si="33"/>
        <v>0</v>
      </c>
      <c r="I322" s="56"/>
    </row>
    <row r="323" ht="13.5">
      <c r="A323" s="60"/>
      <c r="B323" s="5" t="s">
        <v>68</v>
      </c>
      <c r="C323" s="5" t="s">
        <v>53</v>
      </c>
      <c r="D323" s="5" t="str">
        <f>VLOOKUP($B323,Letters!$C$29:$D$52,2,FALSE) &amp; VLOOKUP($C323,Letters!$C$29:$D$52,2,FALSE)</f>
        <v>WC</v>
      </c>
      <c r="E323" s="5" t="s">
        <v>419</v>
      </c>
      <c r="F323" s="5" t="s">
        <v>420</v>
      </c>
      <c r="G323" s="55">
        <f t="shared" si="32"/>
        <v>10</v>
      </c>
      <c r="H323" s="55">
        <f t="shared" si="33"/>
        <v>10</v>
      </c>
      <c r="I323" s="56"/>
    </row>
    <row r="324" ht="13.5">
      <c r="A324" s="54"/>
      <c r="B324" s="5" t="s">
        <v>68</v>
      </c>
      <c r="C324" s="5" t="s">
        <v>54</v>
      </c>
      <c r="D324" s="5" t="str">
        <f>VLOOKUP($B324,Letters!$C$29:$D$52,2,FALSE) &amp; VLOOKUP($C324,Letters!$C$29:$D$52,2,FALSE)</f>
        <v>WD</v>
      </c>
      <c r="E324" s="5" t="s">
        <v>421</v>
      </c>
      <c r="F324" s="5" t="s">
        <v>422</v>
      </c>
      <c r="G324" s="55">
        <f t="shared" si="32"/>
        <v>11</v>
      </c>
      <c r="H324" s="55">
        <f t="shared" si="33"/>
        <v>12</v>
      </c>
      <c r="I324" s="56"/>
    </row>
    <row r="325" ht="13.5">
      <c r="A325" s="54"/>
      <c r="B325" s="5" t="s">
        <v>68</v>
      </c>
      <c r="C325" s="5" t="s">
        <v>55</v>
      </c>
      <c r="D325" s="5" t="str">
        <f>VLOOKUP($B325,Letters!$C$29:$D$52,2,FALSE) &amp; VLOOKUP($C325,Letters!$C$29:$D$52,2,FALSE)</f>
        <v>WE</v>
      </c>
      <c r="E325" s="5" t="s">
        <v>423</v>
      </c>
      <c r="F325" s="5" t="s">
        <v>424</v>
      </c>
      <c r="G325" s="55">
        <f t="shared" si="32"/>
        <v>10</v>
      </c>
      <c r="H325" s="55">
        <f t="shared" si="33"/>
        <v>10</v>
      </c>
      <c r="I325" s="56"/>
    </row>
    <row r="326" ht="13.5">
      <c r="A326" s="54"/>
      <c r="B326" s="5" t="s">
        <v>68</v>
      </c>
      <c r="C326" s="5" t="s">
        <v>56</v>
      </c>
      <c r="D326" s="5" t="str">
        <f>VLOOKUP($B326,Letters!$C$29:$D$52,2,FALSE) &amp; VLOOKUP($C326,Letters!$C$29:$D$52,2,FALSE)</f>
        <v>WF</v>
      </c>
      <c r="E326" s="5" t="s">
        <v>425</v>
      </c>
      <c r="F326" s="5" t="s">
        <v>426</v>
      </c>
      <c r="G326" s="55">
        <f t="shared" si="32"/>
        <v>9</v>
      </c>
      <c r="H326" s="55">
        <f t="shared" si="33"/>
        <v>10</v>
      </c>
      <c r="I326" s="56"/>
    </row>
    <row r="327" ht="13.5">
      <c r="A327" s="54"/>
      <c r="B327" s="5" t="s">
        <v>68</v>
      </c>
      <c r="C327" s="5" t="s">
        <v>57</v>
      </c>
      <c r="D327" s="5" t="str">
        <f>VLOOKUP($B327,Letters!$C$29:$D$52,2,FALSE) &amp; VLOOKUP($C327,Letters!$C$29:$D$52,2,FALSE)</f>
        <v>WG</v>
      </c>
      <c r="E327" s="61" t="s">
        <v>427</v>
      </c>
      <c r="F327" s="5" t="s">
        <v>428</v>
      </c>
      <c r="G327" s="55">
        <f t="shared" si="32"/>
        <v>10</v>
      </c>
      <c r="H327" s="55">
        <f t="shared" si="33"/>
        <v>11</v>
      </c>
      <c r="I327" s="56"/>
    </row>
    <row r="328" ht="13.5">
      <c r="A328" s="54"/>
      <c r="B328" s="5" t="s">
        <v>68</v>
      </c>
      <c r="C328" s="5" t="s">
        <v>58</v>
      </c>
      <c r="D328" s="5" t="str">
        <f>VLOOKUP($B328,Letters!$C$29:$D$52,2,FALSE) &amp; VLOOKUP($C328,Letters!$C$29:$D$52,2,FALSE)</f>
        <v>WH</v>
      </c>
      <c r="E328" s="61" t="s">
        <v>429</v>
      </c>
      <c r="F328" s="5" t="s">
        <v>430</v>
      </c>
      <c r="G328" s="55">
        <f t="shared" si="32"/>
        <v>9</v>
      </c>
      <c r="H328" s="55">
        <f t="shared" si="33"/>
        <v>10</v>
      </c>
      <c r="I328" s="56"/>
    </row>
    <row r="329" ht="13.5">
      <c r="A329" s="60"/>
      <c r="B329" s="5" t="s">
        <v>68</v>
      </c>
      <c r="C329" s="5" t="s">
        <v>60</v>
      </c>
      <c r="D329" s="5" t="str">
        <f>VLOOKUP($B329,Letters!$C$29:$D$52,2,FALSE) &amp; VLOOKUP($C329,Letters!$C$29:$D$52,2,FALSE)</f>
        <v>WJ</v>
      </c>
      <c r="E329" s="61" t="s">
        <v>431</v>
      </c>
      <c r="F329" s="5" t="s">
        <v>432</v>
      </c>
      <c r="G329" s="55">
        <f t="shared" si="32"/>
        <v>9</v>
      </c>
      <c r="H329" s="55">
        <f t="shared" si="33"/>
        <v>10</v>
      </c>
      <c r="I329" s="56"/>
    </row>
    <row r="330" ht="13.5">
      <c r="A330" s="54"/>
      <c r="B330" s="5" t="s">
        <v>68</v>
      </c>
      <c r="C330" s="5" t="s">
        <v>62</v>
      </c>
      <c r="D330" s="5" t="str">
        <f>VLOOKUP($B330,Letters!$C$29:$D$52,2,FALSE) &amp; VLOOKUP($C330,Letters!$C$29:$D$52,2,FALSE)</f>
        <v>WK</v>
      </c>
      <c r="E330" s="61" t="s">
        <v>433</v>
      </c>
      <c r="F330" s="5" t="s">
        <v>434</v>
      </c>
      <c r="G330" s="55">
        <f t="shared" si="32"/>
        <v>12</v>
      </c>
      <c r="H330" s="55">
        <f t="shared" si="33"/>
        <v>13</v>
      </c>
      <c r="I330" s="56"/>
    </row>
    <row r="331" ht="13.5">
      <c r="A331" s="54"/>
      <c r="B331" s="5" t="s">
        <v>68</v>
      </c>
      <c r="C331" s="5" t="s">
        <v>63</v>
      </c>
      <c r="D331" s="5" t="str">
        <f>VLOOKUP($B331,Letters!$C$29:$D$52,2,FALSE) &amp; VLOOKUP($C331,Letters!$C$29:$D$52,2,FALSE)</f>
        <v>WL</v>
      </c>
      <c r="E331" s="61" t="s">
        <v>435</v>
      </c>
      <c r="F331" s="5" t="s">
        <v>436</v>
      </c>
      <c r="G331" s="55">
        <f t="shared" si="32"/>
        <v>9</v>
      </c>
      <c r="H331" s="55">
        <f t="shared" si="33"/>
        <v>10</v>
      </c>
      <c r="I331" s="56"/>
    </row>
    <row r="332" ht="13.5">
      <c r="A332" s="54"/>
      <c r="B332" s="5" t="s">
        <v>68</v>
      </c>
      <c r="C332" s="5" t="s">
        <v>64</v>
      </c>
      <c r="D332" s="5" t="str">
        <f>VLOOKUP($B332,Letters!$C$29:$D$52,2,FALSE) &amp; VLOOKUP($C332,Letters!$C$29:$D$52,2,FALSE)</f>
        <v>WM</v>
      </c>
      <c r="E332" s="5" t="s">
        <v>437</v>
      </c>
      <c r="F332" s="5" t="s">
        <v>438</v>
      </c>
      <c r="G332" s="55">
        <f t="shared" si="32"/>
        <v>10</v>
      </c>
      <c r="H332" s="55">
        <f t="shared" si="33"/>
        <v>10</v>
      </c>
      <c r="I332" s="56"/>
    </row>
    <row r="333" ht="13.5">
      <c r="A333" s="54"/>
      <c r="B333" s="5" t="s">
        <v>68</v>
      </c>
      <c r="C333" s="5" t="s">
        <v>65</v>
      </c>
      <c r="D333" s="5" t="str">
        <f>VLOOKUP($B333,Letters!$C$29:$D$52,2,FALSE) &amp; VLOOKUP($C333,Letters!$C$29:$D$52,2,FALSE)</f>
        <v>WN</v>
      </c>
      <c r="E333" s="61" t="s">
        <v>439</v>
      </c>
      <c r="F333" s="5" t="s">
        <v>440</v>
      </c>
      <c r="G333" s="55">
        <f t="shared" si="32"/>
        <v>9</v>
      </c>
      <c r="H333" s="55">
        <f t="shared" si="33"/>
        <v>10</v>
      </c>
      <c r="I333" s="56"/>
    </row>
    <row r="334" ht="13.5">
      <c r="A334" s="54"/>
      <c r="B334" s="5" t="s">
        <v>68</v>
      </c>
      <c r="C334" s="5" t="s">
        <v>66</v>
      </c>
      <c r="D334" s="5" t="str">
        <f>VLOOKUP($B334,Letters!$C$29:$D$52,2,FALSE) &amp; VLOOKUP($C334,Letters!$C$29:$D$52,2,FALSE)</f>
        <v>WO</v>
      </c>
      <c r="E334" s="61" t="s">
        <v>441</v>
      </c>
      <c r="F334" s="5" t="s">
        <v>442</v>
      </c>
      <c r="G334" s="55">
        <f t="shared" si="32"/>
        <v>10</v>
      </c>
      <c r="H334" s="55">
        <f t="shared" si="33"/>
        <v>11</v>
      </c>
      <c r="I334" s="56"/>
    </row>
    <row r="335" ht="13.5">
      <c r="A335" s="54"/>
      <c r="B335" s="5" t="s">
        <v>68</v>
      </c>
      <c r="C335" s="5" t="s">
        <v>67</v>
      </c>
      <c r="D335" s="5" t="str">
        <f>VLOOKUP($B335,Letters!$C$29:$D$52,2,FALSE) &amp; VLOOKUP($C335,Letters!$C$29:$D$52,2,FALSE)</f>
        <v>WP</v>
      </c>
      <c r="E335" s="61" t="s">
        <v>443</v>
      </c>
      <c r="F335" s="5" t="s">
        <v>444</v>
      </c>
      <c r="G335" s="55">
        <f t="shared" si="32"/>
        <v>9</v>
      </c>
      <c r="H335" s="55">
        <f t="shared" si="33"/>
        <v>10</v>
      </c>
      <c r="I335" s="56"/>
    </row>
    <row r="336" ht="13.5">
      <c r="A336" s="54"/>
      <c r="B336" s="5" t="s">
        <v>68</v>
      </c>
      <c r="C336" s="5" t="s">
        <v>69</v>
      </c>
      <c r="D336" s="5" t="str">
        <f>VLOOKUP($B336,Letters!$C$29:$D$52,2,FALSE) &amp; VLOOKUP($C336,Letters!$C$29:$D$52,2,FALSE)</f>
        <v>WR</v>
      </c>
      <c r="E336" s="61" t="s">
        <v>445</v>
      </c>
      <c r="F336" s="5" t="s">
        <v>446</v>
      </c>
      <c r="G336" s="55">
        <f t="shared" si="32"/>
        <v>9</v>
      </c>
      <c r="H336" s="55">
        <f t="shared" si="33"/>
        <v>10</v>
      </c>
      <c r="I336" s="56"/>
    </row>
    <row r="337" ht="13.5">
      <c r="A337" s="54"/>
      <c r="B337" s="5" t="s">
        <v>68</v>
      </c>
      <c r="C337" s="5" t="s">
        <v>70</v>
      </c>
      <c r="D337" s="5" t="str">
        <f>VLOOKUP($B337,Letters!$C$29:$D$52,2,FALSE) &amp; VLOOKUP($C337,Letters!$C$29:$D$52,2,FALSE)</f>
        <v>WS</v>
      </c>
      <c r="E337" s="61" t="s">
        <v>447</v>
      </c>
      <c r="F337" s="5" t="s">
        <v>448</v>
      </c>
      <c r="G337" s="55">
        <f t="shared" si="32"/>
        <v>12</v>
      </c>
      <c r="H337" s="55">
        <f t="shared" si="33"/>
        <v>13</v>
      </c>
      <c r="I337" s="56"/>
    </row>
    <row r="338" ht="13.5">
      <c r="A338" s="60"/>
      <c r="B338" s="5" t="s">
        <v>68</v>
      </c>
      <c r="C338" s="5" t="s">
        <v>71</v>
      </c>
      <c r="D338" s="5" t="str">
        <f>VLOOKUP($B338,Letters!$C$29:$D$52,2,FALSE) &amp; VLOOKUP($C338,Letters!$C$29:$D$52,2,FALSE)</f>
        <v>WT</v>
      </c>
      <c r="E338" s="61" t="s">
        <v>449</v>
      </c>
      <c r="F338" s="5" t="s">
        <v>450</v>
      </c>
      <c r="G338" s="55">
        <f t="shared" si="32"/>
        <v>9</v>
      </c>
      <c r="H338" s="55">
        <f t="shared" si="33"/>
        <v>10</v>
      </c>
      <c r="I338" s="56"/>
    </row>
    <row r="339" ht="13.5">
      <c r="A339" s="54"/>
      <c r="B339" s="5" t="s">
        <v>68</v>
      </c>
      <c r="C339" s="5" t="s">
        <v>73</v>
      </c>
      <c r="D339" s="5" t="str">
        <f>VLOOKUP($B339,Letters!$C$29:$D$52,2,FALSE) &amp; VLOOKUP($C339,Letters!$C$29:$D$52,2,FALSE)</f>
        <v>WV</v>
      </c>
      <c r="E339" s="5" t="s">
        <v>451</v>
      </c>
      <c r="F339" s="5" t="s">
        <v>452</v>
      </c>
      <c r="G339" s="55">
        <f t="shared" si="32"/>
        <v>10</v>
      </c>
      <c r="H339" s="55">
        <f t="shared" si="33"/>
        <v>10</v>
      </c>
      <c r="I339" s="56"/>
    </row>
    <row r="340" ht="13.5">
      <c r="A340" s="54"/>
      <c r="B340" s="5" t="s">
        <v>68</v>
      </c>
      <c r="C340" s="5" t="s">
        <v>75</v>
      </c>
      <c r="D340" s="5" t="str">
        <f>VLOOKUP($B340,Letters!$C$29:$D$52,2,FALSE) &amp; VLOOKUP($C340,Letters!$C$29:$D$52,2,FALSE)</f>
        <v>WI</v>
      </c>
      <c r="E340" s="5" t="s">
        <v>453</v>
      </c>
      <c r="F340" s="5" t="s">
        <v>454</v>
      </c>
      <c r="G340" s="55">
        <f t="shared" si="32"/>
        <v>10</v>
      </c>
      <c r="H340" s="55">
        <f t="shared" si="33"/>
        <v>10</v>
      </c>
      <c r="I340" s="56">
        <f>AVERAGE(H321:H340)</f>
        <v>10</v>
      </c>
    </row>
    <row r="341">
      <c r="A341" s="54"/>
      <c r="B341" s="5"/>
      <c r="C341" s="5"/>
      <c r="D341" s="5"/>
      <c r="E341" s="5"/>
      <c r="F341" s="5"/>
      <c r="G341" s="55"/>
      <c r="H341" s="55"/>
      <c r="I341" s="56"/>
    </row>
    <row r="342" ht="13.5">
      <c r="A342" s="54"/>
      <c r="B342" s="5" t="s">
        <v>69</v>
      </c>
      <c r="C342" s="5" t="s">
        <v>50</v>
      </c>
      <c r="D342" s="5" t="str">
        <f>VLOOKUP($B342,Letters!$C$29:$D$52,2,FALSE) &amp; VLOOKUP($C342,Letters!$C$29:$D$52,2,FALSE)</f>
        <v>RA</v>
      </c>
      <c r="E342" s="61"/>
      <c r="F342" s="5"/>
      <c r="G342" s="55">
        <f t="shared" ref="G342:G361" si="34">(len($F342)-len(SUBSTITUTE($F342,"R","")))+(len($F342)-len(SUBSTITUTE($F342,"L","")))+(len($F342)-len(SUBSTITUTE($F342,"U","")))+(len($F342)-len(SUBSTITUTE($F342,"D","")))+(len($F342)-len(SUBSTITUTE($F342,"F","")))+(len($F342)-len(SUBSTITUTE($F342,"B","")))+(len($F342)-len(SUBSTITUTE($F342,"M","")))+(len($F342)-len(SUBSTITUTE($F342,"S","")))+(len($F342)-len(SUBSTITUTE($F342,"E","")))</f>
        <v>0</v>
      </c>
      <c r="H342" s="55">
        <f t="shared" ref="H342:H361" si="35">(len($F342)-len(SUBSTITUTE($F342,"R","")))+(len($F342)-len(SUBSTITUTE($F342,"L","")))+(len($F342)-len(SUBSTITUTE($F342,"U","")))+(len($F342)-len(SUBSTITUTE($F342,"D","")))+(len($F342)-len(SUBSTITUTE($F342,"F","")))+(len($F342)-len(SUBSTITUTE($F342,"B","")))+(len($F342)-len(SUBSTITUTE($F342,"M","")))+(len($F342)-len(SUBSTITUTE($F342,"S","")))+(len($F342)-len(SUBSTITUTE($F342,"E","")))+(len($F342)-len(SUBSTITUTE($F342,"2","")))</f>
        <v>0</v>
      </c>
      <c r="I342" s="56"/>
    </row>
    <row r="343" ht="13.5">
      <c r="A343" s="54"/>
      <c r="B343" s="5" t="s">
        <v>69</v>
      </c>
      <c r="C343" s="5" t="s">
        <v>52</v>
      </c>
      <c r="D343" s="5" t="str">
        <f>VLOOKUP($B343,Letters!$C$29:$D$52,2,FALSE) &amp; VLOOKUP($C343,Letters!$C$29:$D$52,2,FALSE)</f>
        <v>RB</v>
      </c>
      <c r="E343" s="61"/>
      <c r="F343" s="5"/>
      <c r="G343" s="55">
        <f t="shared" si="34"/>
        <v>0</v>
      </c>
      <c r="H343" s="55">
        <f t="shared" si="35"/>
        <v>0</v>
      </c>
      <c r="I343" s="56"/>
    </row>
    <row r="344" ht="13.5">
      <c r="A344" s="54"/>
      <c r="B344" s="5" t="s">
        <v>69</v>
      </c>
      <c r="C344" s="5" t="s">
        <v>53</v>
      </c>
      <c r="D344" s="5" t="str">
        <f>VLOOKUP($B344,Letters!$C$29:$D$52,2,FALSE) &amp; VLOOKUP($C344,Letters!$C$29:$D$52,2,FALSE)</f>
        <v>RC</v>
      </c>
      <c r="E344" s="61"/>
      <c r="F344" s="5"/>
      <c r="G344" s="55">
        <f t="shared" si="34"/>
        <v>0</v>
      </c>
      <c r="H344" s="55">
        <f t="shared" si="35"/>
        <v>0</v>
      </c>
      <c r="I344" s="56"/>
    </row>
    <row r="345" ht="13.5">
      <c r="A345" s="54"/>
      <c r="B345" s="5" t="s">
        <v>69</v>
      </c>
      <c r="C345" s="5" t="s">
        <v>54</v>
      </c>
      <c r="D345" s="5" t="str">
        <f>VLOOKUP($B345,Letters!$C$29:$D$52,2,FALSE) &amp; VLOOKUP($C345,Letters!$C$29:$D$52,2,FALSE)</f>
        <v>RD</v>
      </c>
      <c r="E345" s="61"/>
      <c r="F345" s="5"/>
      <c r="G345" s="55">
        <f t="shared" si="34"/>
        <v>0</v>
      </c>
      <c r="H345" s="55">
        <f t="shared" si="35"/>
        <v>0</v>
      </c>
      <c r="I345" s="56"/>
    </row>
    <row r="346" ht="13.5">
      <c r="A346" s="54"/>
      <c r="B346" s="5" t="s">
        <v>69</v>
      </c>
      <c r="C346" s="5" t="s">
        <v>55</v>
      </c>
      <c r="D346" s="5" t="str">
        <f>VLOOKUP($B346,Letters!$C$29:$D$52,2,FALSE) &amp; VLOOKUP($C346,Letters!$C$29:$D$52,2,FALSE)</f>
        <v>RE</v>
      </c>
      <c r="E346" s="61"/>
      <c r="F346" s="5"/>
      <c r="G346" s="55">
        <f t="shared" si="34"/>
        <v>0</v>
      </c>
      <c r="H346" s="55">
        <f t="shared" si="35"/>
        <v>0</v>
      </c>
      <c r="I346" s="56"/>
    </row>
    <row r="347" ht="13.5">
      <c r="A347" s="54"/>
      <c r="B347" s="5" t="s">
        <v>69</v>
      </c>
      <c r="C347" s="5" t="s">
        <v>56</v>
      </c>
      <c r="D347" s="5" t="str">
        <f>VLOOKUP($B347,Letters!$C$29:$D$52,2,FALSE) &amp; VLOOKUP($C347,Letters!$C$29:$D$52,2,FALSE)</f>
        <v>RF</v>
      </c>
      <c r="E347" s="61"/>
      <c r="F347" s="5"/>
      <c r="G347" s="55">
        <f t="shared" si="34"/>
        <v>0</v>
      </c>
      <c r="H347" s="55">
        <f t="shared" si="35"/>
        <v>0</v>
      </c>
      <c r="I347" s="56"/>
    </row>
    <row r="348" ht="13.5">
      <c r="A348" s="60"/>
      <c r="B348" s="5" t="s">
        <v>69</v>
      </c>
      <c r="C348" s="5" t="s">
        <v>57</v>
      </c>
      <c r="D348" s="5" t="str">
        <f>VLOOKUP($B348,Letters!$C$29:$D$52,2,FALSE) &amp; VLOOKUP($C348,Letters!$C$29:$D$52,2,FALSE)</f>
        <v>RG</v>
      </c>
      <c r="E348" s="61"/>
      <c r="F348" s="5"/>
      <c r="G348" s="55">
        <f t="shared" si="34"/>
        <v>0</v>
      </c>
      <c r="H348" s="55">
        <f t="shared" si="35"/>
        <v>0</v>
      </c>
      <c r="I348" s="56"/>
    </row>
    <row r="349" ht="13.5">
      <c r="A349" s="54"/>
      <c r="B349" s="5" t="s">
        <v>69</v>
      </c>
      <c r="C349" s="5" t="s">
        <v>58</v>
      </c>
      <c r="D349" s="5" t="str">
        <f>VLOOKUP($B349,Letters!$C$29:$D$52,2,FALSE) &amp; VLOOKUP($C349,Letters!$C$29:$D$52,2,FALSE)</f>
        <v>RH</v>
      </c>
      <c r="E349" s="61"/>
      <c r="F349" s="5"/>
      <c r="G349" s="55">
        <f t="shared" si="34"/>
        <v>0</v>
      </c>
      <c r="H349" s="55">
        <f t="shared" si="35"/>
        <v>0</v>
      </c>
      <c r="I349" s="56"/>
    </row>
    <row r="350" ht="13.5">
      <c r="A350" s="54"/>
      <c r="B350" s="5" t="s">
        <v>69</v>
      </c>
      <c r="C350" s="5" t="s">
        <v>60</v>
      </c>
      <c r="D350" s="5" t="str">
        <f>VLOOKUP($B350,Letters!$C$29:$D$52,2,FALSE) &amp; VLOOKUP($C350,Letters!$C$29:$D$52,2,FALSE)</f>
        <v>RJ</v>
      </c>
      <c r="E350" s="61"/>
      <c r="F350" s="5"/>
      <c r="G350" s="55">
        <f t="shared" si="34"/>
        <v>0</v>
      </c>
      <c r="H350" s="55">
        <f t="shared" si="35"/>
        <v>0</v>
      </c>
      <c r="I350" s="56"/>
    </row>
    <row r="351" ht="13.5">
      <c r="A351" s="54"/>
      <c r="B351" s="5" t="s">
        <v>69</v>
      </c>
      <c r="C351" s="5" t="s">
        <v>62</v>
      </c>
      <c r="D351" s="5" t="str">
        <f>VLOOKUP($B351,Letters!$C$29:$D$52,2,FALSE) &amp; VLOOKUP($C351,Letters!$C$29:$D$52,2,FALSE)</f>
        <v>RK</v>
      </c>
      <c r="E351" s="61"/>
      <c r="F351" s="5"/>
      <c r="G351" s="55">
        <f t="shared" si="34"/>
        <v>0</v>
      </c>
      <c r="H351" s="55">
        <f t="shared" si="35"/>
        <v>0</v>
      </c>
      <c r="I351" s="56"/>
    </row>
    <row r="352" ht="13.5">
      <c r="A352" s="54"/>
      <c r="B352" s="5" t="s">
        <v>69</v>
      </c>
      <c r="C352" s="5" t="s">
        <v>63</v>
      </c>
      <c r="D352" s="5" t="str">
        <f>VLOOKUP($B352,Letters!$C$29:$D$52,2,FALSE) &amp; VLOOKUP($C352,Letters!$C$29:$D$52,2,FALSE)</f>
        <v>RL</v>
      </c>
      <c r="E352" s="61"/>
      <c r="F352" s="5"/>
      <c r="G352" s="55">
        <f t="shared" si="34"/>
        <v>0</v>
      </c>
      <c r="H352" s="55">
        <f t="shared" si="35"/>
        <v>0</v>
      </c>
      <c r="I352" s="56"/>
    </row>
    <row r="353" ht="13.5">
      <c r="A353" s="54"/>
      <c r="B353" s="5" t="s">
        <v>69</v>
      </c>
      <c r="C353" s="5" t="s">
        <v>64</v>
      </c>
      <c r="D353" s="5" t="str">
        <f>VLOOKUP($B353,Letters!$C$29:$D$52,2,FALSE) &amp; VLOOKUP($C353,Letters!$C$29:$D$52,2,FALSE)</f>
        <v>RM</v>
      </c>
      <c r="E353" s="5" t="s">
        <v>455</v>
      </c>
      <c r="F353" s="5" t="s">
        <v>456</v>
      </c>
      <c r="G353" s="55">
        <f t="shared" si="34"/>
        <v>9</v>
      </c>
      <c r="H353" s="55">
        <f t="shared" si="35"/>
        <v>10</v>
      </c>
      <c r="I353" s="56"/>
    </row>
    <row r="354" ht="13.5">
      <c r="A354" s="54"/>
      <c r="B354" s="5" t="s">
        <v>69</v>
      </c>
      <c r="C354" s="5" t="s">
        <v>65</v>
      </c>
      <c r="D354" s="5" t="str">
        <f>VLOOKUP($B354,Letters!$C$29:$D$52,2,FALSE) &amp; VLOOKUP($C354,Letters!$C$29:$D$52,2,FALSE)</f>
        <v>RN</v>
      </c>
      <c r="E354" s="61"/>
      <c r="F354" s="5"/>
      <c r="G354" s="55">
        <f t="shared" si="34"/>
        <v>0</v>
      </c>
      <c r="H354" s="55">
        <f t="shared" si="35"/>
        <v>0</v>
      </c>
      <c r="I354" s="56"/>
    </row>
    <row r="355" ht="13.5">
      <c r="A355" s="54"/>
      <c r="B355" s="5" t="s">
        <v>69</v>
      </c>
      <c r="C355" s="5" t="s">
        <v>66</v>
      </c>
      <c r="D355" s="5" t="str">
        <f>VLOOKUP($B355,Letters!$C$29:$D$52,2,FALSE) &amp; VLOOKUP($C355,Letters!$C$29:$D$52,2,FALSE)</f>
        <v>RO</v>
      </c>
      <c r="E355" s="61"/>
      <c r="F355" s="5"/>
      <c r="G355" s="55">
        <f t="shared" si="34"/>
        <v>0</v>
      </c>
      <c r="H355" s="55">
        <f t="shared" si="35"/>
        <v>0</v>
      </c>
      <c r="I355" s="56"/>
    </row>
    <row r="356" ht="13.5">
      <c r="A356" s="54"/>
      <c r="B356" s="5" t="s">
        <v>69</v>
      </c>
      <c r="C356" s="5" t="s">
        <v>68</v>
      </c>
      <c r="D356" s="5" t="str">
        <f>VLOOKUP($B356,Letters!$C$29:$D$52,2,FALSE) &amp; VLOOKUP($C356,Letters!$C$29:$D$52,2,FALSE)</f>
        <v>RW</v>
      </c>
      <c r="E356" s="61"/>
      <c r="F356" s="5"/>
      <c r="G356" s="55">
        <f t="shared" si="34"/>
        <v>0</v>
      </c>
      <c r="H356" s="55">
        <f t="shared" si="35"/>
        <v>0</v>
      </c>
      <c r="I356" s="56"/>
    </row>
    <row r="357" ht="13.5">
      <c r="A357" s="54"/>
      <c r="B357" s="5" t="s">
        <v>69</v>
      </c>
      <c r="C357" s="5" t="s">
        <v>70</v>
      </c>
      <c r="D357" s="5" t="str">
        <f>VLOOKUP($B357,Letters!$C$29:$D$52,2,FALSE) &amp; VLOOKUP($C357,Letters!$C$29:$D$52,2,FALSE)</f>
        <v>RS</v>
      </c>
      <c r="E357" s="61"/>
      <c r="F357" s="5"/>
      <c r="G357" s="55">
        <f t="shared" si="34"/>
        <v>0</v>
      </c>
      <c r="H357" s="55">
        <f t="shared" si="35"/>
        <v>0</v>
      </c>
      <c r="I357" s="62"/>
    </row>
    <row r="358" ht="13.5">
      <c r="A358" s="60"/>
      <c r="B358" s="5" t="s">
        <v>69</v>
      </c>
      <c r="C358" s="5" t="s">
        <v>71</v>
      </c>
      <c r="D358" s="5" t="str">
        <f>VLOOKUP($B358,Letters!$C$29:$D$52,2,FALSE) &amp; VLOOKUP($C358,Letters!$C$29:$D$52,2,FALSE)</f>
        <v>RT</v>
      </c>
      <c r="E358" s="61"/>
      <c r="F358" s="5"/>
      <c r="G358" s="55">
        <f t="shared" si="34"/>
        <v>0</v>
      </c>
      <c r="H358" s="55">
        <f t="shared" si="35"/>
        <v>0</v>
      </c>
      <c r="I358" s="62"/>
    </row>
    <row r="359" ht="13.5">
      <c r="A359" s="54"/>
      <c r="B359" s="5" t="s">
        <v>69</v>
      </c>
      <c r="C359" s="5" t="s">
        <v>72</v>
      </c>
      <c r="D359" s="5" t="str">
        <f>VLOOKUP($B359,Letters!$C$29:$D$52,2,FALSE) &amp; VLOOKUP($C359,Letters!$C$29:$D$52,2,FALSE)</f>
        <v>RU</v>
      </c>
      <c r="E359" s="61"/>
      <c r="F359" s="5"/>
      <c r="G359" s="55">
        <f t="shared" si="34"/>
        <v>0</v>
      </c>
      <c r="H359" s="55">
        <f t="shared" si="35"/>
        <v>0</v>
      </c>
      <c r="I359" s="56"/>
    </row>
    <row r="360" ht="13.5">
      <c r="A360" s="54"/>
      <c r="B360" s="5" t="s">
        <v>69</v>
      </c>
      <c r="C360" s="5" t="s">
        <v>73</v>
      </c>
      <c r="D360" s="5" t="str">
        <f>VLOOKUP($B360,Letters!$C$29:$D$52,2,FALSE) &amp; VLOOKUP($C360,Letters!$C$29:$D$52,2,FALSE)</f>
        <v>RV</v>
      </c>
      <c r="E360" s="61"/>
      <c r="F360" s="5"/>
      <c r="G360" s="55">
        <f t="shared" si="34"/>
        <v>0</v>
      </c>
      <c r="H360" s="55">
        <f t="shared" si="35"/>
        <v>0</v>
      </c>
      <c r="I360" s="56"/>
    </row>
    <row r="361" ht="13.5">
      <c r="A361" s="54"/>
      <c r="B361" s="5" t="s">
        <v>69</v>
      </c>
      <c r="C361" s="5" t="s">
        <v>75</v>
      </c>
      <c r="D361" s="5" t="str">
        <f>VLOOKUP($B361,Letters!$C$29:$D$52,2,FALSE) &amp; VLOOKUP($C361,Letters!$C$29:$D$52,2,FALSE)</f>
        <v>RI</v>
      </c>
      <c r="E361" s="61"/>
      <c r="F361" s="5"/>
      <c r="G361" s="55">
        <f t="shared" si="34"/>
        <v>0</v>
      </c>
      <c r="H361" s="55">
        <f t="shared" si="35"/>
        <v>0</v>
      </c>
      <c r="I361" s="56">
        <f>AVERAGE(H342:H361)</f>
        <v>0.5</v>
      </c>
    </row>
    <row r="362">
      <c r="A362" s="54"/>
      <c r="B362" s="5"/>
      <c r="C362" s="5"/>
      <c r="D362" s="5"/>
      <c r="E362" s="5"/>
      <c r="F362" s="5"/>
      <c r="G362" s="55"/>
      <c r="H362" s="55"/>
      <c r="I362" s="56"/>
    </row>
    <row r="363" ht="13.5">
      <c r="A363" s="54"/>
      <c r="B363" s="5" t="s">
        <v>70</v>
      </c>
      <c r="C363" s="5" t="s">
        <v>50</v>
      </c>
      <c r="D363" s="5" t="str">
        <f>VLOOKUP($B363,Letters!$C$29:$D$52,2,FALSE) &amp; VLOOKUP($C363,Letters!$C$29:$D$52,2,FALSE)</f>
        <v>SA</v>
      </c>
      <c r="E363" s="61" t="s">
        <v>457</v>
      </c>
      <c r="F363" s="5" t="s">
        <v>458</v>
      </c>
      <c r="G363" s="55">
        <f t="shared" ref="G363:G382" si="36">(len($F363)-len(SUBSTITUTE($F363,"R","")))+(len($F363)-len(SUBSTITUTE($F363,"L","")))+(len($F363)-len(SUBSTITUTE($F363,"U","")))+(len($F363)-len(SUBSTITUTE($F363,"D","")))+(len($F363)-len(SUBSTITUTE($F363,"F","")))+(len($F363)-len(SUBSTITUTE($F363,"B","")))+(len($F363)-len(SUBSTITUTE($F363,"M","")))+(len($F363)-len(SUBSTITUTE($F363,"S","")))+(len($F363)-len(SUBSTITUTE($F363,"E","")))</f>
        <v>10</v>
      </c>
      <c r="H363" s="55">
        <f t="shared" ref="H363:H382" si="37">(len($F363)-len(SUBSTITUTE($F363,"R","")))+(len($F363)-len(SUBSTITUTE($F363,"L","")))+(len($F363)-len(SUBSTITUTE($F363,"U","")))+(len($F363)-len(SUBSTITUTE($F363,"D","")))+(len($F363)-len(SUBSTITUTE($F363,"F","")))+(len($F363)-len(SUBSTITUTE($F363,"B","")))+(len($F363)-len(SUBSTITUTE($F363,"M","")))+(len($F363)-len(SUBSTITUTE($F363,"S","")))+(len($F363)-len(SUBSTITUTE($F363,"E","")))+(len($F363)-len(SUBSTITUTE($F363,"2","")))</f>
        <v>10</v>
      </c>
      <c r="I363" s="56"/>
    </row>
    <row r="364" ht="13.5">
      <c r="A364" s="54"/>
      <c r="B364" s="5" t="s">
        <v>70</v>
      </c>
      <c r="C364" s="5" t="s">
        <v>52</v>
      </c>
      <c r="D364" s="5" t="str">
        <f>VLOOKUP($B364,Letters!$C$29:$D$52,2,FALSE) &amp; VLOOKUP($C364,Letters!$C$29:$D$52,2,FALSE)</f>
        <v>SB</v>
      </c>
      <c r="E364" s="61"/>
      <c r="F364" s="5"/>
      <c r="G364" s="55">
        <f t="shared" si="36"/>
        <v>0</v>
      </c>
      <c r="H364" s="55">
        <f t="shared" si="37"/>
        <v>0</v>
      </c>
      <c r="I364" s="56"/>
    </row>
    <row r="365" ht="13.5">
      <c r="A365" s="54"/>
      <c r="B365" s="5" t="s">
        <v>70</v>
      </c>
      <c r="C365" s="5" t="s">
        <v>54</v>
      </c>
      <c r="D365" s="5" t="str">
        <f>VLOOKUP($B365,Letters!$C$29:$D$52,2,FALSE) &amp; VLOOKUP($C365,Letters!$C$29:$D$52,2,FALSE)</f>
        <v>SD</v>
      </c>
      <c r="E365" s="61" t="s">
        <v>459</v>
      </c>
      <c r="F365" s="5" t="s">
        <v>460</v>
      </c>
      <c r="G365" s="55">
        <f t="shared" si="36"/>
        <v>9</v>
      </c>
      <c r="H365" s="55">
        <f t="shared" si="37"/>
        <v>10</v>
      </c>
      <c r="I365" s="56"/>
    </row>
    <row r="366" ht="13.5">
      <c r="A366" s="54"/>
      <c r="B366" s="5" t="s">
        <v>70</v>
      </c>
      <c r="C366" s="5" t="s">
        <v>55</v>
      </c>
      <c r="D366" s="5" t="str">
        <f>VLOOKUP($B366,Letters!$C$29:$D$52,2,FALSE) &amp; VLOOKUP($C366,Letters!$C$29:$D$52,2,FALSE)</f>
        <v>SE</v>
      </c>
      <c r="E366" s="61"/>
      <c r="F366" s="5"/>
      <c r="G366" s="55">
        <f t="shared" si="36"/>
        <v>0</v>
      </c>
      <c r="H366" s="55">
        <f t="shared" si="37"/>
        <v>0</v>
      </c>
      <c r="I366" s="56"/>
    </row>
    <row r="367" ht="13.5">
      <c r="A367" s="60"/>
      <c r="B367" s="5" t="s">
        <v>70</v>
      </c>
      <c r="C367" s="5" t="s">
        <v>56</v>
      </c>
      <c r="D367" s="5" t="str">
        <f>VLOOKUP($B367,Letters!$C$29:$D$52,2,FALSE) &amp; VLOOKUP($C367,Letters!$C$29:$D$52,2,FALSE)</f>
        <v>SF</v>
      </c>
      <c r="E367" s="61"/>
      <c r="F367" s="5"/>
      <c r="G367" s="55">
        <f t="shared" si="36"/>
        <v>0</v>
      </c>
      <c r="H367" s="55">
        <f t="shared" si="37"/>
        <v>0</v>
      </c>
      <c r="I367" s="56"/>
    </row>
    <row r="368" ht="13.5">
      <c r="A368" s="54"/>
      <c r="B368" s="5" t="s">
        <v>70</v>
      </c>
      <c r="C368" s="5" t="s">
        <v>57</v>
      </c>
      <c r="D368" s="5" t="str">
        <f>VLOOKUP($B368,Letters!$C$29:$D$52,2,FALSE) &amp; VLOOKUP($C368,Letters!$C$29:$D$52,2,FALSE)</f>
        <v>SG</v>
      </c>
      <c r="E368" s="61"/>
      <c r="F368" s="5"/>
      <c r="G368" s="55">
        <f t="shared" si="36"/>
        <v>0</v>
      </c>
      <c r="H368" s="55">
        <f t="shared" si="37"/>
        <v>0</v>
      </c>
      <c r="I368" s="56"/>
    </row>
    <row r="369" ht="13.5">
      <c r="A369" s="54"/>
      <c r="B369" s="5" t="s">
        <v>70</v>
      </c>
      <c r="C369" s="5" t="s">
        <v>58</v>
      </c>
      <c r="D369" s="5" t="str">
        <f>VLOOKUP($B369,Letters!$C$29:$D$52,2,FALSE) &amp; VLOOKUP($C369,Letters!$C$29:$D$52,2,FALSE)</f>
        <v>SH</v>
      </c>
      <c r="E369" s="61"/>
      <c r="F369" s="5"/>
      <c r="G369" s="55">
        <f t="shared" si="36"/>
        <v>0</v>
      </c>
      <c r="H369" s="55">
        <f t="shared" si="37"/>
        <v>0</v>
      </c>
      <c r="I369" s="56"/>
    </row>
    <row r="370" ht="13.5">
      <c r="A370" s="54"/>
      <c r="B370" s="5" t="s">
        <v>70</v>
      </c>
      <c r="C370" s="5" t="s">
        <v>60</v>
      </c>
      <c r="D370" s="5" t="str">
        <f>VLOOKUP($B370,Letters!$C$29:$D$52,2,FALSE) &amp; VLOOKUP($C370,Letters!$C$29:$D$52,2,FALSE)</f>
        <v>SJ</v>
      </c>
      <c r="E370" s="61"/>
      <c r="F370" s="5"/>
      <c r="G370" s="55">
        <f t="shared" si="36"/>
        <v>0</v>
      </c>
      <c r="H370" s="55">
        <f t="shared" si="37"/>
        <v>0</v>
      </c>
      <c r="I370" s="56"/>
    </row>
    <row r="371" ht="13.5">
      <c r="A371" s="54"/>
      <c r="B371" s="5" t="s">
        <v>70</v>
      </c>
      <c r="C371" s="5" t="s">
        <v>62</v>
      </c>
      <c r="D371" s="5" t="str">
        <f>VLOOKUP($B371,Letters!$C$29:$D$52,2,FALSE) &amp; VLOOKUP($C371,Letters!$C$29:$D$52,2,FALSE)</f>
        <v>SK</v>
      </c>
      <c r="E371" s="61" t="s">
        <v>461</v>
      </c>
      <c r="F371" s="5" t="s">
        <v>462</v>
      </c>
      <c r="G371" s="55">
        <f t="shared" si="36"/>
        <v>9</v>
      </c>
      <c r="H371" s="55">
        <f t="shared" si="37"/>
        <v>10</v>
      </c>
      <c r="I371" s="56"/>
    </row>
    <row r="372" ht="13.5">
      <c r="A372" s="54"/>
      <c r="B372" s="5" t="s">
        <v>70</v>
      </c>
      <c r="C372" s="5" t="s">
        <v>63</v>
      </c>
      <c r="D372" s="5" t="str">
        <f>VLOOKUP($B372,Letters!$C$29:$D$52,2,FALSE) &amp; VLOOKUP($C372,Letters!$C$29:$D$52,2,FALSE)</f>
        <v>SL</v>
      </c>
      <c r="E372" s="61"/>
      <c r="F372" s="5"/>
      <c r="G372" s="55">
        <f t="shared" si="36"/>
        <v>0</v>
      </c>
      <c r="H372" s="55">
        <f t="shared" si="37"/>
        <v>0</v>
      </c>
      <c r="I372" s="56"/>
    </row>
    <row r="373" ht="13.5">
      <c r="A373" s="54"/>
      <c r="B373" s="5" t="s">
        <v>70</v>
      </c>
      <c r="C373" s="5" t="s">
        <v>64</v>
      </c>
      <c r="D373" s="5" t="str">
        <f>VLOOKUP($B373,Letters!$C$29:$D$52,2,FALSE) &amp; VLOOKUP($C373,Letters!$C$29:$D$52,2,FALSE)</f>
        <v>SM</v>
      </c>
      <c r="E373" s="61"/>
      <c r="F373" s="5"/>
      <c r="G373" s="55">
        <f t="shared" si="36"/>
        <v>0</v>
      </c>
      <c r="H373" s="55">
        <f t="shared" si="37"/>
        <v>0</v>
      </c>
      <c r="I373" s="56"/>
    </row>
    <row r="374" ht="13.5">
      <c r="A374" s="54"/>
      <c r="B374" s="5" t="s">
        <v>70</v>
      </c>
      <c r="C374" s="5" t="s">
        <v>65</v>
      </c>
      <c r="D374" s="5" t="str">
        <f>VLOOKUP($B374,Letters!$C$29:$D$52,2,FALSE) &amp; VLOOKUP($C374,Letters!$C$29:$D$52,2,FALSE)</f>
        <v>SN</v>
      </c>
      <c r="E374" s="61"/>
      <c r="F374" s="5"/>
      <c r="G374" s="55">
        <f t="shared" si="36"/>
        <v>0</v>
      </c>
      <c r="H374" s="55">
        <f t="shared" si="37"/>
        <v>0</v>
      </c>
      <c r="I374" s="56"/>
    </row>
    <row r="375" ht="13.5">
      <c r="A375" s="54"/>
      <c r="B375" s="5" t="s">
        <v>70</v>
      </c>
      <c r="C375" s="5" t="s">
        <v>66</v>
      </c>
      <c r="D375" s="5" t="str">
        <f>VLOOKUP($B375,Letters!$C$29:$D$52,2,FALSE) &amp; VLOOKUP($C375,Letters!$C$29:$D$52,2,FALSE)</f>
        <v>SO</v>
      </c>
      <c r="E375" s="61"/>
      <c r="F375" s="5"/>
      <c r="G375" s="55">
        <f t="shared" si="36"/>
        <v>0</v>
      </c>
      <c r="H375" s="55">
        <f t="shared" si="37"/>
        <v>0</v>
      </c>
      <c r="I375" s="56"/>
    </row>
    <row r="376" ht="13.5">
      <c r="A376" s="54"/>
      <c r="B376" s="5" t="s">
        <v>70</v>
      </c>
      <c r="C376" s="5" t="s">
        <v>67</v>
      </c>
      <c r="D376" s="5" t="str">
        <f>VLOOKUP($B376,Letters!$C$29:$D$52,2,FALSE) &amp; VLOOKUP($C376,Letters!$C$29:$D$52,2,FALSE)</f>
        <v>SP</v>
      </c>
      <c r="E376" s="61"/>
      <c r="F376" s="5"/>
      <c r="G376" s="55">
        <f t="shared" si="36"/>
        <v>0</v>
      </c>
      <c r="H376" s="55">
        <f t="shared" si="37"/>
        <v>0</v>
      </c>
      <c r="I376" s="56"/>
    </row>
    <row r="377" ht="13.5">
      <c r="A377" s="54"/>
      <c r="B377" s="5" t="s">
        <v>70</v>
      </c>
      <c r="C377" s="5" t="s">
        <v>68</v>
      </c>
      <c r="D377" s="5" t="str">
        <f>VLOOKUP($B377,Letters!$C$29:$D$52,2,FALSE) &amp; VLOOKUP($C377,Letters!$C$29:$D$52,2,FALSE)</f>
        <v>SW</v>
      </c>
      <c r="E377" s="61" t="s">
        <v>463</v>
      </c>
      <c r="F377" s="5" t="s">
        <v>464</v>
      </c>
      <c r="G377" s="55">
        <f t="shared" si="36"/>
        <v>12</v>
      </c>
      <c r="H377" s="55">
        <f t="shared" si="37"/>
        <v>13</v>
      </c>
      <c r="I377" s="56"/>
    </row>
    <row r="378" ht="13.5">
      <c r="A378" s="60"/>
      <c r="B378" s="5" t="s">
        <v>70</v>
      </c>
      <c r="C378" s="5" t="s">
        <v>69</v>
      </c>
      <c r="D378" s="5" t="str">
        <f>VLOOKUP($B378,Letters!$C$29:$D$52,2,FALSE) &amp; VLOOKUP($C378,Letters!$C$29:$D$52,2,FALSE)</f>
        <v>SR</v>
      </c>
      <c r="E378" s="61"/>
      <c r="F378" s="5"/>
      <c r="G378" s="55">
        <f t="shared" si="36"/>
        <v>0</v>
      </c>
      <c r="H378" s="55">
        <f t="shared" si="37"/>
        <v>0</v>
      </c>
      <c r="I378" s="56"/>
    </row>
    <row r="379" ht="13.5">
      <c r="A379" s="54"/>
      <c r="B379" s="5" t="s">
        <v>70</v>
      </c>
      <c r="C379" s="5" t="s">
        <v>71</v>
      </c>
      <c r="D379" s="5" t="str">
        <f>VLOOKUP($B379,Letters!$C$29:$D$52,2,FALSE) &amp; VLOOKUP($C379,Letters!$C$29:$D$52,2,FALSE)</f>
        <v>ST</v>
      </c>
      <c r="E379" s="61"/>
      <c r="F379" s="5"/>
      <c r="G379" s="55">
        <f t="shared" si="36"/>
        <v>0</v>
      </c>
      <c r="H379" s="55">
        <f t="shared" si="37"/>
        <v>0</v>
      </c>
      <c r="I379" s="56"/>
    </row>
    <row r="380" ht="13.5">
      <c r="A380" s="54"/>
      <c r="B380" s="5" t="s">
        <v>70</v>
      </c>
      <c r="C380" s="5" t="s">
        <v>72</v>
      </c>
      <c r="D380" s="5" t="str">
        <f>VLOOKUP($B380,Letters!$C$29:$D$52,2,FALSE) &amp; VLOOKUP($C380,Letters!$C$29:$D$52,2,FALSE)</f>
        <v>SU</v>
      </c>
      <c r="E380" s="61"/>
      <c r="F380" s="5" t="s">
        <v>465</v>
      </c>
      <c r="G380" s="55">
        <f t="shared" si="36"/>
        <v>9</v>
      </c>
      <c r="H380" s="55">
        <f t="shared" si="37"/>
        <v>10</v>
      </c>
      <c r="I380" s="56"/>
    </row>
    <row r="381" ht="13.5">
      <c r="A381" s="54"/>
      <c r="B381" s="5" t="s">
        <v>70</v>
      </c>
      <c r="C381" s="5" t="s">
        <v>73</v>
      </c>
      <c r="D381" s="5" t="str">
        <f>VLOOKUP($B381,Letters!$C$29:$D$52,2,FALSE) &amp; VLOOKUP($C381,Letters!$C$29:$D$52,2,FALSE)</f>
        <v>SV</v>
      </c>
      <c r="E381" s="61"/>
      <c r="F381" s="5"/>
      <c r="G381" s="55">
        <f t="shared" si="36"/>
        <v>0</v>
      </c>
      <c r="H381" s="55">
        <f t="shared" si="37"/>
        <v>0</v>
      </c>
      <c r="I381" s="56"/>
    </row>
    <row r="382" ht="13.5">
      <c r="A382" s="54"/>
      <c r="B382" s="5" t="s">
        <v>70</v>
      </c>
      <c r="C382" s="5" t="s">
        <v>75</v>
      </c>
      <c r="D382" s="5" t="str">
        <f>VLOOKUP($B382,Letters!$C$29:$D$52,2,FALSE) &amp; VLOOKUP($C382,Letters!$C$29:$D$52,2,FALSE)</f>
        <v>SI</v>
      </c>
      <c r="E382" s="61"/>
      <c r="F382" s="5"/>
      <c r="G382" s="55">
        <f t="shared" si="36"/>
        <v>0</v>
      </c>
      <c r="H382" s="55">
        <f t="shared" si="37"/>
        <v>0</v>
      </c>
      <c r="I382" s="56">
        <f>AVERAGE(H363:H382)</f>
        <v>2.65</v>
      </c>
    </row>
    <row r="383">
      <c r="A383" s="54"/>
      <c r="B383" s="5"/>
      <c r="C383" s="5"/>
      <c r="D383" s="5"/>
      <c r="E383" s="5"/>
      <c r="F383" s="5"/>
      <c r="G383" s="55"/>
      <c r="H383" s="55"/>
      <c r="I383" s="56"/>
    </row>
    <row r="384" ht="13.5">
      <c r="A384" s="54"/>
      <c r="B384" s="5" t="s">
        <v>71</v>
      </c>
      <c r="C384" s="5" t="s">
        <v>50</v>
      </c>
      <c r="D384" s="5" t="str">
        <f>VLOOKUP($B384,Letters!$C$29:$D$52,2,FALSE) &amp; VLOOKUP($C384,Letters!$C$29:$D$52,2,FALSE)</f>
        <v>TA</v>
      </c>
      <c r="E384" s="61"/>
      <c r="F384" s="5"/>
      <c r="G384" s="55">
        <f t="shared" ref="G384:G403" si="38">(len($F384)-len(SUBSTITUTE($F384,"R","")))+(len($F384)-len(SUBSTITUTE($F384,"L","")))+(len($F384)-len(SUBSTITUTE($F384,"U","")))+(len($F384)-len(SUBSTITUTE($F384,"D","")))+(len($F384)-len(SUBSTITUTE($F384,"F","")))+(len($F384)-len(SUBSTITUTE($F384,"B","")))+(len($F384)-len(SUBSTITUTE($F384,"M","")))+(len($F384)-len(SUBSTITUTE($F384,"S","")))+(len($F384)-len(SUBSTITUTE($F384,"E","")))</f>
        <v>0</v>
      </c>
      <c r="H384" s="55">
        <f t="shared" ref="H384:H403" si="39">(len($F384)-len(SUBSTITUTE($F384,"R","")))+(len($F384)-len(SUBSTITUTE($F384,"L","")))+(len($F384)-len(SUBSTITUTE($F384,"U","")))+(len($F384)-len(SUBSTITUTE($F384,"D","")))+(len($F384)-len(SUBSTITUTE($F384,"F","")))+(len($F384)-len(SUBSTITUTE($F384,"B","")))+(len($F384)-len(SUBSTITUTE($F384,"M","")))+(len($F384)-len(SUBSTITUTE($F384,"S","")))+(len($F384)-len(SUBSTITUTE($F384,"E","")))+(len($F384)-len(SUBSTITUTE($F384,"2","")))</f>
        <v>0</v>
      </c>
      <c r="I384" s="56"/>
    </row>
    <row r="385" ht="13.5">
      <c r="A385" s="54"/>
      <c r="B385" s="5" t="s">
        <v>71</v>
      </c>
      <c r="C385" s="5" t="s">
        <v>52</v>
      </c>
      <c r="D385" s="5" t="str">
        <f>VLOOKUP($B385,Letters!$C$29:$D$52,2,FALSE) &amp; VLOOKUP($C385,Letters!$C$29:$D$52,2,FALSE)</f>
        <v>TB</v>
      </c>
      <c r="E385" s="61"/>
      <c r="F385" s="5"/>
      <c r="G385" s="55">
        <f t="shared" si="38"/>
        <v>0</v>
      </c>
      <c r="H385" s="55">
        <f t="shared" si="39"/>
        <v>0</v>
      </c>
      <c r="I385" s="56"/>
    </row>
    <row r="386" ht="13.5">
      <c r="A386" s="60"/>
      <c r="B386" s="5" t="s">
        <v>71</v>
      </c>
      <c r="C386" s="5" t="s">
        <v>53</v>
      </c>
      <c r="D386" s="5" t="str">
        <f>VLOOKUP($B386,Letters!$C$29:$D$52,2,FALSE) &amp; VLOOKUP($C386,Letters!$C$29:$D$52,2,FALSE)</f>
        <v>TC</v>
      </c>
      <c r="E386" s="61"/>
      <c r="F386" s="5"/>
      <c r="G386" s="55">
        <f t="shared" si="38"/>
        <v>0</v>
      </c>
      <c r="H386" s="55">
        <f t="shared" si="39"/>
        <v>0</v>
      </c>
      <c r="I386" s="56"/>
    </row>
    <row r="387" ht="13.5">
      <c r="A387" s="54"/>
      <c r="B387" s="5" t="s">
        <v>71</v>
      </c>
      <c r="C387" s="5" t="s">
        <v>54</v>
      </c>
      <c r="D387" s="5" t="str">
        <f>VLOOKUP($B387,Letters!$C$29:$D$52,2,FALSE) &amp; VLOOKUP($C387,Letters!$C$29:$D$52,2,FALSE)</f>
        <v>TD</v>
      </c>
      <c r="E387" s="61"/>
      <c r="F387" s="5"/>
      <c r="G387" s="55">
        <f t="shared" si="38"/>
        <v>0</v>
      </c>
      <c r="H387" s="55">
        <f t="shared" si="39"/>
        <v>0</v>
      </c>
      <c r="I387" s="56"/>
    </row>
    <row r="388" ht="13.5">
      <c r="A388" s="54"/>
      <c r="B388" s="5" t="s">
        <v>71</v>
      </c>
      <c r="C388" s="5" t="s">
        <v>55</v>
      </c>
      <c r="D388" s="5" t="str">
        <f>VLOOKUP($B388,Letters!$C$29:$D$52,2,FALSE) &amp; VLOOKUP($C388,Letters!$C$29:$D$52,2,FALSE)</f>
        <v>TE</v>
      </c>
      <c r="E388" s="61"/>
      <c r="F388" s="5"/>
      <c r="G388" s="55">
        <f t="shared" si="38"/>
        <v>0</v>
      </c>
      <c r="H388" s="55">
        <f t="shared" si="39"/>
        <v>0</v>
      </c>
      <c r="I388" s="56"/>
    </row>
    <row r="389" ht="13.5">
      <c r="A389" s="54"/>
      <c r="B389" s="5" t="s">
        <v>71</v>
      </c>
      <c r="C389" s="5" t="s">
        <v>57</v>
      </c>
      <c r="D389" s="5" t="str">
        <f>VLOOKUP($B389,Letters!$C$29:$D$52,2,FALSE) &amp; VLOOKUP($C389,Letters!$C$29:$D$52,2,FALSE)</f>
        <v>TG</v>
      </c>
      <c r="E389" s="61"/>
      <c r="F389" s="5"/>
      <c r="G389" s="55">
        <f t="shared" si="38"/>
        <v>0</v>
      </c>
      <c r="H389" s="55">
        <f t="shared" si="39"/>
        <v>0</v>
      </c>
      <c r="I389" s="56"/>
    </row>
    <row r="390" ht="13.5">
      <c r="A390" s="54"/>
      <c r="B390" s="5" t="s">
        <v>71</v>
      </c>
      <c r="C390" s="5" t="s">
        <v>58</v>
      </c>
      <c r="D390" s="5" t="str">
        <f>VLOOKUP($B390,Letters!$C$29:$D$52,2,FALSE) &amp; VLOOKUP($C390,Letters!$C$29:$D$52,2,FALSE)</f>
        <v>TH</v>
      </c>
      <c r="E390" s="61"/>
      <c r="F390" s="5"/>
      <c r="G390" s="55">
        <f t="shared" si="38"/>
        <v>0</v>
      </c>
      <c r="H390" s="55">
        <f t="shared" si="39"/>
        <v>0</v>
      </c>
      <c r="I390" s="56"/>
    </row>
    <row r="391" ht="13.5">
      <c r="A391" s="54"/>
      <c r="B391" s="5" t="s">
        <v>71</v>
      </c>
      <c r="C391" s="5" t="s">
        <v>60</v>
      </c>
      <c r="D391" s="5" t="str">
        <f>VLOOKUP($B391,Letters!$C$29:$D$52,2,FALSE) &amp; VLOOKUP($C391,Letters!$C$29:$D$52,2,FALSE)</f>
        <v>TJ</v>
      </c>
      <c r="E391" s="61"/>
      <c r="F391" s="5"/>
      <c r="G391" s="55">
        <f t="shared" si="38"/>
        <v>0</v>
      </c>
      <c r="H391" s="55">
        <f t="shared" si="39"/>
        <v>0</v>
      </c>
      <c r="I391" s="56"/>
    </row>
    <row r="392" ht="13.5">
      <c r="A392" s="54"/>
      <c r="B392" s="5" t="s">
        <v>71</v>
      </c>
      <c r="C392" s="5" t="s">
        <v>62</v>
      </c>
      <c r="D392" s="5" t="str">
        <f>VLOOKUP($B392,Letters!$C$29:$D$52,2,FALSE) &amp; VLOOKUP($C392,Letters!$C$29:$D$52,2,FALSE)</f>
        <v>TK</v>
      </c>
      <c r="E392" s="61"/>
      <c r="F392" s="5"/>
      <c r="G392" s="55">
        <f t="shared" si="38"/>
        <v>0</v>
      </c>
      <c r="H392" s="55">
        <f t="shared" si="39"/>
        <v>0</v>
      </c>
      <c r="I392" s="56"/>
    </row>
    <row r="393" ht="13.5">
      <c r="A393" s="54"/>
      <c r="B393" s="5" t="s">
        <v>71</v>
      </c>
      <c r="C393" s="5" t="s">
        <v>63</v>
      </c>
      <c r="D393" s="5" t="str">
        <f>VLOOKUP($B393,Letters!$C$29:$D$52,2,FALSE) &amp; VLOOKUP($C393,Letters!$C$29:$D$52,2,FALSE)</f>
        <v>TL</v>
      </c>
      <c r="E393" s="61"/>
      <c r="F393" s="5"/>
      <c r="G393" s="55">
        <f t="shared" si="38"/>
        <v>0</v>
      </c>
      <c r="H393" s="55">
        <f t="shared" si="39"/>
        <v>0</v>
      </c>
      <c r="I393" s="56"/>
    </row>
    <row r="394" ht="13.5">
      <c r="A394" s="54"/>
      <c r="B394" s="5" t="s">
        <v>71</v>
      </c>
      <c r="C394" s="5" t="s">
        <v>64</v>
      </c>
      <c r="D394" s="5" t="str">
        <f>VLOOKUP($B394,Letters!$C$29:$D$52,2,FALSE) &amp; VLOOKUP($C394,Letters!$C$29:$D$52,2,FALSE)</f>
        <v>TM</v>
      </c>
      <c r="E394" s="61"/>
      <c r="F394" s="5"/>
      <c r="G394" s="55">
        <f t="shared" si="38"/>
        <v>0</v>
      </c>
      <c r="H394" s="55">
        <f t="shared" si="39"/>
        <v>0</v>
      </c>
      <c r="I394" s="56"/>
    </row>
    <row r="395" ht="13.5">
      <c r="A395" s="54"/>
      <c r="B395" s="5" t="s">
        <v>71</v>
      </c>
      <c r="C395" s="5" t="s">
        <v>65</v>
      </c>
      <c r="D395" s="5" t="str">
        <f>VLOOKUP($B395,Letters!$C$29:$D$52,2,FALSE) &amp; VLOOKUP($C395,Letters!$C$29:$D$52,2,FALSE)</f>
        <v>TN</v>
      </c>
      <c r="E395" s="61"/>
      <c r="F395" s="5"/>
      <c r="G395" s="55">
        <f t="shared" si="38"/>
        <v>0</v>
      </c>
      <c r="H395" s="55">
        <f t="shared" si="39"/>
        <v>0</v>
      </c>
      <c r="I395" s="56"/>
    </row>
    <row r="396" ht="13.5">
      <c r="A396" s="60"/>
      <c r="B396" s="5" t="s">
        <v>71</v>
      </c>
      <c r="C396" s="5" t="s">
        <v>66</v>
      </c>
      <c r="D396" s="5" t="str">
        <f>VLOOKUP($B396,Letters!$C$29:$D$52,2,FALSE) &amp; VLOOKUP($C396,Letters!$C$29:$D$52,2,FALSE)</f>
        <v>TO</v>
      </c>
      <c r="E396" s="61"/>
      <c r="F396" s="5"/>
      <c r="G396" s="55">
        <f t="shared" si="38"/>
        <v>0</v>
      </c>
      <c r="H396" s="55">
        <f t="shared" si="39"/>
        <v>0</v>
      </c>
      <c r="I396" s="56"/>
    </row>
    <row r="397" ht="13.5">
      <c r="A397" s="54"/>
      <c r="B397" s="5" t="s">
        <v>71</v>
      </c>
      <c r="C397" s="5" t="s">
        <v>67</v>
      </c>
      <c r="D397" s="5" t="str">
        <f>VLOOKUP($B397,Letters!$C$29:$D$52,2,FALSE) &amp; VLOOKUP($C397,Letters!$C$29:$D$52,2,FALSE)</f>
        <v>TP</v>
      </c>
      <c r="E397" s="61"/>
      <c r="F397" s="5"/>
      <c r="G397" s="55">
        <f t="shared" si="38"/>
        <v>0</v>
      </c>
      <c r="H397" s="55">
        <f t="shared" si="39"/>
        <v>0</v>
      </c>
      <c r="I397" s="56"/>
    </row>
    <row r="398" ht="13.5">
      <c r="A398" s="54"/>
      <c r="B398" s="5" t="s">
        <v>71</v>
      </c>
      <c r="C398" s="5" t="s">
        <v>68</v>
      </c>
      <c r="D398" s="5" t="str">
        <f>VLOOKUP($B398,Letters!$C$29:$D$52,2,FALSE) &amp; VLOOKUP($C398,Letters!$C$29:$D$52,2,FALSE)</f>
        <v>TW</v>
      </c>
      <c r="E398" s="61"/>
      <c r="F398" s="5"/>
      <c r="G398" s="55">
        <f t="shared" si="38"/>
        <v>0</v>
      </c>
      <c r="H398" s="55">
        <f t="shared" si="39"/>
        <v>0</v>
      </c>
      <c r="I398" s="56"/>
    </row>
    <row r="399" ht="13.5">
      <c r="A399" s="54"/>
      <c r="B399" s="5" t="s">
        <v>71</v>
      </c>
      <c r="C399" s="5" t="s">
        <v>69</v>
      </c>
      <c r="D399" s="5" t="str">
        <f>VLOOKUP($B399,Letters!$C$29:$D$52,2,FALSE) &amp; VLOOKUP($C399,Letters!$C$29:$D$52,2,FALSE)</f>
        <v>TR</v>
      </c>
      <c r="E399" s="61"/>
      <c r="F399" s="5"/>
      <c r="G399" s="55">
        <f t="shared" si="38"/>
        <v>0</v>
      </c>
      <c r="H399" s="55">
        <f t="shared" si="39"/>
        <v>0</v>
      </c>
      <c r="I399" s="62"/>
    </row>
    <row r="400" ht="13.5">
      <c r="A400" s="54"/>
      <c r="B400" s="5" t="s">
        <v>71</v>
      </c>
      <c r="C400" s="5" t="s">
        <v>70</v>
      </c>
      <c r="D400" s="5" t="str">
        <f>VLOOKUP($B400,Letters!$C$29:$D$52,2,FALSE) &amp; VLOOKUP($C400,Letters!$C$29:$D$52,2,FALSE)</f>
        <v>TS</v>
      </c>
      <c r="E400" s="61"/>
      <c r="F400" s="5"/>
      <c r="G400" s="55">
        <f t="shared" si="38"/>
        <v>0</v>
      </c>
      <c r="H400" s="55">
        <f t="shared" si="39"/>
        <v>0</v>
      </c>
      <c r="I400" s="62"/>
    </row>
    <row r="401" ht="13.5">
      <c r="A401" s="54"/>
      <c r="B401" s="5" t="s">
        <v>71</v>
      </c>
      <c r="C401" s="5" t="s">
        <v>72</v>
      </c>
      <c r="D401" s="5" t="str">
        <f>VLOOKUP($B401,Letters!$C$29:$D$52,2,FALSE) &amp; VLOOKUP($C401,Letters!$C$29:$D$52,2,FALSE)</f>
        <v>TU</v>
      </c>
      <c r="E401" s="61"/>
      <c r="F401" s="5"/>
      <c r="G401" s="55">
        <f t="shared" si="38"/>
        <v>0</v>
      </c>
      <c r="H401" s="55">
        <f t="shared" si="39"/>
        <v>0</v>
      </c>
      <c r="I401" s="56"/>
    </row>
    <row r="402" ht="13.5">
      <c r="A402" s="54"/>
      <c r="B402" s="5" t="s">
        <v>71</v>
      </c>
      <c r="C402" s="5" t="s">
        <v>73</v>
      </c>
      <c r="D402" s="5" t="str">
        <f>VLOOKUP($B402,Letters!$C$29:$D$52,2,FALSE) &amp; VLOOKUP($C402,Letters!$C$29:$D$52,2,FALSE)</f>
        <v>TV</v>
      </c>
      <c r="E402" s="61"/>
      <c r="F402" s="5"/>
      <c r="G402" s="55">
        <f t="shared" si="38"/>
        <v>0</v>
      </c>
      <c r="H402" s="55">
        <f t="shared" si="39"/>
        <v>0</v>
      </c>
      <c r="I402" s="56"/>
    </row>
    <row r="403" ht="13.5">
      <c r="A403" s="54"/>
      <c r="B403" s="5" t="s">
        <v>71</v>
      </c>
      <c r="C403" s="5" t="s">
        <v>75</v>
      </c>
      <c r="D403" s="5" t="str">
        <f>VLOOKUP($B403,Letters!$C$29:$D$52,2,FALSE) &amp; VLOOKUP($C403,Letters!$C$29:$D$52,2,FALSE)</f>
        <v>TI</v>
      </c>
      <c r="E403" s="61"/>
      <c r="F403" s="5"/>
      <c r="G403" s="55">
        <f t="shared" si="38"/>
        <v>0</v>
      </c>
      <c r="H403" s="55">
        <f t="shared" si="39"/>
        <v>0</v>
      </c>
      <c r="I403" s="56">
        <f>AVERAGE(H384:H403)</f>
        <v>0</v>
      </c>
    </row>
    <row r="404">
      <c r="A404" s="54"/>
      <c r="B404" s="5"/>
      <c r="C404" s="5"/>
      <c r="D404" s="5"/>
      <c r="E404" s="5"/>
      <c r="F404" s="5"/>
      <c r="G404" s="55"/>
      <c r="H404" s="55"/>
      <c r="I404" s="56"/>
    </row>
    <row r="405" ht="13.5">
      <c r="A405" s="54"/>
      <c r="B405" s="5" t="s">
        <v>72</v>
      </c>
      <c r="C405" s="5" t="s">
        <v>50</v>
      </c>
      <c r="D405" s="5" t="str">
        <f>VLOOKUP($B405,Letters!$C$29:$D$52,2,FALSE) &amp; VLOOKUP($C405,Letters!$C$29:$D$52,2,FALSE)</f>
        <v>UA</v>
      </c>
      <c r="E405" s="61" t="s">
        <v>466</v>
      </c>
      <c r="F405" s="5" t="s">
        <v>467</v>
      </c>
      <c r="G405" s="55">
        <f t="shared" ref="G405:G424" si="40">(len($F405)-len(SUBSTITUTE($F405,"R","")))+(len($F405)-len(SUBSTITUTE($F405,"L","")))+(len($F405)-len(SUBSTITUTE($F405,"U","")))+(len($F405)-len(SUBSTITUTE($F405,"D","")))+(len($F405)-len(SUBSTITUTE($F405,"F","")))+(len($F405)-len(SUBSTITUTE($F405,"B","")))+(len($F405)-len(SUBSTITUTE($F405,"M","")))+(len($F405)-len(SUBSTITUTE($F405,"S","")))+(len($F405)-len(SUBSTITUTE($F405,"E","")))</f>
        <v>2</v>
      </c>
      <c r="H405" s="55">
        <f t="shared" ref="H405:H424" si="41">(len($F405)-len(SUBSTITUTE($F405,"R","")))+(len($F405)-len(SUBSTITUTE($F405,"L","")))+(len($F405)-len(SUBSTITUTE($F405,"U","")))+(len($F405)-len(SUBSTITUTE($F405,"D","")))+(len($F405)-len(SUBSTITUTE($F405,"F","")))+(len($F405)-len(SUBSTITUTE($F405,"B","")))+(len($F405)-len(SUBSTITUTE($F405,"M","")))+(len($F405)-len(SUBSTITUTE($F405,"S","")))+(len($F405)-len(SUBSTITUTE($F405,"E","")))+(len($F405)-len(SUBSTITUTE($F405,"2","")))</f>
        <v>4</v>
      </c>
      <c r="I405" s="56"/>
    </row>
    <row r="406" ht="13.5">
      <c r="A406" s="54"/>
      <c r="B406" s="5" t="s">
        <v>72</v>
      </c>
      <c r="C406" s="5" t="s">
        <v>52</v>
      </c>
      <c r="D406" s="5" t="str">
        <f>VLOOKUP($B406,Letters!$C$29:$D$52,2,FALSE) &amp; VLOOKUP($C406,Letters!$C$29:$D$52,2,FALSE)</f>
        <v>UB</v>
      </c>
      <c r="E406" s="61"/>
      <c r="F406" s="5"/>
      <c r="G406" s="55">
        <f t="shared" si="40"/>
        <v>0</v>
      </c>
      <c r="H406" s="55">
        <f t="shared" si="41"/>
        <v>0</v>
      </c>
      <c r="I406" s="56"/>
    </row>
    <row r="407" ht="13.5">
      <c r="A407" s="54"/>
      <c r="B407" s="5" t="s">
        <v>72</v>
      </c>
      <c r="C407" s="5" t="s">
        <v>53</v>
      </c>
      <c r="D407" s="5" t="str">
        <f>VLOOKUP($B407,Letters!$C$29:$D$52,2,FALSE) &amp; VLOOKUP($C407,Letters!$C$29:$D$52,2,FALSE)</f>
        <v>UC</v>
      </c>
      <c r="E407" s="61" t="s">
        <v>468</v>
      </c>
      <c r="F407" s="5" t="s">
        <v>469</v>
      </c>
      <c r="G407" s="55">
        <f t="shared" si="40"/>
        <v>2</v>
      </c>
      <c r="H407" s="55">
        <f t="shared" si="41"/>
        <v>4</v>
      </c>
      <c r="I407" s="56"/>
    </row>
    <row r="408" ht="13.5">
      <c r="A408" s="54"/>
      <c r="B408" s="5" t="s">
        <v>72</v>
      </c>
      <c r="C408" s="5" t="s">
        <v>54</v>
      </c>
      <c r="D408" s="5" t="str">
        <f>VLOOKUP($B408,Letters!$C$29:$D$52,2,FALSE) &amp; VLOOKUP($C408,Letters!$C$29:$D$52,2,FALSE)</f>
        <v>UD</v>
      </c>
      <c r="E408" s="61"/>
      <c r="F408" s="5"/>
      <c r="G408" s="55">
        <f t="shared" si="40"/>
        <v>0</v>
      </c>
      <c r="H408" s="55">
        <f t="shared" si="41"/>
        <v>0</v>
      </c>
      <c r="I408" s="56"/>
    </row>
    <row r="409" ht="13.5">
      <c r="A409" s="54"/>
      <c r="B409" s="5" t="s">
        <v>72</v>
      </c>
      <c r="C409" s="5" t="s">
        <v>55</v>
      </c>
      <c r="D409" s="5" t="str">
        <f>VLOOKUP($B409,Letters!$C$29:$D$52,2,FALSE) &amp; VLOOKUP($C409,Letters!$C$29:$D$52,2,FALSE)</f>
        <v>UE</v>
      </c>
      <c r="E409" s="61"/>
      <c r="F409" s="5"/>
      <c r="G409" s="55">
        <f t="shared" si="40"/>
        <v>0</v>
      </c>
      <c r="H409" s="55">
        <f t="shared" si="41"/>
        <v>0</v>
      </c>
      <c r="I409" s="56"/>
    </row>
    <row r="410" ht="13.5">
      <c r="A410" s="54"/>
      <c r="B410" s="5" t="s">
        <v>72</v>
      </c>
      <c r="C410" s="5" t="s">
        <v>56</v>
      </c>
      <c r="D410" s="5" t="str">
        <f>VLOOKUP($B410,Letters!$C$29:$D$52,2,FALSE) &amp; VLOOKUP($C410,Letters!$C$29:$D$52,2,FALSE)</f>
        <v>UF</v>
      </c>
      <c r="E410" s="61"/>
      <c r="F410" s="5"/>
      <c r="G410" s="55">
        <f t="shared" si="40"/>
        <v>0</v>
      </c>
      <c r="H410" s="55">
        <f t="shared" si="41"/>
        <v>0</v>
      </c>
      <c r="I410" s="56"/>
    </row>
    <row r="411" ht="13.5">
      <c r="A411" s="54"/>
      <c r="B411" s="5" t="s">
        <v>72</v>
      </c>
      <c r="C411" s="5" t="s">
        <v>57</v>
      </c>
      <c r="D411" s="5" t="str">
        <f>VLOOKUP($B411,Letters!$C$29:$D$52,2,FALSE) &amp; VLOOKUP($C411,Letters!$C$29:$D$52,2,FALSE)</f>
        <v>UG</v>
      </c>
      <c r="E411" s="61"/>
      <c r="F411" s="5"/>
      <c r="G411" s="55">
        <f t="shared" si="40"/>
        <v>0</v>
      </c>
      <c r="H411" s="55">
        <f t="shared" si="41"/>
        <v>0</v>
      </c>
      <c r="I411" s="56"/>
    </row>
    <row r="412" ht="13.5">
      <c r="A412" s="54"/>
      <c r="B412" s="5" t="s">
        <v>72</v>
      </c>
      <c r="C412" s="5" t="s">
        <v>58</v>
      </c>
      <c r="D412" s="5" t="str">
        <f>VLOOKUP($B412,Letters!$C$29:$D$52,2,FALSE) &amp; VLOOKUP($C412,Letters!$C$29:$D$52,2,FALSE)</f>
        <v>UH</v>
      </c>
      <c r="E412" s="61"/>
      <c r="F412" s="5"/>
      <c r="G412" s="55">
        <f t="shared" si="40"/>
        <v>0</v>
      </c>
      <c r="H412" s="55">
        <f t="shared" si="41"/>
        <v>0</v>
      </c>
      <c r="I412" s="56"/>
    </row>
    <row r="413" ht="13.5">
      <c r="A413" s="54"/>
      <c r="B413" s="5" t="s">
        <v>72</v>
      </c>
      <c r="C413" s="5" t="s">
        <v>60</v>
      </c>
      <c r="D413" s="5" t="str">
        <f>VLOOKUP($B413,Letters!$C$29:$D$52,2,FALSE) &amp; VLOOKUP($C413,Letters!$C$29:$D$52,2,FALSE)</f>
        <v>UJ</v>
      </c>
      <c r="E413" s="61"/>
      <c r="F413" s="5"/>
      <c r="G413" s="55">
        <f t="shared" si="40"/>
        <v>0</v>
      </c>
      <c r="H413" s="55">
        <f t="shared" si="41"/>
        <v>0</v>
      </c>
      <c r="I413" s="56"/>
    </row>
    <row r="414" ht="13.5">
      <c r="A414" s="54"/>
      <c r="B414" s="5" t="s">
        <v>72</v>
      </c>
      <c r="C414" s="5" t="s">
        <v>62</v>
      </c>
      <c r="D414" s="5" t="str">
        <f>VLOOKUP($B414,Letters!$C$29:$D$52,2,FALSE) &amp; VLOOKUP($C414,Letters!$C$29:$D$52,2,FALSE)</f>
        <v>UK</v>
      </c>
      <c r="E414" s="61" t="s">
        <v>470</v>
      </c>
      <c r="F414" s="5" t="s">
        <v>471</v>
      </c>
      <c r="G414" s="55">
        <f t="shared" si="40"/>
        <v>9</v>
      </c>
      <c r="H414" s="55">
        <f t="shared" si="41"/>
        <v>10</v>
      </c>
      <c r="I414" s="56"/>
    </row>
    <row r="415" ht="13.5">
      <c r="A415" s="54"/>
      <c r="B415" s="5" t="s">
        <v>72</v>
      </c>
      <c r="C415" s="5" t="s">
        <v>63</v>
      </c>
      <c r="D415" s="5" t="str">
        <f>VLOOKUP($B415,Letters!$C$29:$D$52,2,FALSE) &amp; VLOOKUP($C415,Letters!$C$29:$D$52,2,FALSE)</f>
        <v>UL</v>
      </c>
      <c r="E415" s="61"/>
      <c r="F415" s="5"/>
      <c r="G415" s="55">
        <f t="shared" si="40"/>
        <v>0</v>
      </c>
      <c r="H415" s="55">
        <f t="shared" si="41"/>
        <v>0</v>
      </c>
      <c r="I415" s="56"/>
    </row>
    <row r="416" ht="13.5">
      <c r="A416" s="54"/>
      <c r="B416" s="5" t="s">
        <v>72</v>
      </c>
      <c r="C416" s="5" t="s">
        <v>64</v>
      </c>
      <c r="D416" s="5" t="str">
        <f>VLOOKUP($B416,Letters!$C$29:$D$52,2,FALSE) &amp; VLOOKUP($C416,Letters!$C$29:$D$52,2,FALSE)</f>
        <v>UM</v>
      </c>
      <c r="E416" s="61"/>
      <c r="F416" s="5"/>
      <c r="G416" s="55">
        <f t="shared" si="40"/>
        <v>0</v>
      </c>
      <c r="H416" s="55">
        <f t="shared" si="41"/>
        <v>0</v>
      </c>
      <c r="I416" s="56"/>
    </row>
    <row r="417" ht="13.5">
      <c r="A417" s="54"/>
      <c r="B417" s="5" t="s">
        <v>72</v>
      </c>
      <c r="C417" s="5" t="s">
        <v>65</v>
      </c>
      <c r="D417" s="5" t="str">
        <f>VLOOKUP($B417,Letters!$C$29:$D$52,2,FALSE) &amp; VLOOKUP($C417,Letters!$C$29:$D$52,2,FALSE)</f>
        <v>UN</v>
      </c>
      <c r="E417" s="61"/>
      <c r="F417" s="5"/>
      <c r="G417" s="55">
        <f t="shared" si="40"/>
        <v>0</v>
      </c>
      <c r="H417" s="55">
        <f t="shared" si="41"/>
        <v>0</v>
      </c>
      <c r="I417" s="56"/>
    </row>
    <row r="418" ht="13.5">
      <c r="A418" s="54"/>
      <c r="B418" s="5" t="s">
        <v>72</v>
      </c>
      <c r="C418" s="5" t="s">
        <v>66</v>
      </c>
      <c r="D418" s="5" t="str">
        <f>VLOOKUP($B418,Letters!$C$29:$D$52,2,FALSE) &amp; VLOOKUP($C418,Letters!$C$29:$D$52,2,FALSE)</f>
        <v>UO</v>
      </c>
      <c r="E418" s="61"/>
      <c r="F418" s="5"/>
      <c r="G418" s="55">
        <f t="shared" si="40"/>
        <v>0</v>
      </c>
      <c r="H418" s="55">
        <f t="shared" si="41"/>
        <v>0</v>
      </c>
      <c r="I418" s="56"/>
    </row>
    <row r="419" ht="13.5">
      <c r="A419" s="54"/>
      <c r="B419" s="5" t="s">
        <v>72</v>
      </c>
      <c r="C419" s="5" t="s">
        <v>67</v>
      </c>
      <c r="D419" s="5" t="str">
        <f>VLOOKUP($B419,Letters!$C$29:$D$52,2,FALSE) &amp; VLOOKUP($C419,Letters!$C$29:$D$52,2,FALSE)</f>
        <v>UP</v>
      </c>
      <c r="E419" s="61"/>
      <c r="F419" s="5"/>
      <c r="G419" s="55">
        <f t="shared" si="40"/>
        <v>0</v>
      </c>
      <c r="H419" s="55">
        <f t="shared" si="41"/>
        <v>0</v>
      </c>
      <c r="I419" s="56"/>
    </row>
    <row r="420" ht="13.5">
      <c r="A420" s="54"/>
      <c r="B420" s="5" t="s">
        <v>72</v>
      </c>
      <c r="C420" s="5" t="s">
        <v>69</v>
      </c>
      <c r="D420" s="5" t="str">
        <f>VLOOKUP($B420,Letters!$C$29:$D$52,2,FALSE) &amp; VLOOKUP($C420,Letters!$C$29:$D$52,2,FALSE)</f>
        <v>UR</v>
      </c>
      <c r="E420" s="61"/>
      <c r="F420" s="5"/>
      <c r="G420" s="55">
        <f t="shared" si="40"/>
        <v>0</v>
      </c>
      <c r="H420" s="55">
        <f t="shared" si="41"/>
        <v>0</v>
      </c>
      <c r="I420" s="56"/>
    </row>
    <row r="421" ht="13.5">
      <c r="A421" s="54"/>
      <c r="B421" s="5" t="s">
        <v>72</v>
      </c>
      <c r="C421" s="5" t="s">
        <v>70</v>
      </c>
      <c r="D421" s="5" t="str">
        <f>VLOOKUP($B421,Letters!$C$29:$D$52,2,FALSE) &amp; VLOOKUP($C421,Letters!$C$29:$D$52,2,FALSE)</f>
        <v>US</v>
      </c>
      <c r="E421" s="61"/>
      <c r="F421" s="5" t="s">
        <v>472</v>
      </c>
      <c r="G421" s="55">
        <f t="shared" si="40"/>
        <v>9</v>
      </c>
      <c r="H421" s="55">
        <f t="shared" si="41"/>
        <v>10</v>
      </c>
      <c r="I421" s="56"/>
    </row>
    <row r="422" ht="13.5">
      <c r="A422" s="54"/>
      <c r="B422" s="5" t="s">
        <v>72</v>
      </c>
      <c r="C422" s="5" t="s">
        <v>71</v>
      </c>
      <c r="D422" s="5" t="str">
        <f>VLOOKUP($B422,Letters!$C$29:$D$52,2,FALSE) &amp; VLOOKUP($C422,Letters!$C$29:$D$52,2,FALSE)</f>
        <v>UT</v>
      </c>
      <c r="E422" s="61"/>
      <c r="F422" s="5"/>
      <c r="G422" s="55">
        <f t="shared" si="40"/>
        <v>0</v>
      </c>
      <c r="H422" s="55">
        <f t="shared" si="41"/>
        <v>0</v>
      </c>
      <c r="I422" s="56"/>
    </row>
    <row r="423" ht="13.5">
      <c r="A423" s="54"/>
      <c r="B423" s="5" t="s">
        <v>72</v>
      </c>
      <c r="C423" s="5" t="s">
        <v>73</v>
      </c>
      <c r="D423" s="5" t="str">
        <f>VLOOKUP($B423,Letters!$C$29:$D$52,2,FALSE) &amp; VLOOKUP($C423,Letters!$C$29:$D$52,2,FALSE)</f>
        <v>UV</v>
      </c>
      <c r="E423" s="61"/>
      <c r="F423" s="5"/>
      <c r="G423" s="55">
        <f t="shared" si="40"/>
        <v>0</v>
      </c>
      <c r="H423" s="55">
        <f t="shared" si="41"/>
        <v>0</v>
      </c>
      <c r="I423" s="56"/>
    </row>
    <row r="424" ht="13.5">
      <c r="A424" s="54"/>
      <c r="B424" s="5" t="s">
        <v>72</v>
      </c>
      <c r="C424" s="5" t="s">
        <v>75</v>
      </c>
      <c r="D424" s="5" t="str">
        <f>VLOOKUP($B424,Letters!$C$29:$D$52,2,FALSE) &amp; VLOOKUP($C424,Letters!$C$29:$D$52,2,FALSE)</f>
        <v>UI</v>
      </c>
      <c r="E424" s="61"/>
      <c r="F424" s="5"/>
      <c r="G424" s="55">
        <f t="shared" si="40"/>
        <v>0</v>
      </c>
      <c r="H424" s="55">
        <f t="shared" si="41"/>
        <v>0</v>
      </c>
      <c r="I424" s="56">
        <f>AVERAGE(H405:H424)</f>
        <v>1.4</v>
      </c>
    </row>
    <row r="425">
      <c r="A425" s="54"/>
      <c r="B425" s="5"/>
      <c r="C425" s="5"/>
      <c r="D425" s="5"/>
      <c r="E425" s="5"/>
      <c r="F425" s="5"/>
      <c r="G425" s="55"/>
      <c r="H425" s="55"/>
      <c r="I425" s="56"/>
    </row>
    <row r="426" ht="13.5">
      <c r="A426" s="54"/>
      <c r="B426" s="5" t="s">
        <v>73</v>
      </c>
      <c r="C426" s="5" t="s">
        <v>50</v>
      </c>
      <c r="D426" s="5" t="str">
        <f>VLOOKUP($B426,Letters!$C$29:$D$52,2,FALSE) &amp; VLOOKUP($C426,Letters!$C$29:$D$52,2,FALSE)</f>
        <v>VA</v>
      </c>
      <c r="E426" s="61"/>
      <c r="F426" s="5"/>
      <c r="G426" s="55">
        <f t="shared" ref="G426:G445" si="42">(len($F426)-len(SUBSTITUTE($F426,"R","")))+(len($F426)-len(SUBSTITUTE($F426,"L","")))+(len($F426)-len(SUBSTITUTE($F426,"U","")))+(len($F426)-len(SUBSTITUTE($F426,"D","")))+(len($F426)-len(SUBSTITUTE($F426,"F","")))+(len($F426)-len(SUBSTITUTE($F426,"B","")))+(len($F426)-len(SUBSTITUTE($F426,"M","")))+(len($F426)-len(SUBSTITUTE($F426,"S","")))+(len($F426)-len(SUBSTITUTE($F426,"E","")))</f>
        <v>0</v>
      </c>
      <c r="H426" s="55">
        <f t="shared" ref="H426:H445" si="43">(len($F426)-len(SUBSTITUTE($F426,"R","")))+(len($F426)-len(SUBSTITUTE($F426,"L","")))+(len($F426)-len(SUBSTITUTE($F426,"U","")))+(len($F426)-len(SUBSTITUTE($F426,"D","")))+(len($F426)-len(SUBSTITUTE($F426,"F","")))+(len($F426)-len(SUBSTITUTE($F426,"B","")))+(len($F426)-len(SUBSTITUTE($F426,"M","")))+(len($F426)-len(SUBSTITUTE($F426,"S","")))+(len($F426)-len(SUBSTITUTE($F426,"E","")))+(len($F426)-len(SUBSTITUTE($F426,"2","")))</f>
        <v>0</v>
      </c>
      <c r="I426" s="56"/>
    </row>
    <row r="427" ht="13.5">
      <c r="A427" s="54"/>
      <c r="B427" s="5" t="s">
        <v>73</v>
      </c>
      <c r="C427" s="5" t="s">
        <v>52</v>
      </c>
      <c r="D427" s="5" t="str">
        <f>VLOOKUP($B427,Letters!$C$29:$D$52,2,FALSE) &amp; VLOOKUP($C427,Letters!$C$29:$D$52,2,FALSE)</f>
        <v>VB</v>
      </c>
      <c r="E427" s="61"/>
      <c r="F427" s="5"/>
      <c r="G427" s="55">
        <f t="shared" si="42"/>
        <v>0</v>
      </c>
      <c r="H427" s="55">
        <f t="shared" si="43"/>
        <v>0</v>
      </c>
      <c r="I427" s="56"/>
    </row>
    <row r="428" ht="13.5">
      <c r="A428" s="54"/>
      <c r="B428" s="5" t="s">
        <v>73</v>
      </c>
      <c r="C428" s="5" t="s">
        <v>53</v>
      </c>
      <c r="D428" s="5" t="str">
        <f>VLOOKUP($B428,Letters!$C$29:$D$52,2,FALSE) &amp; VLOOKUP($C428,Letters!$C$29:$D$52,2,FALSE)</f>
        <v>VC</v>
      </c>
      <c r="E428" s="61"/>
      <c r="F428" s="5"/>
      <c r="G428" s="55">
        <f t="shared" si="42"/>
        <v>0</v>
      </c>
      <c r="H428" s="55">
        <f t="shared" si="43"/>
        <v>0</v>
      </c>
      <c r="I428" s="56"/>
    </row>
    <row r="429" ht="13.5">
      <c r="A429" s="54"/>
      <c r="B429" s="5" t="s">
        <v>73</v>
      </c>
      <c r="C429" s="5" t="s">
        <v>54</v>
      </c>
      <c r="D429" s="5" t="str">
        <f>VLOOKUP($B429,Letters!$C$29:$D$52,2,FALSE) &amp; VLOOKUP($C429,Letters!$C$29:$D$52,2,FALSE)</f>
        <v>VD</v>
      </c>
      <c r="E429" s="61"/>
      <c r="F429" s="5"/>
      <c r="G429" s="55">
        <f t="shared" si="42"/>
        <v>0</v>
      </c>
      <c r="H429" s="55">
        <f t="shared" si="43"/>
        <v>0</v>
      </c>
      <c r="I429" s="56"/>
    </row>
    <row r="430" ht="13.5">
      <c r="A430" s="54"/>
      <c r="B430" s="5" t="s">
        <v>73</v>
      </c>
      <c r="C430" s="5" t="s">
        <v>56</v>
      </c>
      <c r="D430" s="5" t="str">
        <f>VLOOKUP($B430,Letters!$C$29:$D$52,2,FALSE) &amp; VLOOKUP($C430,Letters!$C$29:$D$52,2,FALSE)</f>
        <v>VF</v>
      </c>
      <c r="E430" s="61"/>
      <c r="F430" s="5"/>
      <c r="G430" s="55">
        <f t="shared" si="42"/>
        <v>0</v>
      </c>
      <c r="H430" s="55">
        <f t="shared" si="43"/>
        <v>0</v>
      </c>
      <c r="I430" s="56"/>
    </row>
    <row r="431" ht="13.5">
      <c r="A431" s="54"/>
      <c r="B431" s="5" t="s">
        <v>73</v>
      </c>
      <c r="C431" s="5" t="s">
        <v>57</v>
      </c>
      <c r="D431" s="5" t="str">
        <f>VLOOKUP($B431,Letters!$C$29:$D$52,2,FALSE) &amp; VLOOKUP($C431,Letters!$C$29:$D$52,2,FALSE)</f>
        <v>VG</v>
      </c>
      <c r="E431" s="5" t="s">
        <v>473</v>
      </c>
      <c r="F431" s="5" t="s">
        <v>474</v>
      </c>
      <c r="G431" s="55">
        <f t="shared" si="42"/>
        <v>8</v>
      </c>
      <c r="H431" s="55">
        <f t="shared" si="43"/>
        <v>8</v>
      </c>
      <c r="I431" s="56"/>
    </row>
    <row r="432" ht="13.5">
      <c r="A432" s="54"/>
      <c r="B432" s="5" t="s">
        <v>73</v>
      </c>
      <c r="C432" s="5" t="s">
        <v>58</v>
      </c>
      <c r="D432" s="5" t="str">
        <f>VLOOKUP($B432,Letters!$C$29:$D$52,2,FALSE) &amp; VLOOKUP($C432,Letters!$C$29:$D$52,2,FALSE)</f>
        <v>VH</v>
      </c>
      <c r="E432" s="61"/>
      <c r="F432" s="5"/>
      <c r="G432" s="55">
        <f t="shared" si="42"/>
        <v>0</v>
      </c>
      <c r="H432" s="55">
        <f t="shared" si="43"/>
        <v>0</v>
      </c>
      <c r="I432" s="56"/>
    </row>
    <row r="433" ht="13.5">
      <c r="A433" s="54"/>
      <c r="B433" s="5" t="s">
        <v>73</v>
      </c>
      <c r="C433" s="5" t="s">
        <v>60</v>
      </c>
      <c r="D433" s="5" t="str">
        <f>VLOOKUP($B433,Letters!$C$29:$D$52,2,FALSE) &amp; VLOOKUP($C433,Letters!$C$29:$D$52,2,FALSE)</f>
        <v>VJ</v>
      </c>
      <c r="E433" s="61"/>
      <c r="F433" s="5"/>
      <c r="G433" s="55">
        <f t="shared" si="42"/>
        <v>0</v>
      </c>
      <c r="H433" s="55">
        <f t="shared" si="43"/>
        <v>0</v>
      </c>
      <c r="I433" s="56"/>
    </row>
    <row r="434" ht="13.5">
      <c r="A434" s="54"/>
      <c r="B434" s="5" t="s">
        <v>73</v>
      </c>
      <c r="C434" s="5" t="s">
        <v>62</v>
      </c>
      <c r="D434" s="5" t="str">
        <f>VLOOKUP($B434,Letters!$C$29:$D$52,2,FALSE) &amp; VLOOKUP($C434,Letters!$C$29:$D$52,2,FALSE)</f>
        <v>VK</v>
      </c>
      <c r="E434" s="61"/>
      <c r="F434" s="5"/>
      <c r="G434" s="55">
        <f t="shared" si="42"/>
        <v>0</v>
      </c>
      <c r="H434" s="55">
        <f t="shared" si="43"/>
        <v>0</v>
      </c>
      <c r="I434" s="56"/>
    </row>
    <row r="435" ht="13.5">
      <c r="A435" s="54"/>
      <c r="B435" s="5" t="s">
        <v>73</v>
      </c>
      <c r="C435" s="5" t="s">
        <v>63</v>
      </c>
      <c r="D435" s="5" t="str">
        <f>VLOOKUP($B435,Letters!$C$29:$D$52,2,FALSE) &amp; VLOOKUP($C435,Letters!$C$29:$D$52,2,FALSE)</f>
        <v>VL</v>
      </c>
      <c r="E435" s="61"/>
      <c r="F435" s="5"/>
      <c r="G435" s="55">
        <f t="shared" si="42"/>
        <v>0</v>
      </c>
      <c r="H435" s="55">
        <f t="shared" si="43"/>
        <v>0</v>
      </c>
      <c r="I435" s="56"/>
    </row>
    <row r="436" ht="13.5">
      <c r="A436" s="54"/>
      <c r="B436" s="5" t="s">
        <v>73</v>
      </c>
      <c r="C436" s="5" t="s">
        <v>64</v>
      </c>
      <c r="D436" s="5" t="str">
        <f>VLOOKUP($B436,Letters!$C$29:$D$52,2,FALSE) &amp; VLOOKUP($C436,Letters!$C$29:$D$52,2,FALSE)</f>
        <v>VM</v>
      </c>
      <c r="E436" s="61"/>
      <c r="F436" s="5"/>
      <c r="G436" s="55">
        <f t="shared" si="42"/>
        <v>0</v>
      </c>
      <c r="H436" s="55">
        <f t="shared" si="43"/>
        <v>0</v>
      </c>
      <c r="I436" s="56"/>
    </row>
    <row r="437" ht="13.5">
      <c r="A437" s="54"/>
      <c r="B437" s="5" t="s">
        <v>73</v>
      </c>
      <c r="C437" s="5" t="s">
        <v>65</v>
      </c>
      <c r="D437" s="5" t="str">
        <f>VLOOKUP($B437,Letters!$C$29:$D$52,2,FALSE) &amp; VLOOKUP($C437,Letters!$C$29:$D$52,2,FALSE)</f>
        <v>VN</v>
      </c>
      <c r="E437" s="61"/>
      <c r="F437" s="5"/>
      <c r="G437" s="55">
        <f t="shared" si="42"/>
        <v>0</v>
      </c>
      <c r="H437" s="55">
        <f t="shared" si="43"/>
        <v>0</v>
      </c>
      <c r="I437" s="56"/>
    </row>
    <row r="438" ht="13.5">
      <c r="A438" s="54"/>
      <c r="B438" s="5" t="s">
        <v>73</v>
      </c>
      <c r="C438" s="5" t="s">
        <v>66</v>
      </c>
      <c r="D438" s="5" t="str">
        <f>VLOOKUP($B438,Letters!$C$29:$D$52,2,FALSE) &amp; VLOOKUP($C438,Letters!$C$29:$D$52,2,FALSE)</f>
        <v>VO</v>
      </c>
      <c r="E438" s="61"/>
      <c r="F438" s="5"/>
      <c r="G438" s="55">
        <f t="shared" si="42"/>
        <v>0</v>
      </c>
      <c r="H438" s="55">
        <f t="shared" si="43"/>
        <v>0</v>
      </c>
      <c r="I438" s="56"/>
    </row>
    <row r="439" ht="13.5">
      <c r="A439" s="54"/>
      <c r="B439" s="5" t="s">
        <v>73</v>
      </c>
      <c r="C439" s="5" t="s">
        <v>67</v>
      </c>
      <c r="D439" s="5" t="str">
        <f>VLOOKUP($B439,Letters!$C$29:$D$52,2,FALSE) &amp; VLOOKUP($C439,Letters!$C$29:$D$52,2,FALSE)</f>
        <v>VP</v>
      </c>
      <c r="E439" s="5" t="s">
        <v>475</v>
      </c>
      <c r="F439" s="5" t="s">
        <v>476</v>
      </c>
      <c r="G439" s="55">
        <f t="shared" si="42"/>
        <v>8</v>
      </c>
      <c r="H439" s="55">
        <f t="shared" si="43"/>
        <v>8</v>
      </c>
      <c r="I439" s="56"/>
    </row>
    <row r="440" ht="13.5">
      <c r="A440" s="54"/>
      <c r="B440" s="5" t="s">
        <v>73</v>
      </c>
      <c r="C440" s="5" t="s">
        <v>68</v>
      </c>
      <c r="D440" s="5" t="str">
        <f>VLOOKUP($B440,Letters!$C$29:$D$52,2,FALSE) &amp; VLOOKUP($C440,Letters!$C$29:$D$52,2,FALSE)</f>
        <v>VW</v>
      </c>
      <c r="E440" s="61"/>
      <c r="F440" s="5"/>
      <c r="G440" s="55">
        <f t="shared" si="42"/>
        <v>0</v>
      </c>
      <c r="H440" s="55">
        <f t="shared" si="43"/>
        <v>0</v>
      </c>
      <c r="I440" s="56"/>
    </row>
    <row r="441" ht="13.5">
      <c r="A441" s="54"/>
      <c r="B441" s="5" t="s">
        <v>73</v>
      </c>
      <c r="C441" s="5" t="s">
        <v>69</v>
      </c>
      <c r="D441" s="5" t="str">
        <f>VLOOKUP($B441,Letters!$C$29:$D$52,2,FALSE) &amp; VLOOKUP($C441,Letters!$C$29:$D$52,2,FALSE)</f>
        <v>VR</v>
      </c>
      <c r="E441" s="61"/>
      <c r="F441" s="5"/>
      <c r="G441" s="55">
        <f t="shared" si="42"/>
        <v>0</v>
      </c>
      <c r="H441" s="55">
        <f t="shared" si="43"/>
        <v>0</v>
      </c>
      <c r="I441" s="62"/>
    </row>
    <row r="442" ht="13.5">
      <c r="A442" s="54"/>
      <c r="B442" s="5" t="s">
        <v>73</v>
      </c>
      <c r="C442" s="5" t="s">
        <v>70</v>
      </c>
      <c r="D442" s="5" t="str">
        <f>VLOOKUP($B442,Letters!$C$29:$D$52,2,FALSE) &amp; VLOOKUP($C442,Letters!$C$29:$D$52,2,FALSE)</f>
        <v>VS</v>
      </c>
      <c r="E442" s="61"/>
      <c r="F442" s="5"/>
      <c r="G442" s="55">
        <f t="shared" si="42"/>
        <v>0</v>
      </c>
      <c r="H442" s="55">
        <f t="shared" si="43"/>
        <v>0</v>
      </c>
      <c r="I442" s="62"/>
    </row>
    <row r="443" ht="13.5">
      <c r="A443" s="54"/>
      <c r="B443" s="5" t="s">
        <v>73</v>
      </c>
      <c r="C443" s="5" t="s">
        <v>71</v>
      </c>
      <c r="D443" s="5" t="str">
        <f>VLOOKUP($B443,Letters!$C$29:$D$52,2,FALSE) &amp; VLOOKUP($C443,Letters!$C$29:$D$52,2,FALSE)</f>
        <v>VT</v>
      </c>
      <c r="E443" s="61"/>
      <c r="F443" s="5"/>
      <c r="G443" s="55">
        <f t="shared" si="42"/>
        <v>0</v>
      </c>
      <c r="H443" s="55">
        <f t="shared" si="43"/>
        <v>0</v>
      </c>
      <c r="I443" s="56"/>
    </row>
    <row r="444" ht="13.5">
      <c r="A444" s="54"/>
      <c r="B444" s="5" t="s">
        <v>73</v>
      </c>
      <c r="C444" s="5" t="s">
        <v>72</v>
      </c>
      <c r="D444" s="5" t="str">
        <f>VLOOKUP($B444,Letters!$C$29:$D$52,2,FALSE) &amp; VLOOKUP($C444,Letters!$C$29:$D$52,2,FALSE)</f>
        <v>VU</v>
      </c>
      <c r="E444" s="61"/>
      <c r="F444" s="5"/>
      <c r="G444" s="55">
        <f t="shared" si="42"/>
        <v>0</v>
      </c>
      <c r="H444" s="55">
        <f t="shared" si="43"/>
        <v>0</v>
      </c>
      <c r="I444" s="56"/>
    </row>
    <row r="445" ht="13.5">
      <c r="A445" s="54"/>
      <c r="B445" s="5" t="s">
        <v>73</v>
      </c>
      <c r="C445" s="5" t="s">
        <v>75</v>
      </c>
      <c r="D445" s="5" t="str">
        <f>VLOOKUP($B445,Letters!$C$29:$D$52,2,FALSE) &amp; VLOOKUP($C445,Letters!$C$29:$D$52,2,FALSE)</f>
        <v>VI</v>
      </c>
      <c r="E445" s="61"/>
      <c r="F445" s="5"/>
      <c r="G445" s="55">
        <f t="shared" si="42"/>
        <v>0</v>
      </c>
      <c r="H445" s="55">
        <f t="shared" si="43"/>
        <v>0</v>
      </c>
      <c r="I445" s="56">
        <f>AVERAGE(H426:H445)</f>
        <v>0.8</v>
      </c>
    </row>
    <row r="446">
      <c r="A446" s="54"/>
      <c r="B446" s="5"/>
      <c r="C446" s="5"/>
      <c r="D446" s="5"/>
      <c r="E446" s="5"/>
      <c r="F446" s="5"/>
      <c r="G446" s="55"/>
      <c r="H446" s="55"/>
      <c r="I446" s="56"/>
    </row>
    <row r="447" ht="13.5">
      <c r="A447" s="54"/>
      <c r="B447" s="5" t="s">
        <v>75</v>
      </c>
      <c r="C447" s="5" t="s">
        <v>50</v>
      </c>
      <c r="D447" s="5" t="str">
        <f>VLOOKUP($B447,Letters!$C$29:$D$52,2,FALSE) &amp; VLOOKUP($C447,Letters!$C$29:$D$52,2,FALSE)</f>
        <v>IA</v>
      </c>
      <c r="E447" s="61"/>
      <c r="F447" s="5"/>
      <c r="G447" s="55">
        <f t="shared" ref="G447:G466" si="44">(len($F447)-len(SUBSTITUTE($F447,"R","")))+(len($F447)-len(SUBSTITUTE($F447,"L","")))+(len($F447)-len(SUBSTITUTE($F447,"U","")))+(len($F447)-len(SUBSTITUTE($F447,"D","")))+(len($F447)-len(SUBSTITUTE($F447,"F","")))+(len($F447)-len(SUBSTITUTE($F447,"B","")))+(len($F447)-len(SUBSTITUTE($F447,"M","")))+(len($F447)-len(SUBSTITUTE($F447,"S","")))+(len($F447)-len(SUBSTITUTE($F447,"E","")))</f>
        <v>0</v>
      </c>
      <c r="H447" s="55">
        <f t="shared" ref="H447:H466" si="45">(len($F447)-len(SUBSTITUTE($F447,"R","")))+(len($F447)-len(SUBSTITUTE($F447,"L","")))+(len($F447)-len(SUBSTITUTE($F447,"U","")))+(len($F447)-len(SUBSTITUTE($F447,"D","")))+(len($F447)-len(SUBSTITUTE($F447,"F","")))+(len($F447)-len(SUBSTITUTE($F447,"B","")))+(len($F447)-len(SUBSTITUTE($F447,"M","")))+(len($F447)-len(SUBSTITUTE($F447,"S","")))+(len($F447)-len(SUBSTITUTE($F447,"E","")))+(len($F447)-len(SUBSTITUTE($F447,"2","")))</f>
        <v>0</v>
      </c>
      <c r="I447" s="56"/>
    </row>
    <row r="448" ht="13.5">
      <c r="A448" s="54"/>
      <c r="B448" s="5" t="s">
        <v>75</v>
      </c>
      <c r="C448" s="5" t="s">
        <v>52</v>
      </c>
      <c r="D448" s="5" t="str">
        <f>VLOOKUP($B448,Letters!$C$29:$D$52,2,FALSE) &amp; VLOOKUP($C448,Letters!$C$29:$D$52,2,FALSE)</f>
        <v>IB</v>
      </c>
      <c r="E448" s="61"/>
      <c r="F448" s="5"/>
      <c r="G448" s="55">
        <f t="shared" si="44"/>
        <v>0</v>
      </c>
      <c r="H448" s="55">
        <f t="shared" si="45"/>
        <v>0</v>
      </c>
      <c r="I448" s="56"/>
    </row>
    <row r="449" ht="13.5">
      <c r="A449" s="54"/>
      <c r="B449" s="5" t="s">
        <v>75</v>
      </c>
      <c r="C449" s="5" t="s">
        <v>53</v>
      </c>
      <c r="D449" s="5" t="str">
        <f>VLOOKUP($B449,Letters!$C$29:$D$52,2,FALSE) &amp; VLOOKUP($C449,Letters!$C$29:$D$52,2,FALSE)</f>
        <v>IC</v>
      </c>
      <c r="E449" s="61"/>
      <c r="F449" s="5"/>
      <c r="G449" s="55">
        <f t="shared" si="44"/>
        <v>0</v>
      </c>
      <c r="H449" s="55">
        <f t="shared" si="45"/>
        <v>0</v>
      </c>
      <c r="I449" s="56"/>
    </row>
    <row r="450" ht="13.5">
      <c r="A450" s="54"/>
      <c r="B450" s="5" t="s">
        <v>75</v>
      </c>
      <c r="C450" s="5" t="s">
        <v>54</v>
      </c>
      <c r="D450" s="5" t="str">
        <f>VLOOKUP($B450,Letters!$C$29:$D$52,2,FALSE) &amp; VLOOKUP($C450,Letters!$C$29:$D$52,2,FALSE)</f>
        <v>ID</v>
      </c>
      <c r="E450" s="61"/>
      <c r="F450" s="5"/>
      <c r="G450" s="55">
        <f t="shared" si="44"/>
        <v>0</v>
      </c>
      <c r="H450" s="55">
        <f t="shared" si="45"/>
        <v>0</v>
      </c>
      <c r="I450" s="56"/>
    </row>
    <row r="451" ht="13.5">
      <c r="A451" s="54"/>
      <c r="B451" s="5" t="s">
        <v>75</v>
      </c>
      <c r="C451" s="5" t="s">
        <v>55</v>
      </c>
      <c r="D451" s="5" t="str">
        <f>VLOOKUP($B451,Letters!$C$29:$D$52,2,FALSE) &amp; VLOOKUP($C451,Letters!$C$29:$D$52,2,FALSE)</f>
        <v>IE</v>
      </c>
      <c r="E451" s="5" t="s">
        <v>477</v>
      </c>
      <c r="F451" s="5" t="s">
        <v>478</v>
      </c>
      <c r="G451" s="55">
        <f t="shared" si="44"/>
        <v>8</v>
      </c>
      <c r="H451" s="55">
        <f t="shared" si="45"/>
        <v>8</v>
      </c>
      <c r="I451" s="56"/>
    </row>
    <row r="452" ht="13.5">
      <c r="A452" s="54"/>
      <c r="B452" s="5" t="s">
        <v>75</v>
      </c>
      <c r="C452" s="5" t="s">
        <v>56</v>
      </c>
      <c r="D452" s="5" t="str">
        <f>VLOOKUP($B452,Letters!$C$29:$D$52,2,FALSE) &amp; VLOOKUP($C452,Letters!$C$29:$D$52,2,FALSE)</f>
        <v>IF</v>
      </c>
      <c r="E452" s="61"/>
      <c r="F452" s="5"/>
      <c r="G452" s="55">
        <f t="shared" si="44"/>
        <v>0</v>
      </c>
      <c r="H452" s="55">
        <f t="shared" si="45"/>
        <v>0</v>
      </c>
      <c r="I452" s="56"/>
    </row>
    <row r="453" ht="13.5">
      <c r="A453" s="54"/>
      <c r="B453" s="5" t="s">
        <v>75</v>
      </c>
      <c r="C453" s="5" t="s">
        <v>57</v>
      </c>
      <c r="D453" s="5" t="str">
        <f>VLOOKUP($B453,Letters!$C$29:$D$52,2,FALSE) &amp; VLOOKUP($C453,Letters!$C$29:$D$52,2,FALSE)</f>
        <v>IG</v>
      </c>
      <c r="E453" s="61"/>
      <c r="F453" s="5"/>
      <c r="G453" s="55">
        <f t="shared" si="44"/>
        <v>0</v>
      </c>
      <c r="H453" s="55">
        <f t="shared" si="45"/>
        <v>0</v>
      </c>
      <c r="I453" s="56"/>
    </row>
    <row r="454" ht="13.5">
      <c r="A454" s="54"/>
      <c r="B454" s="5" t="s">
        <v>75</v>
      </c>
      <c r="C454" s="5" t="s">
        <v>58</v>
      </c>
      <c r="D454" s="5" t="str">
        <f>VLOOKUP($B454,Letters!$C$29:$D$52,2,FALSE) &amp; VLOOKUP($C454,Letters!$C$29:$D$52,2,FALSE)</f>
        <v>IH</v>
      </c>
      <c r="E454" s="61"/>
      <c r="F454" s="5"/>
      <c r="G454" s="55">
        <f t="shared" si="44"/>
        <v>0</v>
      </c>
      <c r="H454" s="55">
        <f t="shared" si="45"/>
        <v>0</v>
      </c>
      <c r="I454" s="56"/>
    </row>
    <row r="455" ht="13.5">
      <c r="A455" s="54"/>
      <c r="B455" s="5" t="s">
        <v>75</v>
      </c>
      <c r="C455" s="5" t="s">
        <v>60</v>
      </c>
      <c r="D455" s="5" t="str">
        <f>VLOOKUP($B455,Letters!$C$29:$D$52,2,FALSE) &amp; VLOOKUP($C455,Letters!$C$29:$D$52,2,FALSE)</f>
        <v>IJ</v>
      </c>
      <c r="E455" s="61"/>
      <c r="F455" s="5"/>
      <c r="G455" s="55">
        <f t="shared" si="44"/>
        <v>0</v>
      </c>
      <c r="H455" s="55">
        <f t="shared" si="45"/>
        <v>0</v>
      </c>
      <c r="I455" s="56"/>
    </row>
    <row r="456" ht="13.5">
      <c r="A456" s="54"/>
      <c r="B456" s="5" t="s">
        <v>75</v>
      </c>
      <c r="C456" s="5" t="s">
        <v>62</v>
      </c>
      <c r="D456" s="5" t="str">
        <f>VLOOKUP($B456,Letters!$C$29:$D$52,2,FALSE) &amp; VLOOKUP($C456,Letters!$C$29:$D$52,2,FALSE)</f>
        <v>IK</v>
      </c>
      <c r="E456" s="61"/>
      <c r="F456" s="5"/>
      <c r="G456" s="55">
        <f t="shared" si="44"/>
        <v>0</v>
      </c>
      <c r="H456" s="55">
        <f t="shared" si="45"/>
        <v>0</v>
      </c>
      <c r="I456" s="56"/>
    </row>
    <row r="457" ht="13.5">
      <c r="A457" s="54"/>
      <c r="B457" s="5" t="s">
        <v>75</v>
      </c>
      <c r="C457" s="5" t="s">
        <v>63</v>
      </c>
      <c r="D457" s="5" t="str">
        <f>VLOOKUP($B457,Letters!$C$29:$D$52,2,FALSE) &amp; VLOOKUP($C457,Letters!$C$29:$D$52,2,FALSE)</f>
        <v>IL</v>
      </c>
      <c r="E457" s="61"/>
      <c r="F457" s="5"/>
      <c r="G457" s="55">
        <f t="shared" si="44"/>
        <v>0</v>
      </c>
      <c r="H457" s="55">
        <f t="shared" si="45"/>
        <v>0</v>
      </c>
      <c r="I457" s="56"/>
    </row>
    <row r="458" ht="13.5">
      <c r="A458" s="54"/>
      <c r="B458" s="5" t="s">
        <v>75</v>
      </c>
      <c r="C458" s="5" t="s">
        <v>65</v>
      </c>
      <c r="D458" s="5" t="str">
        <f>VLOOKUP($B458,Letters!$C$29:$D$52,2,FALSE) &amp; VLOOKUP($C458,Letters!$C$29:$D$52,2,FALSE)</f>
        <v>IN</v>
      </c>
      <c r="E458" s="61"/>
      <c r="F458" s="5"/>
      <c r="G458" s="55">
        <f t="shared" si="44"/>
        <v>0</v>
      </c>
      <c r="H458" s="55">
        <f t="shared" si="45"/>
        <v>0</v>
      </c>
      <c r="I458" s="56"/>
    </row>
    <row r="459" ht="13.5">
      <c r="A459" s="54"/>
      <c r="B459" s="5" t="s">
        <v>75</v>
      </c>
      <c r="C459" s="5" t="s">
        <v>66</v>
      </c>
      <c r="D459" s="5" t="str">
        <f>VLOOKUP($B459,Letters!$C$29:$D$52,2,FALSE) &amp; VLOOKUP($C459,Letters!$C$29:$D$52,2,FALSE)</f>
        <v>IO</v>
      </c>
      <c r="E459" s="5" t="s">
        <v>479</v>
      </c>
      <c r="F459" s="5" t="s">
        <v>480</v>
      </c>
      <c r="G459" s="55">
        <f t="shared" si="44"/>
        <v>8</v>
      </c>
      <c r="H459" s="55">
        <f t="shared" si="45"/>
        <v>8</v>
      </c>
      <c r="I459" s="56"/>
    </row>
    <row r="460" ht="13.5">
      <c r="A460" s="54"/>
      <c r="B460" s="5" t="s">
        <v>75</v>
      </c>
      <c r="C460" s="5" t="s">
        <v>67</v>
      </c>
      <c r="D460" s="5" t="str">
        <f>VLOOKUP($B460,Letters!$C$29:$D$52,2,FALSE) &amp; VLOOKUP($C460,Letters!$C$29:$D$52,2,FALSE)</f>
        <v>IP</v>
      </c>
      <c r="E460" s="61"/>
      <c r="F460" s="5"/>
      <c r="G460" s="55">
        <f t="shared" si="44"/>
        <v>0</v>
      </c>
      <c r="H460" s="55">
        <f t="shared" si="45"/>
        <v>0</v>
      </c>
      <c r="I460" s="56"/>
    </row>
    <row r="461" ht="13.5">
      <c r="A461" s="54"/>
      <c r="B461" s="5" t="s">
        <v>75</v>
      </c>
      <c r="C461" s="5" t="s">
        <v>68</v>
      </c>
      <c r="D461" s="5" t="str">
        <f>VLOOKUP($B461,Letters!$C$29:$D$52,2,FALSE) &amp; VLOOKUP($C461,Letters!$C$29:$D$52,2,FALSE)</f>
        <v>IW</v>
      </c>
      <c r="E461" s="61"/>
      <c r="F461" s="5"/>
      <c r="G461" s="55">
        <f t="shared" si="44"/>
        <v>0</v>
      </c>
      <c r="H461" s="55">
        <f t="shared" si="45"/>
        <v>0</v>
      </c>
      <c r="I461" s="56"/>
    </row>
    <row r="462" ht="13.5">
      <c r="A462" s="54"/>
      <c r="B462" s="5" t="s">
        <v>75</v>
      </c>
      <c r="C462" s="5" t="s">
        <v>69</v>
      </c>
      <c r="D462" s="5" t="str">
        <f>VLOOKUP($B462,Letters!$C$29:$D$52,2,FALSE) &amp; VLOOKUP($C462,Letters!$C$29:$D$52,2,FALSE)</f>
        <v>IR</v>
      </c>
      <c r="E462" s="61"/>
      <c r="F462" s="5"/>
      <c r="G462" s="55">
        <f t="shared" si="44"/>
        <v>0</v>
      </c>
      <c r="H462" s="55">
        <f t="shared" si="45"/>
        <v>0</v>
      </c>
      <c r="I462" s="56"/>
    </row>
    <row r="463" ht="13.5">
      <c r="A463" s="65"/>
      <c r="B463" s="5" t="s">
        <v>75</v>
      </c>
      <c r="C463" s="5" t="s">
        <v>70</v>
      </c>
      <c r="D463" s="5" t="str">
        <f>VLOOKUP($B463,Letters!$C$29:$D$52,2,FALSE) &amp; VLOOKUP($C463,Letters!$C$29:$D$52,2,FALSE)</f>
        <v>IS</v>
      </c>
      <c r="E463" s="61"/>
      <c r="F463" s="5"/>
      <c r="G463" s="55">
        <f t="shared" si="44"/>
        <v>0</v>
      </c>
      <c r="H463" s="55">
        <f t="shared" si="45"/>
        <v>0</v>
      </c>
      <c r="I463" s="56"/>
    </row>
    <row r="464" ht="13.5">
      <c r="A464" s="65"/>
      <c r="B464" s="5" t="s">
        <v>75</v>
      </c>
      <c r="C464" s="5" t="s">
        <v>71</v>
      </c>
      <c r="D464" s="5" t="str">
        <f>VLOOKUP($B464,Letters!$C$29:$D$52,2,FALSE) &amp; VLOOKUP($C464,Letters!$C$29:$D$52,2,FALSE)</f>
        <v>IT</v>
      </c>
      <c r="E464" s="61"/>
      <c r="F464" s="5"/>
      <c r="G464" s="55">
        <f t="shared" si="44"/>
        <v>0</v>
      </c>
      <c r="H464" s="55">
        <f t="shared" si="45"/>
        <v>0</v>
      </c>
      <c r="I464" s="56"/>
    </row>
    <row r="465" ht="13.5">
      <c r="A465" s="65"/>
      <c r="B465" s="5" t="s">
        <v>75</v>
      </c>
      <c r="C465" s="5" t="s">
        <v>72</v>
      </c>
      <c r="D465" s="5" t="str">
        <f>VLOOKUP($B465,Letters!$C$29:$D$52,2,FALSE) &amp; VLOOKUP($C465,Letters!$C$29:$D$52,2,FALSE)</f>
        <v>IU</v>
      </c>
      <c r="E465" s="61"/>
      <c r="F465" s="5"/>
      <c r="G465" s="55">
        <f t="shared" si="44"/>
        <v>0</v>
      </c>
      <c r="H465" s="55">
        <f t="shared" si="45"/>
        <v>0</v>
      </c>
      <c r="I465" s="56"/>
    </row>
    <row r="466" ht="13.5">
      <c r="A466" s="65"/>
      <c r="B466" s="5" t="s">
        <v>75</v>
      </c>
      <c r="C466" s="5" t="s">
        <v>73</v>
      </c>
      <c r="D466" s="5" t="str">
        <f>VLOOKUP($B466,Letters!$C$29:$D$52,2,FALSE) &amp; VLOOKUP($C466,Letters!$C$29:$D$52,2,FALSE)</f>
        <v>IV</v>
      </c>
      <c r="E466" s="61"/>
      <c r="F466" s="5"/>
      <c r="G466" s="55">
        <f t="shared" si="44"/>
        <v>0</v>
      </c>
      <c r="H466" s="55">
        <f t="shared" si="45"/>
        <v>0</v>
      </c>
      <c r="I466" s="56">
        <f>AVERAGE(H447:H466)</f>
        <v>0.8</v>
      </c>
    </row>
    <row r="467">
      <c r="A467" s="65"/>
      <c r="B467" s="5"/>
      <c r="C467" s="5"/>
      <c r="D467" s="5"/>
      <c r="E467" s="5"/>
      <c r="F467" s="5"/>
      <c r="G467" s="5"/>
      <c r="I467" s="66"/>
    </row>
    <row r="468" ht="17.25">
      <c r="A468" s="65"/>
      <c r="B468" s="3" t="s">
        <v>481</v>
      </c>
      <c r="C468" s="5"/>
      <c r="D468" s="5"/>
      <c r="E468" s="5"/>
      <c r="F468" s="5"/>
      <c r="G468" s="5"/>
      <c r="I468" s="66"/>
    </row>
    <row r="469">
      <c r="A469" s="65"/>
      <c r="B469" s="5"/>
      <c r="C469" s="5"/>
      <c r="D469" s="5"/>
      <c r="E469" s="5"/>
      <c r="F469" s="5"/>
      <c r="G469" s="5"/>
      <c r="I469" s="66"/>
    </row>
    <row r="470" ht="13.5">
      <c r="A470" s="65"/>
      <c r="B470" s="5" t="s">
        <v>50</v>
      </c>
      <c r="C470" s="5" t="s">
        <v>62</v>
      </c>
      <c r="D470" s="5" t="str">
        <f>VLOOKUP($B470,Letters!$C$29:$D$52,2,FALSE) &amp; VLOOKUP($C470,Letters!$C$29:$D$52,2,FALSE)</f>
        <v>AK</v>
      </c>
      <c r="E470" s="5" t="s">
        <v>482</v>
      </c>
      <c r="F470" s="5" t="s">
        <v>483</v>
      </c>
      <c r="G470" s="5"/>
      <c r="I470" s="66"/>
    </row>
    <row r="471" ht="13.5">
      <c r="A471" s="65"/>
      <c r="B471" s="5" t="s">
        <v>52</v>
      </c>
      <c r="C471" s="5" t="s">
        <v>57</v>
      </c>
      <c r="D471" s="5" t="str">
        <f>VLOOKUP($B471,Letters!$C$29:$D$52,2,FALSE) &amp; VLOOKUP($C471,Letters!$C$29:$D$52,2,FALSE)</f>
        <v>BG</v>
      </c>
      <c r="E471" s="5" t="s">
        <v>484</v>
      </c>
      <c r="F471" s="5" t="s">
        <v>485</v>
      </c>
      <c r="G471" s="5"/>
      <c r="I471" s="66"/>
    </row>
    <row r="472" ht="13.5">
      <c r="A472" s="65"/>
      <c r="B472" s="5" t="s">
        <v>53</v>
      </c>
      <c r="C472" s="5" t="s">
        <v>70</v>
      </c>
      <c r="D472" s="5" t="str">
        <f>VLOOKUP($B472,Letters!$C$29:$D$52,2,FALSE) &amp; VLOOKUP($C472,Letters!$C$29:$D$52,2,FALSE)</f>
        <v>CS</v>
      </c>
      <c r="E472" s="5" t="s">
        <v>486</v>
      </c>
      <c r="F472" s="5" t="s">
        <v>487</v>
      </c>
      <c r="G472" s="5"/>
      <c r="I472" s="66"/>
    </row>
    <row r="473" ht="13.5">
      <c r="A473" s="65"/>
      <c r="B473" s="5" t="s">
        <v>54</v>
      </c>
      <c r="C473" s="5" t="s">
        <v>66</v>
      </c>
      <c r="D473" s="5" t="str">
        <f>VLOOKUP($B473,Letters!$C$29:$D$52,2,FALSE) &amp; VLOOKUP($C473,Letters!$C$29:$D$52,2,FALSE)</f>
        <v>DO</v>
      </c>
      <c r="E473" s="5" t="s">
        <v>488</v>
      </c>
      <c r="F473" s="5" t="s">
        <v>489</v>
      </c>
      <c r="G473" s="5"/>
      <c r="I473" s="66"/>
    </row>
    <row r="474" ht="13.5">
      <c r="A474" s="65"/>
      <c r="B474" s="5" t="s">
        <v>56</v>
      </c>
      <c r="C474" s="5" t="s">
        <v>71</v>
      </c>
      <c r="D474" s="5" t="str">
        <f>VLOOKUP($B474,Letters!$C$29:$D$52,2,FALSE) &amp; VLOOKUP($C474,Letters!$C$29:$D$52,2,FALSE)</f>
        <v>FT</v>
      </c>
      <c r="E474" s="61"/>
      <c r="F474" s="5"/>
      <c r="G474" s="5"/>
      <c r="I474" s="66"/>
    </row>
    <row r="475" ht="13.5">
      <c r="A475" s="65"/>
      <c r="B475" s="5" t="s">
        <v>58</v>
      </c>
      <c r="C475" s="5" t="s">
        <v>60</v>
      </c>
      <c r="D475" s="5" t="str">
        <f>VLOOKUP($B475,Letters!$C$29:$D$52,2,FALSE) &amp; VLOOKUP($C475,Letters!$C$29:$D$52,2,FALSE)</f>
        <v>HJ</v>
      </c>
      <c r="E475" s="61"/>
      <c r="F475" s="5"/>
      <c r="G475" s="5"/>
      <c r="I475" s="66"/>
    </row>
    <row r="476" ht="13.5">
      <c r="A476" s="65"/>
      <c r="B476" s="5" t="s">
        <v>65</v>
      </c>
      <c r="C476" s="5" t="s">
        <v>63</v>
      </c>
      <c r="D476" s="5" t="str">
        <f>VLOOKUP($B476,Letters!$C$29:$D$52,2,FALSE) &amp; VLOOKUP($C476,Letters!$C$29:$D$52,2,FALSE)</f>
        <v>NL</v>
      </c>
      <c r="E476" s="5" t="s">
        <v>490</v>
      </c>
      <c r="F476" s="5" t="s">
        <v>491</v>
      </c>
      <c r="I476" s="66"/>
    </row>
    <row r="477" ht="13.5">
      <c r="A477" s="65"/>
      <c r="B477" s="5" t="s">
        <v>67</v>
      </c>
      <c r="C477" s="5" t="s">
        <v>69</v>
      </c>
      <c r="D477" s="5" t="str">
        <f>VLOOKUP($B477,Letters!$C$29:$D$52,2,FALSE) &amp; VLOOKUP($C477,Letters!$C$29:$D$52,2,FALSE)</f>
        <v>PR</v>
      </c>
      <c r="E477" s="5" t="s">
        <v>492</v>
      </c>
      <c r="F477" s="5" t="s">
        <v>493</v>
      </c>
      <c r="I477" s="66"/>
    </row>
    <row r="478" ht="13.5">
      <c r="A478" s="65"/>
      <c r="B478" s="5" t="s">
        <v>72</v>
      </c>
      <c r="C478" s="5" t="s">
        <v>68</v>
      </c>
      <c r="D478" s="5" t="str">
        <f>VLOOKUP($B478,Letters!$C$29:$D$52,2,FALSE) &amp; VLOOKUP($C478,Letters!$C$29:$D$52,2,FALSE)</f>
        <v>UW</v>
      </c>
      <c r="E478" s="5" t="s">
        <v>494</v>
      </c>
      <c r="F478" s="5" t="s">
        <v>495</v>
      </c>
      <c r="I478" s="66"/>
    </row>
    <row r="479" ht="13.5">
      <c r="A479" s="65"/>
      <c r="B479" s="5" t="s">
        <v>73</v>
      </c>
      <c r="C479" s="5" t="s">
        <v>55</v>
      </c>
      <c r="D479" s="5" t="str">
        <f>VLOOKUP($B479,Letters!$C$29:$D$52,2,FALSE) &amp; VLOOKUP($C479,Letters!$C$29:$D$52,2,FALSE)</f>
        <v>VE</v>
      </c>
      <c r="E479" s="61"/>
      <c r="F479" s="2"/>
      <c r="I479" s="66"/>
    </row>
    <row r="480" ht="13.5">
      <c r="A480" s="65"/>
      <c r="B480" s="5" t="s">
        <v>75</v>
      </c>
      <c r="C480" s="5" t="s">
        <v>64</v>
      </c>
      <c r="D480" s="5" t="str">
        <f>VLOOKUP($B480,Letters!$C$29:$D$52,2,FALSE) &amp; VLOOKUP($C480,Letters!$C$29:$D$52,2,FALSE)</f>
        <v>IM</v>
      </c>
      <c r="E480" s="61"/>
      <c r="F480" s="5" t="s">
        <v>496</v>
      </c>
      <c r="I480" s="66"/>
    </row>
    <row r="481">
      <c r="A481" s="65"/>
      <c r="B481" s="5"/>
      <c r="C481" s="5"/>
      <c r="D481" s="5"/>
      <c r="E481" s="2"/>
      <c r="F481" s="2"/>
      <c r="I481" s="66"/>
    </row>
    <row r="482" ht="17.25">
      <c r="A482" s="65"/>
      <c r="B482" s="3" t="s">
        <v>497</v>
      </c>
      <c r="C482" s="5"/>
      <c r="D482" s="5"/>
      <c r="E482" s="2"/>
      <c r="F482" s="2"/>
      <c r="I482" s="66"/>
    </row>
    <row r="483">
      <c r="A483" s="65"/>
      <c r="B483" s="5"/>
      <c r="C483" s="5"/>
      <c r="D483" s="5"/>
      <c r="E483" s="2"/>
      <c r="F483" s="2"/>
      <c r="I483" s="66"/>
    </row>
    <row r="484" ht="13.5">
      <c r="A484" s="65"/>
      <c r="B484" s="5" t="s">
        <v>498</v>
      </c>
      <c r="C484" s="5" t="s">
        <v>499</v>
      </c>
      <c r="D484" s="5" t="s">
        <v>500</v>
      </c>
      <c r="E484" s="5" t="s">
        <v>501</v>
      </c>
      <c r="F484" s="5" t="s">
        <v>502</v>
      </c>
      <c r="I484" s="66"/>
    </row>
    <row r="485" ht="13.5">
      <c r="A485" s="65"/>
      <c r="B485" s="5" t="s">
        <v>503</v>
      </c>
      <c r="C485" s="5" t="s">
        <v>504</v>
      </c>
      <c r="D485" s="5" t="s">
        <v>505</v>
      </c>
      <c r="E485" s="5" t="s">
        <v>506</v>
      </c>
      <c r="F485" s="5" t="s">
        <v>507</v>
      </c>
      <c r="I485" s="66"/>
    </row>
    <row r="486">
      <c r="A486" s="65"/>
      <c r="B486" s="5"/>
      <c r="C486" s="5"/>
      <c r="D486" s="5"/>
      <c r="E486" s="2"/>
      <c r="F486" s="2"/>
      <c r="I486" s="66"/>
    </row>
    <row r="487">
      <c r="A487" s="65"/>
      <c r="B487" s="5"/>
      <c r="C487" s="5"/>
      <c r="D487" s="5"/>
      <c r="E487" s="2"/>
      <c r="F487" s="2"/>
      <c r="I487" s="66"/>
    </row>
    <row r="488">
      <c r="A488" s="65"/>
      <c r="B488" s="5"/>
      <c r="C488" s="5"/>
      <c r="D488" s="5"/>
      <c r="E488" s="2"/>
      <c r="F488" s="2"/>
      <c r="I488" s="66"/>
    </row>
    <row r="489" ht="17.25">
      <c r="A489" s="65"/>
      <c r="B489" s="3" t="s">
        <v>508</v>
      </c>
      <c r="C489" s="5"/>
      <c r="D489" s="5"/>
      <c r="E489" s="2"/>
      <c r="F489" s="2"/>
      <c r="I489" s="66"/>
    </row>
    <row r="490">
      <c r="A490" s="65"/>
      <c r="B490" s="5"/>
      <c r="C490" s="5"/>
      <c r="D490" s="5"/>
      <c r="E490" s="2"/>
      <c r="F490" s="67"/>
      <c r="I490" s="66"/>
    </row>
    <row r="491">
      <c r="A491" s="65"/>
      <c r="B491" s="5"/>
      <c r="C491" s="5"/>
      <c r="D491" s="5"/>
      <c r="E491" s="2"/>
      <c r="F491" s="2"/>
      <c r="I491" s="66"/>
    </row>
    <row r="492">
      <c r="A492" s="65"/>
      <c r="B492" s="5"/>
      <c r="C492" s="5"/>
      <c r="D492" s="5"/>
      <c r="E492" s="2"/>
      <c r="F492" s="2"/>
      <c r="I492" s="66"/>
    </row>
    <row r="493">
      <c r="A493" s="65"/>
      <c r="B493" s="5"/>
      <c r="C493" s="5"/>
      <c r="D493" s="5"/>
      <c r="E493" s="2"/>
      <c r="F493" s="2"/>
      <c r="I493" s="66"/>
    </row>
    <row r="494">
      <c r="A494" s="65"/>
      <c r="B494" s="5"/>
      <c r="C494" s="5"/>
      <c r="D494" s="5"/>
      <c r="E494" s="2"/>
      <c r="F494" s="2"/>
      <c r="I494" s="66"/>
    </row>
    <row r="495">
      <c r="A495" s="65"/>
      <c r="B495" s="5"/>
      <c r="C495" s="5"/>
      <c r="D495" s="5"/>
      <c r="E495" s="2"/>
      <c r="F495" s="2"/>
      <c r="I495" s="66"/>
    </row>
    <row r="496">
      <c r="A496" s="65"/>
      <c r="B496" s="5"/>
      <c r="C496" s="5"/>
      <c r="D496" s="5"/>
      <c r="E496" s="2"/>
      <c r="F496" s="2"/>
      <c r="I496" s="66"/>
    </row>
    <row r="497">
      <c r="A497" s="65"/>
      <c r="B497" s="5"/>
      <c r="C497" s="5"/>
      <c r="D497" s="5"/>
      <c r="E497" s="2"/>
      <c r="F497" s="2"/>
      <c r="I497" s="66"/>
    </row>
    <row r="498">
      <c r="A498" s="65"/>
      <c r="B498" s="5"/>
      <c r="C498" s="5"/>
      <c r="D498" s="5"/>
      <c r="E498" s="2"/>
      <c r="F498" s="2"/>
      <c r="I498" s="66"/>
    </row>
    <row r="499">
      <c r="A499" s="65"/>
      <c r="B499" s="5"/>
      <c r="C499" s="5"/>
      <c r="D499" s="5"/>
      <c r="E499" s="2"/>
      <c r="F499" s="2"/>
      <c r="I499" s="66"/>
    </row>
    <row r="500">
      <c r="A500" s="65"/>
      <c r="B500" s="5"/>
      <c r="C500" s="5"/>
      <c r="D500" s="5"/>
      <c r="E500" s="2"/>
      <c r="F500" s="2"/>
      <c r="I500" s="66"/>
    </row>
    <row r="501">
      <c r="A501" s="65"/>
      <c r="B501" s="5"/>
      <c r="C501" s="5"/>
      <c r="D501" s="5"/>
      <c r="E501" s="2"/>
      <c r="F501" s="2"/>
      <c r="I501" s="66"/>
    </row>
    <row r="502">
      <c r="A502" s="65"/>
      <c r="B502" s="5"/>
      <c r="C502" s="5"/>
      <c r="D502" s="5"/>
      <c r="E502" s="2"/>
      <c r="F502" s="2"/>
      <c r="I502" s="66"/>
    </row>
    <row r="503">
      <c r="A503" s="65"/>
      <c r="B503" s="5"/>
      <c r="C503" s="5"/>
      <c r="D503" s="5"/>
      <c r="E503" s="2"/>
      <c r="F503" s="2"/>
      <c r="I503" s="66"/>
    </row>
    <row r="504">
      <c r="A504" s="65"/>
      <c r="B504" s="5"/>
      <c r="C504" s="5"/>
      <c r="D504" s="5"/>
      <c r="E504" s="2"/>
      <c r="F504" s="2"/>
      <c r="I504" s="66"/>
    </row>
    <row r="505">
      <c r="A505" s="65"/>
      <c r="B505" s="5"/>
      <c r="C505" s="5"/>
      <c r="D505" s="5"/>
      <c r="E505" s="2"/>
      <c r="F505" s="2"/>
      <c r="I505" s="66"/>
    </row>
    <row r="506">
      <c r="A506" s="65"/>
      <c r="B506" s="5"/>
      <c r="C506" s="5"/>
      <c r="D506" s="5"/>
      <c r="E506" s="2"/>
      <c r="F506" s="2"/>
      <c r="I506" s="66"/>
    </row>
  </sheetData>
  <conditionalFormatting sqref="E1">
    <cfRule type="expression" dxfId="0" priority="1">
      <formula>AND(G:G&lt;=8,NOT(ISBLANK(E:E)))</formula>
    </cfRule>
  </conditionalFormatting>
  <conditionalFormatting sqref="E1">
    <cfRule type="expression" dxfId="1" priority="2">
      <formula>AND(G:G=10,NOT(ISBLANK(E:E)))</formula>
    </cfRule>
  </conditionalFormatting>
  <conditionalFormatting sqref="E1">
    <cfRule type="expression" dxfId="2" priority="3">
      <formula>AND(G:G=9,NOT(ISBLANK(E:E)))</formula>
    </cfRule>
  </conditionalFormatting>
  <conditionalFormatting sqref="D6:D466">
    <cfRule type="expression" dxfId="3" priority="4">
      <formula>A:A=1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4" width="10.86"/>
    <col customWidth="1" min="5" max="5" width="28.71"/>
    <col customWidth="1" min="6" max="6" width="46.43"/>
    <col customWidth="1" min="7" max="8" width="7.29"/>
  </cols>
  <sheetData>
    <row r="1">
      <c r="A1" s="54"/>
      <c r="B1" s="4"/>
      <c r="C1" s="4"/>
      <c r="D1" s="4"/>
      <c r="E1" s="55"/>
      <c r="F1" s="55"/>
      <c r="G1" s="55"/>
      <c r="H1" s="55"/>
      <c r="I1" s="56"/>
      <c r="J1" s="55"/>
      <c r="K1" s="55"/>
      <c r="L1" s="55"/>
      <c r="M1" s="55"/>
      <c r="N1" s="4"/>
      <c r="O1" s="4"/>
      <c r="P1" s="4"/>
      <c r="Q1" s="55"/>
      <c r="R1" s="55"/>
      <c r="S1" s="55"/>
      <c r="T1" s="55"/>
      <c r="U1" s="56"/>
      <c r="V1" s="55"/>
      <c r="W1" s="55"/>
      <c r="X1" s="55"/>
      <c r="Y1" s="59"/>
      <c r="Z1" s="59"/>
      <c r="AA1" s="59"/>
    </row>
    <row r="2" ht="11.25" customHeight="1">
      <c r="A2" s="54"/>
      <c r="B2" s="3" t="s">
        <v>185</v>
      </c>
      <c r="C2" s="4"/>
      <c r="D2" s="4"/>
      <c r="E2" s="55"/>
      <c r="F2" s="55"/>
      <c r="G2" s="55"/>
      <c r="H2" s="55"/>
      <c r="I2" s="56"/>
      <c r="J2" s="55"/>
      <c r="K2" s="55"/>
      <c r="L2" s="55"/>
      <c r="M2" s="55"/>
      <c r="N2" s="3"/>
      <c r="O2" s="4"/>
      <c r="P2" s="4"/>
      <c r="Q2" s="55"/>
      <c r="R2" s="55"/>
      <c r="S2" s="55"/>
      <c r="T2" s="55"/>
      <c r="U2" s="56"/>
      <c r="V2" s="55"/>
      <c r="W2" s="55"/>
      <c r="X2" s="55"/>
      <c r="Y2" s="59"/>
      <c r="Z2" s="59"/>
      <c r="AA2" s="59"/>
    </row>
    <row r="3" ht="13.5">
      <c r="A3" s="54"/>
      <c r="B3" s="4"/>
      <c r="C3" s="4"/>
      <c r="D3" s="4" t="str">
        <f>SUM(A6:A533)&amp;"/"&amp;COUNTA(D6:D533)</f>
        <v>105/506</v>
      </c>
      <c r="E3" s="55"/>
      <c r="F3" s="55"/>
      <c r="G3" s="55"/>
      <c r="H3" s="55"/>
      <c r="I3" s="56"/>
      <c r="J3" s="55"/>
      <c r="K3" s="55"/>
      <c r="L3" s="55"/>
      <c r="M3" s="55"/>
      <c r="N3" s="4"/>
      <c r="O3" s="4"/>
      <c r="P3" s="4"/>
      <c r="Q3" s="55"/>
      <c r="R3" s="55"/>
      <c r="S3" s="55"/>
      <c r="T3" s="55"/>
      <c r="U3" s="56"/>
      <c r="V3" s="55"/>
      <c r="W3" s="55"/>
      <c r="X3" s="55"/>
      <c r="Y3" s="59"/>
      <c r="Z3" s="59"/>
      <c r="AA3" s="59"/>
    </row>
    <row r="4" ht="13.5">
      <c r="A4" s="57"/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192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ht="13.5" customHeight="1">
      <c r="A5" s="60"/>
      <c r="B5" s="5"/>
      <c r="C5" s="5"/>
      <c r="D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ht="13.5">
      <c r="A6" s="60"/>
      <c r="B6" s="5" t="s">
        <v>78</v>
      </c>
      <c r="C6" s="5" t="s">
        <v>80</v>
      </c>
      <c r="D6" s="55" t="str">
        <f>VLOOKUP($B6,Letters!$C$56:$D$79,2,FALSE) &amp; VLOOKUP($C6,Letters!$C$56:$D$79,2,FALSE)</f>
        <v>AB</v>
      </c>
      <c r="E6" s="5" t="s">
        <v>1291</v>
      </c>
      <c r="F6" s="5" t="s">
        <v>1292</v>
      </c>
      <c r="G6" s="55">
        <f t="shared" ref="G6:G27" si="1">(len($F6)-len(SUBSTITUTE($F6,"R","")))+(len($F6)-len(SUBSTITUTE($F6,"L","")))+(len($F6)-len(SUBSTITUTE($F6,"U","")))+(len($F6)-len(SUBSTITUTE($F6,"D","")))+(len($F6)-len(SUBSTITUTE($F6,"F","")))+(len($F6)-len(SUBSTITUTE($F6,"B","")))+(len($F6)-len(SUBSTITUTE($F6,"r","")))+(len($F6)-len(SUBSTITUTE($F6,"l","")))+(len($F6)-len(SUBSTITUTE($F6,"u","")))+(len($F6)-len(SUBSTITUTE($F6,"d","")))</f>
        <v>12</v>
      </c>
      <c r="H6" s="55">
        <f t="shared" ref="H6:H27" si="2">(len($F6)-len(SUBSTITUTE($F6,"R","")))+(len($F6)-len(SUBSTITUTE($F6,"L","")))+(len($F6)-len(SUBSTITUTE($F6,"U","")))+(len($F6)-len(SUBSTITUTE($F6,"D","")))+(len($F6)-len(SUBSTITUTE($F6,"F","")))+(len($F6)-len(SUBSTITUTE($F6,"B","")))+(len($F6)-len(SUBSTITUTE($F6,"r","")))+(len($F6)-len(SUBSTITUTE($F6,"l","")))+(len($F6)-len(SUBSTITUTE($F6,"u","")))+(len($F6)-len(SUBSTITUTE($F6,"d","")))+(len($F6)-len(SUBSTITUTE($F6,"2","")))</f>
        <v>16</v>
      </c>
    </row>
    <row r="7" ht="13.5">
      <c r="A7" s="60"/>
      <c r="B7" s="5" t="s">
        <v>78</v>
      </c>
      <c r="C7" s="5" t="s">
        <v>81</v>
      </c>
      <c r="D7" s="55" t="str">
        <f>VLOOKUP($B7,Letters!$C$56:$D$79,2,FALSE) &amp; VLOOKUP($C7,Letters!$C$56:$D$79,2,FALSE)</f>
        <v>AC</v>
      </c>
      <c r="E7" s="5" t="s">
        <v>1293</v>
      </c>
      <c r="F7" s="5" t="s">
        <v>1294</v>
      </c>
      <c r="G7" s="55">
        <f t="shared" si="1"/>
        <v>13</v>
      </c>
      <c r="H7" s="55">
        <f t="shared" si="2"/>
        <v>16</v>
      </c>
    </row>
    <row r="8" ht="13.5">
      <c r="A8" s="60"/>
      <c r="B8" s="5" t="s">
        <v>78</v>
      </c>
      <c r="C8" s="5" t="s">
        <v>82</v>
      </c>
      <c r="D8" s="55" t="str">
        <f>VLOOKUP($B8,Letters!$C$56:$D$79,2,FALSE) &amp; VLOOKUP($C8,Letters!$C$56:$D$79,2,FALSE)</f>
        <v>AD</v>
      </c>
      <c r="E8" s="5" t="s">
        <v>1295</v>
      </c>
      <c r="F8" s="5" t="s">
        <v>1296</v>
      </c>
      <c r="G8" s="55">
        <f t="shared" si="1"/>
        <v>12</v>
      </c>
      <c r="H8" s="55">
        <f t="shared" si="2"/>
        <v>14</v>
      </c>
      <c r="I8" s="72"/>
    </row>
    <row r="9" ht="13.5">
      <c r="A9" s="60"/>
      <c r="B9" s="5" t="s">
        <v>78</v>
      </c>
      <c r="C9" s="5" t="s">
        <v>83</v>
      </c>
      <c r="D9" s="55" t="str">
        <f>VLOOKUP($B9,Letters!$C$56:$D$79,2,FALSE) &amp; VLOOKUP($C9,Letters!$C$56:$D$79,2,FALSE)</f>
        <v>AE</v>
      </c>
      <c r="E9" s="5" t="s">
        <v>1297</v>
      </c>
      <c r="F9" s="5" t="s">
        <v>1298</v>
      </c>
      <c r="G9" s="55">
        <f t="shared" si="1"/>
        <v>10</v>
      </c>
      <c r="H9" s="55">
        <f t="shared" si="2"/>
        <v>12</v>
      </c>
    </row>
    <row r="10" ht="13.5">
      <c r="A10" s="60"/>
      <c r="B10" s="5" t="s">
        <v>78</v>
      </c>
      <c r="C10" s="5" t="s">
        <v>84</v>
      </c>
      <c r="D10" s="55" t="str">
        <f>VLOOKUP($B10,Letters!$C$56:$D$79,2,FALSE) &amp; VLOOKUP($C10,Letters!$C$56:$D$79,2,FALSE)</f>
        <v>AF</v>
      </c>
      <c r="E10" s="5" t="s">
        <v>1299</v>
      </c>
      <c r="F10" s="5" t="s">
        <v>1300</v>
      </c>
      <c r="G10" s="55">
        <f t="shared" si="1"/>
        <v>11</v>
      </c>
      <c r="H10" s="55">
        <f t="shared" si="2"/>
        <v>14</v>
      </c>
    </row>
    <row r="11" ht="13.5">
      <c r="A11" s="60"/>
      <c r="B11" s="5" t="s">
        <v>78</v>
      </c>
      <c r="C11" s="5" t="s">
        <v>85</v>
      </c>
      <c r="D11" s="55" t="str">
        <f>VLOOKUP($B11,Letters!$C$56:$D$79,2,FALSE) &amp; VLOOKUP($C11,Letters!$C$56:$D$79,2,FALSE)</f>
        <v>AG</v>
      </c>
      <c r="E11" s="5" t="s">
        <v>1301</v>
      </c>
      <c r="F11" s="5" t="s">
        <v>1302</v>
      </c>
      <c r="G11" s="55">
        <f t="shared" si="1"/>
        <v>12</v>
      </c>
      <c r="H11" s="55">
        <f t="shared" si="2"/>
        <v>13</v>
      </c>
    </row>
    <row r="12" ht="13.5">
      <c r="A12" s="60"/>
      <c r="B12" s="5" t="s">
        <v>78</v>
      </c>
      <c r="C12" s="5" t="s">
        <v>86</v>
      </c>
      <c r="D12" s="55" t="str">
        <f>VLOOKUP($B12,Letters!$C$56:$D$79,2,FALSE) &amp; VLOOKUP($C12,Letters!$C$56:$D$79,2,FALSE)</f>
        <v>AH</v>
      </c>
      <c r="E12" s="5" t="s">
        <v>1303</v>
      </c>
      <c r="F12" s="5" t="s">
        <v>1304</v>
      </c>
      <c r="G12" s="55">
        <f t="shared" si="1"/>
        <v>10</v>
      </c>
      <c r="H12" s="55">
        <f t="shared" si="2"/>
        <v>12</v>
      </c>
    </row>
    <row r="13" ht="13.5">
      <c r="A13" s="60"/>
      <c r="B13" s="5" t="s">
        <v>78</v>
      </c>
      <c r="C13" s="5" t="s">
        <v>87</v>
      </c>
      <c r="D13" s="55" t="str">
        <f>VLOOKUP($B13,Letters!$C$56:$D$79,2,FALSE) &amp; VLOOKUP($C13,Letters!$C$56:$D$79,2,FALSE)</f>
        <v>AX</v>
      </c>
      <c r="E13" s="5" t="s">
        <v>1305</v>
      </c>
      <c r="F13" s="5" t="s">
        <v>1306</v>
      </c>
      <c r="G13" s="55">
        <f t="shared" si="1"/>
        <v>9</v>
      </c>
      <c r="H13" s="55">
        <f t="shared" si="2"/>
        <v>14</v>
      </c>
    </row>
    <row r="14" ht="13.5">
      <c r="A14" s="60">
        <v>1.0</v>
      </c>
      <c r="B14" s="5" t="s">
        <v>78</v>
      </c>
      <c r="C14" s="5" t="s">
        <v>89</v>
      </c>
      <c r="D14" s="55" t="str">
        <f>VLOOKUP($B14,Letters!$C$56:$D$79,2,FALSE) &amp; VLOOKUP($C14,Letters!$C$56:$D$79,2,FALSE)</f>
        <v>AJ</v>
      </c>
      <c r="E14" s="5" t="s">
        <v>1307</v>
      </c>
      <c r="F14" s="5" t="s">
        <v>1308</v>
      </c>
      <c r="G14" s="55">
        <f t="shared" si="1"/>
        <v>9</v>
      </c>
      <c r="H14" s="55">
        <f t="shared" si="2"/>
        <v>12</v>
      </c>
    </row>
    <row r="15" ht="13.5">
      <c r="A15" s="60">
        <v>1.0</v>
      </c>
      <c r="B15" s="5" t="s">
        <v>78</v>
      </c>
      <c r="C15" s="5" t="s">
        <v>90</v>
      </c>
      <c r="D15" s="55" t="str">
        <f>VLOOKUP($B15,Letters!$C$56:$D$79,2,FALSE) &amp; VLOOKUP($C15,Letters!$C$56:$D$79,2,FALSE)</f>
        <v>AK</v>
      </c>
      <c r="E15" s="69" t="s">
        <v>1309</v>
      </c>
      <c r="F15" s="5" t="s">
        <v>1310</v>
      </c>
      <c r="G15" s="55">
        <f t="shared" si="1"/>
        <v>12</v>
      </c>
      <c r="H15" s="55">
        <f t="shared" si="2"/>
        <v>18</v>
      </c>
    </row>
    <row r="16" ht="13.5">
      <c r="A16" s="60">
        <v>1.0</v>
      </c>
      <c r="B16" s="5" t="s">
        <v>78</v>
      </c>
      <c r="C16" s="5" t="s">
        <v>91</v>
      </c>
      <c r="D16" s="55" t="str">
        <f>VLOOKUP($B16,Letters!$C$56:$D$79,2,FALSE) &amp; VLOOKUP($C16,Letters!$C$56:$D$79,2,FALSE)</f>
        <v>AL</v>
      </c>
      <c r="E16" s="5" t="s">
        <v>1311</v>
      </c>
      <c r="F16" s="5" t="s">
        <v>1312</v>
      </c>
      <c r="G16" s="55">
        <f t="shared" si="1"/>
        <v>9</v>
      </c>
      <c r="H16" s="55">
        <f t="shared" si="2"/>
        <v>12</v>
      </c>
    </row>
    <row r="17" ht="13.5">
      <c r="A17" s="60"/>
      <c r="B17" s="5" t="s">
        <v>78</v>
      </c>
      <c r="C17" s="5" t="s">
        <v>92</v>
      </c>
      <c r="D17" s="55" t="str">
        <f>VLOOKUP($B17,Letters!$C$56:$D$79,2,FALSE) &amp; VLOOKUP($C17,Letters!$C$56:$D$79,2,FALSE)</f>
        <v>AM</v>
      </c>
      <c r="E17" s="5" t="s">
        <v>1313</v>
      </c>
      <c r="F17" s="5" t="s">
        <v>1314</v>
      </c>
      <c r="G17" s="55">
        <f t="shared" si="1"/>
        <v>10</v>
      </c>
      <c r="H17" s="55">
        <f t="shared" si="2"/>
        <v>12</v>
      </c>
    </row>
    <row r="18" ht="13.5">
      <c r="A18" s="60"/>
      <c r="B18" s="5" t="s">
        <v>78</v>
      </c>
      <c r="C18" s="5" t="s">
        <v>93</v>
      </c>
      <c r="D18" s="55" t="str">
        <f>VLOOKUP($B18,Letters!$C$56:$D$79,2,FALSE) &amp; VLOOKUP($C18,Letters!$C$56:$D$79,2,FALSE)</f>
        <v>AN</v>
      </c>
      <c r="E18" s="5" t="s">
        <v>1315</v>
      </c>
      <c r="F18" s="5" t="s">
        <v>1316</v>
      </c>
      <c r="G18" s="55">
        <f t="shared" si="1"/>
        <v>10</v>
      </c>
      <c r="H18" s="55">
        <f t="shared" si="2"/>
        <v>12</v>
      </c>
    </row>
    <row r="19" ht="13.5">
      <c r="A19" s="60"/>
      <c r="B19" s="5" t="s">
        <v>78</v>
      </c>
      <c r="C19" s="5" t="s">
        <v>94</v>
      </c>
      <c r="D19" s="55" t="str">
        <f>VLOOKUP($B19,Letters!$C$56:$D$79,2,FALSE) &amp; VLOOKUP($C19,Letters!$C$56:$D$79,2,FALSE)</f>
        <v>AO</v>
      </c>
      <c r="E19" s="5" t="s">
        <v>1317</v>
      </c>
      <c r="F19" s="5" t="s">
        <v>1318</v>
      </c>
      <c r="G19" s="55">
        <f t="shared" si="1"/>
        <v>13</v>
      </c>
      <c r="H19" s="55">
        <f t="shared" si="2"/>
        <v>13</v>
      </c>
    </row>
    <row r="20" ht="13.5">
      <c r="A20" s="60"/>
      <c r="B20" s="5" t="s">
        <v>78</v>
      </c>
      <c r="C20" s="5" t="s">
        <v>95</v>
      </c>
      <c r="D20" s="55" t="str">
        <f>VLOOKUP($B20,Letters!$C$56:$D$79,2,FALSE) &amp; VLOOKUP($C20,Letters!$C$56:$D$79,2,FALSE)</f>
        <v>AP</v>
      </c>
      <c r="E20" s="5" t="s">
        <v>1319</v>
      </c>
      <c r="F20" s="5" t="s">
        <v>1320</v>
      </c>
      <c r="G20" s="55">
        <f t="shared" si="1"/>
        <v>11</v>
      </c>
      <c r="H20" s="55">
        <f t="shared" si="2"/>
        <v>12</v>
      </c>
    </row>
    <row r="21" ht="13.5">
      <c r="A21" s="60"/>
      <c r="B21" s="5" t="s">
        <v>78</v>
      </c>
      <c r="C21" s="5" t="s">
        <v>96</v>
      </c>
      <c r="D21" s="55" t="str">
        <f>VLOOKUP($B21,Letters!$C$56:$D$79,2,FALSE) &amp; VLOOKUP($C21,Letters!$C$56:$D$79,2,FALSE)</f>
        <v>AW</v>
      </c>
      <c r="E21" s="5" t="s">
        <v>1321</v>
      </c>
      <c r="F21" s="5" t="s">
        <v>1322</v>
      </c>
      <c r="G21" s="55">
        <f t="shared" si="1"/>
        <v>12</v>
      </c>
      <c r="H21" s="55">
        <f t="shared" si="2"/>
        <v>13</v>
      </c>
    </row>
    <row r="22" ht="13.5">
      <c r="A22" s="60">
        <v>1.0</v>
      </c>
      <c r="B22" s="5" t="s">
        <v>78</v>
      </c>
      <c r="C22" s="5" t="s">
        <v>97</v>
      </c>
      <c r="D22" s="55" t="str">
        <f>VLOOKUP($B22,Letters!$C$56:$D$79,2,FALSE) &amp; VLOOKUP($C22,Letters!$C$56:$D$79,2,FALSE)</f>
        <v>AR</v>
      </c>
      <c r="E22" s="5" t="s">
        <v>1323</v>
      </c>
      <c r="F22" s="5" t="s">
        <v>1324</v>
      </c>
      <c r="G22" s="55">
        <f t="shared" si="1"/>
        <v>9</v>
      </c>
      <c r="H22" s="55">
        <f t="shared" si="2"/>
        <v>12</v>
      </c>
    </row>
    <row r="23" ht="13.5">
      <c r="A23" s="60"/>
      <c r="B23" s="5" t="s">
        <v>78</v>
      </c>
      <c r="C23" s="5" t="s">
        <v>98</v>
      </c>
      <c r="D23" s="55" t="str">
        <f>VLOOKUP($B23,Letters!$C$56:$D$79,2,FALSE) &amp; VLOOKUP($C23,Letters!$C$56:$D$79,2,FALSE)</f>
        <v>AS</v>
      </c>
      <c r="E23" s="5" t="s">
        <v>1325</v>
      </c>
      <c r="F23" s="5" t="s">
        <v>1326</v>
      </c>
      <c r="G23" s="55">
        <f t="shared" si="1"/>
        <v>10</v>
      </c>
      <c r="H23" s="55">
        <f t="shared" si="2"/>
        <v>12</v>
      </c>
    </row>
    <row r="24" ht="13.5">
      <c r="A24" s="60">
        <v>1.0</v>
      </c>
      <c r="B24" s="5" t="s">
        <v>78</v>
      </c>
      <c r="C24" s="5" t="s">
        <v>99</v>
      </c>
      <c r="D24" s="55" t="str">
        <f>VLOOKUP($B24,Letters!$C$56:$D$79,2,FALSE) &amp; VLOOKUP($C24,Letters!$C$56:$D$79,2,FALSE)</f>
        <v>AT</v>
      </c>
      <c r="E24" s="5" t="s">
        <v>1327</v>
      </c>
      <c r="F24" s="5" t="s">
        <v>1328</v>
      </c>
      <c r="G24" s="55">
        <f t="shared" si="1"/>
        <v>9</v>
      </c>
      <c r="H24" s="55">
        <f t="shared" si="2"/>
        <v>12</v>
      </c>
    </row>
    <row r="25" ht="13.5">
      <c r="A25" s="60"/>
      <c r="B25" s="5" t="s">
        <v>78</v>
      </c>
      <c r="C25" s="5" t="s">
        <v>100</v>
      </c>
      <c r="D25" s="55" t="str">
        <f>VLOOKUP($B25,Letters!$C$56:$D$79,2,FALSE) &amp; VLOOKUP($C25,Letters!$C$56:$D$79,2,FALSE)</f>
        <v>AU</v>
      </c>
      <c r="E25" s="5" t="s">
        <v>1329</v>
      </c>
      <c r="F25" s="5" t="s">
        <v>1330</v>
      </c>
      <c r="G25" s="55">
        <f t="shared" si="1"/>
        <v>14</v>
      </c>
      <c r="H25" s="55">
        <f t="shared" si="2"/>
        <v>16</v>
      </c>
    </row>
    <row r="26" ht="13.5">
      <c r="A26" s="60">
        <v>1.0</v>
      </c>
      <c r="B26" s="5" t="s">
        <v>78</v>
      </c>
      <c r="C26" s="5" t="s">
        <v>101</v>
      </c>
      <c r="D26" s="55" t="str">
        <f>VLOOKUP($B26,Letters!$C$56:$D$79,2,FALSE) &amp; VLOOKUP($C26,Letters!$C$56:$D$79,2,FALSE)</f>
        <v>AV</v>
      </c>
      <c r="E26" s="5" t="s">
        <v>1331</v>
      </c>
      <c r="F26" s="5" t="s">
        <v>1332</v>
      </c>
      <c r="G26" s="55">
        <f t="shared" si="1"/>
        <v>9</v>
      </c>
      <c r="H26" s="55">
        <f t="shared" si="2"/>
        <v>14</v>
      </c>
    </row>
    <row r="27" ht="13.5">
      <c r="A27" s="60">
        <v>1.0</v>
      </c>
      <c r="B27" s="5" t="s">
        <v>78</v>
      </c>
      <c r="C27" s="5" t="s">
        <v>103</v>
      </c>
      <c r="D27" s="55" t="str">
        <f>VLOOKUP($B27,Letters!$C$56:$D$79,2,FALSE) &amp; VLOOKUP($C27,Letters!$C$56:$D$79,2,FALSE)</f>
        <v>AI</v>
      </c>
      <c r="E27" s="5" t="s">
        <v>1333</v>
      </c>
      <c r="F27" s="5" t="s">
        <v>1334</v>
      </c>
      <c r="G27" s="55">
        <f t="shared" si="1"/>
        <v>9</v>
      </c>
      <c r="H27" s="55">
        <f t="shared" si="2"/>
        <v>14</v>
      </c>
    </row>
    <row r="28">
      <c r="A28" s="60"/>
      <c r="B28" s="5"/>
      <c r="C28" s="5"/>
      <c r="D28" s="55"/>
      <c r="E28" s="5"/>
      <c r="F28" s="73"/>
      <c r="G28" s="55"/>
      <c r="H28" s="55"/>
    </row>
    <row r="29" ht="13.5">
      <c r="A29" s="60"/>
      <c r="B29" s="5" t="s">
        <v>80</v>
      </c>
      <c r="C29" s="5" t="s">
        <v>78</v>
      </c>
      <c r="D29" s="55" t="str">
        <f>VLOOKUP($B29,Letters!$C$56:$D$79,2,FALSE) &amp; VLOOKUP($C29,Letters!$C$56:$D$79,2,FALSE)</f>
        <v>BA</v>
      </c>
      <c r="E29" s="5" t="s">
        <v>1335</v>
      </c>
      <c r="F29" s="5" t="s">
        <v>1336</v>
      </c>
      <c r="G29" s="55">
        <f t="shared" ref="G29:G50" si="3">(len($F29)-len(SUBSTITUTE($F29,"R","")))+(len($F29)-len(SUBSTITUTE($F29,"L","")))+(len($F29)-len(SUBSTITUTE($F29,"U","")))+(len($F29)-len(SUBSTITUTE($F29,"D","")))+(len($F29)-len(SUBSTITUTE($F29,"F","")))+(len($F29)-len(SUBSTITUTE($F29,"B","")))+(len($F29)-len(SUBSTITUTE($F29,"r","")))+(len($F29)-len(SUBSTITUTE($F29,"l","")))+(len($F29)-len(SUBSTITUTE($F29,"u","")))+(len($F29)-len(SUBSTITUTE($F29,"d","")))</f>
        <v>12</v>
      </c>
      <c r="H29" s="55">
        <f t="shared" ref="H29:H50" si="4">(len($F29)-len(SUBSTITUTE($F29,"R","")))+(len($F29)-len(SUBSTITUTE($F29,"L","")))+(len($F29)-len(SUBSTITUTE($F29,"U","")))+(len($F29)-len(SUBSTITUTE($F29,"D","")))+(len($F29)-len(SUBSTITUTE($F29,"F","")))+(len($F29)-len(SUBSTITUTE($F29,"B","")))+(len($F29)-len(SUBSTITUTE($F29,"r","")))+(len($F29)-len(SUBSTITUTE($F29,"l","")))+(len($F29)-len(SUBSTITUTE($F29,"u","")))+(len($F29)-len(SUBSTITUTE($F29,"d","")))+(len($F29)-len(SUBSTITUTE($F29,"2","")))</f>
        <v>16</v>
      </c>
    </row>
    <row r="30" ht="13.5">
      <c r="A30" s="60"/>
      <c r="B30" s="5" t="s">
        <v>80</v>
      </c>
      <c r="C30" s="5" t="s">
        <v>81</v>
      </c>
      <c r="D30" s="55" t="str">
        <f>VLOOKUP($B30,Letters!$C$56:$D$79,2,FALSE) &amp; VLOOKUP($C30,Letters!$C$56:$D$79,2,FALSE)</f>
        <v>BC</v>
      </c>
      <c r="E30" s="5" t="s">
        <v>1337</v>
      </c>
      <c r="F30" s="5" t="s">
        <v>1338</v>
      </c>
      <c r="G30" s="55">
        <f t="shared" si="3"/>
        <v>12</v>
      </c>
      <c r="H30" s="55">
        <f t="shared" si="4"/>
        <v>14</v>
      </c>
    </row>
    <row r="31" ht="13.5">
      <c r="A31" s="60"/>
      <c r="B31" s="5" t="s">
        <v>80</v>
      </c>
      <c r="C31" s="5" t="s">
        <v>82</v>
      </c>
      <c r="D31" s="55" t="str">
        <f>VLOOKUP($B31,Letters!$C$56:$D$79,2,FALSE) &amp; VLOOKUP($C31,Letters!$C$56:$D$79,2,FALSE)</f>
        <v>BD</v>
      </c>
      <c r="E31" s="5" t="s">
        <v>1339</v>
      </c>
      <c r="F31" s="5" t="s">
        <v>1340</v>
      </c>
      <c r="G31" s="55">
        <f t="shared" si="3"/>
        <v>11</v>
      </c>
      <c r="H31" s="55">
        <f t="shared" si="4"/>
        <v>12</v>
      </c>
    </row>
    <row r="32" ht="13.5">
      <c r="A32" s="60"/>
      <c r="B32" s="5" t="s">
        <v>80</v>
      </c>
      <c r="C32" s="5" t="s">
        <v>83</v>
      </c>
      <c r="D32" s="55" t="str">
        <f>VLOOKUP($B32,Letters!$C$56:$D$79,2,FALSE) &amp; VLOOKUP($C32,Letters!$C$56:$D$79,2,FALSE)</f>
        <v>BE</v>
      </c>
      <c r="E32" s="5" t="s">
        <v>1341</v>
      </c>
      <c r="F32" s="5" t="s">
        <v>1342</v>
      </c>
      <c r="G32" s="55">
        <f t="shared" si="3"/>
        <v>10</v>
      </c>
      <c r="H32" s="55">
        <f t="shared" si="4"/>
        <v>12</v>
      </c>
    </row>
    <row r="33" ht="13.5">
      <c r="A33" s="60"/>
      <c r="B33" s="5" t="s">
        <v>80</v>
      </c>
      <c r="C33" s="5" t="s">
        <v>84</v>
      </c>
      <c r="D33" s="55" t="str">
        <f>VLOOKUP($B33,Letters!$C$56:$D$79,2,FALSE) &amp; VLOOKUP($C33,Letters!$C$56:$D$79,2,FALSE)</f>
        <v>BF</v>
      </c>
      <c r="E33" s="5" t="s">
        <v>1343</v>
      </c>
      <c r="F33" s="5" t="s">
        <v>1344</v>
      </c>
      <c r="G33" s="55">
        <f t="shared" si="3"/>
        <v>10</v>
      </c>
      <c r="H33" s="55">
        <f t="shared" si="4"/>
        <v>12</v>
      </c>
    </row>
    <row r="34" ht="13.5">
      <c r="A34" s="60"/>
      <c r="B34" s="5" t="s">
        <v>80</v>
      </c>
      <c r="C34" s="5" t="s">
        <v>85</v>
      </c>
      <c r="D34" s="55" t="str">
        <f>VLOOKUP($B34,Letters!$C$56:$D$79,2,FALSE) &amp; VLOOKUP($C34,Letters!$C$56:$D$79,2,FALSE)</f>
        <v>BG</v>
      </c>
      <c r="E34" s="5" t="s">
        <v>1345</v>
      </c>
      <c r="F34" s="5" t="s">
        <v>1346</v>
      </c>
      <c r="G34" s="55">
        <f t="shared" si="3"/>
        <v>13</v>
      </c>
      <c r="H34" s="55">
        <f t="shared" si="4"/>
        <v>18</v>
      </c>
    </row>
    <row r="35" ht="13.5">
      <c r="A35" s="60"/>
      <c r="B35" s="5" t="s">
        <v>80</v>
      </c>
      <c r="C35" s="5" t="s">
        <v>86</v>
      </c>
      <c r="D35" s="55" t="str">
        <f>VLOOKUP($B35,Letters!$C$56:$D$79,2,FALSE) &amp; VLOOKUP($C35,Letters!$C$56:$D$79,2,FALSE)</f>
        <v>BH</v>
      </c>
      <c r="E35" s="5" t="s">
        <v>1347</v>
      </c>
      <c r="F35" s="5" t="s">
        <v>1348</v>
      </c>
      <c r="G35" s="55">
        <f t="shared" si="3"/>
        <v>11</v>
      </c>
      <c r="H35" s="55">
        <f t="shared" si="4"/>
        <v>12</v>
      </c>
    </row>
    <row r="36" ht="13.5">
      <c r="A36" s="60"/>
      <c r="B36" s="5" t="s">
        <v>80</v>
      </c>
      <c r="C36" s="5" t="s">
        <v>87</v>
      </c>
      <c r="D36" s="55" t="str">
        <f>VLOOKUP($B36,Letters!$C$56:$D$79,2,FALSE) &amp; VLOOKUP($C36,Letters!$C$56:$D$79,2,FALSE)</f>
        <v>BX</v>
      </c>
      <c r="E36" s="5" t="s">
        <v>1349</v>
      </c>
      <c r="F36" s="5" t="s">
        <v>1350</v>
      </c>
      <c r="G36" s="55">
        <f t="shared" si="3"/>
        <v>9</v>
      </c>
      <c r="H36" s="55">
        <f t="shared" si="4"/>
        <v>12</v>
      </c>
    </row>
    <row r="37" ht="13.5">
      <c r="A37" s="60">
        <v>1.0</v>
      </c>
      <c r="B37" s="5" t="s">
        <v>80</v>
      </c>
      <c r="C37" s="5" t="s">
        <v>89</v>
      </c>
      <c r="D37" s="55" t="str">
        <f>VLOOKUP($B37,Letters!$C$56:$D$79,2,FALSE) &amp; VLOOKUP($C37,Letters!$C$56:$D$79,2,FALSE)</f>
        <v>BJ</v>
      </c>
      <c r="E37" s="5" t="s">
        <v>1351</v>
      </c>
      <c r="F37" s="5" t="s">
        <v>1352</v>
      </c>
      <c r="G37" s="55">
        <f t="shared" si="3"/>
        <v>8</v>
      </c>
      <c r="H37" s="55">
        <f t="shared" si="4"/>
        <v>10</v>
      </c>
    </row>
    <row r="38" ht="13.5">
      <c r="A38" s="60">
        <v>1.0</v>
      </c>
      <c r="B38" s="5" t="s">
        <v>80</v>
      </c>
      <c r="C38" s="5" t="s">
        <v>90</v>
      </c>
      <c r="D38" s="55" t="str">
        <f>VLOOKUP($B38,Letters!$C$56:$D$79,2,FALSE) &amp; VLOOKUP($C38,Letters!$C$56:$D$79,2,FALSE)</f>
        <v>BK</v>
      </c>
      <c r="E38" s="5" t="s">
        <v>1353</v>
      </c>
      <c r="F38" s="5" t="s">
        <v>1354</v>
      </c>
      <c r="G38" s="55">
        <f t="shared" si="3"/>
        <v>8</v>
      </c>
      <c r="H38" s="55">
        <f t="shared" si="4"/>
        <v>8</v>
      </c>
    </row>
    <row r="39" ht="13.5">
      <c r="A39" s="60">
        <v>1.0</v>
      </c>
      <c r="B39" s="5" t="s">
        <v>80</v>
      </c>
      <c r="C39" s="5" t="s">
        <v>91</v>
      </c>
      <c r="D39" s="55" t="str">
        <f>VLOOKUP($B39,Letters!$C$56:$D$79,2,FALSE) &amp; VLOOKUP($C39,Letters!$C$56:$D$79,2,FALSE)</f>
        <v>BL</v>
      </c>
      <c r="E39" s="5" t="s">
        <v>1355</v>
      </c>
      <c r="F39" s="5" t="s">
        <v>1356</v>
      </c>
      <c r="G39" s="55">
        <f t="shared" si="3"/>
        <v>9</v>
      </c>
      <c r="H39" s="55">
        <f t="shared" si="4"/>
        <v>12</v>
      </c>
    </row>
    <row r="40" ht="13.5">
      <c r="A40" s="60"/>
      <c r="B40" s="5" t="s">
        <v>80</v>
      </c>
      <c r="C40" s="5" t="s">
        <v>92</v>
      </c>
      <c r="D40" s="55" t="str">
        <f>VLOOKUP($B40,Letters!$C$56:$D$79,2,FALSE) &amp; VLOOKUP($C40,Letters!$C$56:$D$79,2,FALSE)</f>
        <v>BM</v>
      </c>
      <c r="E40" s="5" t="s">
        <v>1357</v>
      </c>
      <c r="F40" s="5" t="s">
        <v>1358</v>
      </c>
      <c r="G40" s="55">
        <f t="shared" si="3"/>
        <v>10</v>
      </c>
      <c r="H40" s="55">
        <f t="shared" si="4"/>
        <v>12</v>
      </c>
    </row>
    <row r="41" ht="13.5">
      <c r="A41" s="60"/>
      <c r="B41" s="5" t="s">
        <v>80</v>
      </c>
      <c r="C41" s="5" t="s">
        <v>93</v>
      </c>
      <c r="D41" s="55" t="str">
        <f>VLOOKUP($B41,Letters!$C$56:$D$79,2,FALSE) &amp; VLOOKUP($C41,Letters!$C$56:$D$79,2,FALSE)</f>
        <v>BN</v>
      </c>
      <c r="E41" s="5" t="s">
        <v>1359</v>
      </c>
      <c r="F41" s="5" t="s">
        <v>1360</v>
      </c>
      <c r="G41" s="55">
        <f t="shared" si="3"/>
        <v>10</v>
      </c>
      <c r="H41" s="55">
        <f t="shared" si="4"/>
        <v>12</v>
      </c>
    </row>
    <row r="42" ht="13.5">
      <c r="A42" s="60"/>
      <c r="B42" s="5" t="s">
        <v>80</v>
      </c>
      <c r="C42" s="5" t="s">
        <v>94</v>
      </c>
      <c r="D42" s="55" t="str">
        <f>VLOOKUP($B42,Letters!$C$56:$D$79,2,FALSE) &amp; VLOOKUP($C42,Letters!$C$56:$D$79,2,FALSE)</f>
        <v>BO</v>
      </c>
      <c r="E42" s="5" t="s">
        <v>1361</v>
      </c>
      <c r="F42" s="5" t="s">
        <v>1362</v>
      </c>
      <c r="G42" s="55">
        <f t="shared" si="3"/>
        <v>10</v>
      </c>
      <c r="H42" s="55">
        <f t="shared" si="4"/>
        <v>12</v>
      </c>
    </row>
    <row r="43" ht="13.5">
      <c r="A43" s="54"/>
      <c r="B43" s="5" t="s">
        <v>80</v>
      </c>
      <c r="C43" s="5" t="s">
        <v>95</v>
      </c>
      <c r="D43" s="55" t="str">
        <f>VLOOKUP($B43,Letters!$C$56:$D$79,2,FALSE) &amp; VLOOKUP($C43,Letters!$C$56:$D$79,2,FALSE)</f>
        <v>BP</v>
      </c>
      <c r="E43" s="5" t="s">
        <v>1363</v>
      </c>
      <c r="F43" s="5" t="s">
        <v>1364</v>
      </c>
      <c r="G43" s="55">
        <f t="shared" si="3"/>
        <v>10</v>
      </c>
      <c r="H43" s="55">
        <f t="shared" si="4"/>
        <v>12</v>
      </c>
    </row>
    <row r="44" ht="13.5">
      <c r="A44" s="60"/>
      <c r="B44" s="5" t="s">
        <v>80</v>
      </c>
      <c r="C44" s="5" t="s">
        <v>96</v>
      </c>
      <c r="D44" s="55" t="str">
        <f>VLOOKUP($B44,Letters!$C$56:$D$79,2,FALSE) &amp; VLOOKUP($C44,Letters!$C$56:$D$79,2,FALSE)</f>
        <v>BW</v>
      </c>
      <c r="E44" s="5" t="s">
        <v>1365</v>
      </c>
      <c r="F44" s="5" t="s">
        <v>1366</v>
      </c>
      <c r="G44" s="55">
        <f t="shared" si="3"/>
        <v>8</v>
      </c>
      <c r="H44" s="55">
        <f t="shared" si="4"/>
        <v>10</v>
      </c>
    </row>
    <row r="45" ht="13.5">
      <c r="A45" s="54"/>
      <c r="B45" s="5" t="s">
        <v>80</v>
      </c>
      <c r="C45" s="5" t="s">
        <v>97</v>
      </c>
      <c r="D45" s="55" t="str">
        <f>VLOOKUP($B45,Letters!$C$56:$D$79,2,FALSE) &amp; VLOOKUP($C45,Letters!$C$56:$D$79,2,FALSE)</f>
        <v>BR</v>
      </c>
      <c r="E45" s="5" t="s">
        <v>1367</v>
      </c>
      <c r="F45" s="5" t="s">
        <v>1368</v>
      </c>
      <c r="G45" s="55">
        <f t="shared" si="3"/>
        <v>9</v>
      </c>
      <c r="H45" s="55">
        <f t="shared" si="4"/>
        <v>12</v>
      </c>
    </row>
    <row r="46" ht="13.5">
      <c r="A46" s="54"/>
      <c r="B46" s="5" t="s">
        <v>80</v>
      </c>
      <c r="C46" s="5" t="s">
        <v>98</v>
      </c>
      <c r="D46" s="55" t="str">
        <f>VLOOKUP($B46,Letters!$C$56:$D$79,2,FALSE) &amp; VLOOKUP($C46,Letters!$C$56:$D$79,2,FALSE)</f>
        <v>BS</v>
      </c>
      <c r="E46" s="5" t="s">
        <v>1369</v>
      </c>
      <c r="F46" s="5" t="s">
        <v>1370</v>
      </c>
      <c r="G46" s="55">
        <f t="shared" si="3"/>
        <v>12</v>
      </c>
      <c r="H46" s="55">
        <f t="shared" si="4"/>
        <v>15</v>
      </c>
    </row>
    <row r="47" ht="13.5">
      <c r="A47" s="60">
        <v>1.0</v>
      </c>
      <c r="B47" s="5" t="s">
        <v>80</v>
      </c>
      <c r="C47" s="5" t="s">
        <v>99</v>
      </c>
      <c r="D47" s="55" t="str">
        <f>VLOOKUP($B47,Letters!$C$56:$D$79,2,FALSE) &amp; VLOOKUP($C47,Letters!$C$56:$D$79,2,FALSE)</f>
        <v>BT</v>
      </c>
      <c r="E47" s="5" t="s">
        <v>1371</v>
      </c>
      <c r="F47" s="5" t="s">
        <v>1372</v>
      </c>
      <c r="G47" s="55">
        <f t="shared" si="3"/>
        <v>8</v>
      </c>
      <c r="H47" s="55">
        <f t="shared" si="4"/>
        <v>10</v>
      </c>
    </row>
    <row r="48" ht="13.5">
      <c r="A48" s="54"/>
      <c r="B48" s="5" t="s">
        <v>80</v>
      </c>
      <c r="C48" s="5" t="s">
        <v>100</v>
      </c>
      <c r="D48" s="55" t="str">
        <f>VLOOKUP($B48,Letters!$C$56:$D$79,2,FALSE) &amp; VLOOKUP($C48,Letters!$C$56:$D$79,2,FALSE)</f>
        <v>BU</v>
      </c>
      <c r="E48" s="5" t="s">
        <v>1373</v>
      </c>
      <c r="F48" s="5" t="s">
        <v>1374</v>
      </c>
      <c r="G48" s="55">
        <f t="shared" si="3"/>
        <v>12</v>
      </c>
      <c r="H48" s="55">
        <f t="shared" si="4"/>
        <v>14</v>
      </c>
    </row>
    <row r="49" ht="13.5">
      <c r="A49" s="60">
        <v>1.0</v>
      </c>
      <c r="B49" s="5" t="s">
        <v>80</v>
      </c>
      <c r="C49" s="5" t="s">
        <v>101</v>
      </c>
      <c r="D49" s="55" t="str">
        <f>VLOOKUP($B49,Letters!$C$56:$D$79,2,FALSE) &amp; VLOOKUP($C49,Letters!$C$56:$D$79,2,FALSE)</f>
        <v>BV</v>
      </c>
      <c r="E49" s="5" t="s">
        <v>1375</v>
      </c>
      <c r="F49" s="5" t="s">
        <v>1376</v>
      </c>
      <c r="G49" s="55">
        <f t="shared" si="3"/>
        <v>8</v>
      </c>
      <c r="H49" s="55">
        <f t="shared" si="4"/>
        <v>12</v>
      </c>
    </row>
    <row r="50" ht="13.5">
      <c r="A50" s="54"/>
      <c r="B50" s="5" t="s">
        <v>80</v>
      </c>
      <c r="C50" s="5" t="s">
        <v>103</v>
      </c>
      <c r="D50" s="55" t="str">
        <f>VLOOKUP($B50,Letters!$C$56:$D$79,2,FALSE) &amp; VLOOKUP($C50,Letters!$C$56:$D$79,2,FALSE)</f>
        <v>BI</v>
      </c>
      <c r="E50" s="5" t="s">
        <v>1377</v>
      </c>
      <c r="F50" s="5" t="s">
        <v>1378</v>
      </c>
      <c r="G50" s="55">
        <f t="shared" si="3"/>
        <v>11</v>
      </c>
      <c r="H50" s="55">
        <f t="shared" si="4"/>
        <v>14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4"/>
      <c r="B51" s="5"/>
      <c r="C51" s="5"/>
      <c r="D51" s="5"/>
      <c r="E51" s="5"/>
      <c r="F51" s="5"/>
      <c r="G51" s="55"/>
      <c r="H51" s="5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3.5">
      <c r="A52" s="60"/>
      <c r="B52" s="5" t="s">
        <v>81</v>
      </c>
      <c r="C52" s="5" t="s">
        <v>78</v>
      </c>
      <c r="D52" s="55" t="str">
        <f>VLOOKUP($B52,Letters!$C$56:$D$79,2,FALSE) &amp; VLOOKUP($C52,Letters!$C$56:$D$79,2,FALSE)</f>
        <v>CA</v>
      </c>
      <c r="E52" s="5" t="s">
        <v>1379</v>
      </c>
      <c r="F52" s="5" t="s">
        <v>1380</v>
      </c>
      <c r="G52" s="55">
        <f t="shared" ref="G52:G73" si="5">(len($F52)-len(SUBSTITUTE($F52,"R","")))+(len($F52)-len(SUBSTITUTE($F52,"L","")))+(len($F52)-len(SUBSTITUTE($F52,"U","")))+(len($F52)-len(SUBSTITUTE($F52,"D","")))+(len($F52)-len(SUBSTITUTE($F52,"F","")))+(len($F52)-len(SUBSTITUTE($F52,"B","")))+(len($F52)-len(SUBSTITUTE($F52,"r","")))+(len($F52)-len(SUBSTITUTE($F52,"l","")))+(len($F52)-len(SUBSTITUTE($F52,"u","")))+(len($F52)-len(SUBSTITUTE($F52,"d","")))</f>
        <v>13</v>
      </c>
      <c r="H52" s="55">
        <f t="shared" ref="H52:H73" si="6">(len($F52)-len(SUBSTITUTE($F52,"R","")))+(len($F52)-len(SUBSTITUTE($F52,"L","")))+(len($F52)-len(SUBSTITUTE($F52,"U","")))+(len($F52)-len(SUBSTITUTE($F52,"D","")))+(len($F52)-len(SUBSTITUTE($F52,"F","")))+(len($F52)-len(SUBSTITUTE($F52,"B","")))+(len($F52)-len(SUBSTITUTE($F52,"r","")))+(len($F52)-len(SUBSTITUTE($F52,"l","")))+(len($F52)-len(SUBSTITUTE($F52,"u","")))+(len($F52)-len(SUBSTITUTE($F52,"d","")))+(len($F52)-len(SUBSTITUTE($F52,"2","")))</f>
        <v>16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3.5">
      <c r="A53" s="60"/>
      <c r="B53" s="5" t="s">
        <v>81</v>
      </c>
      <c r="C53" s="5" t="s">
        <v>80</v>
      </c>
      <c r="D53" s="55" t="str">
        <f>VLOOKUP($B53,Letters!$C$56:$D$79,2,FALSE) &amp; VLOOKUP($C53,Letters!$C$56:$D$79,2,FALSE)</f>
        <v>CB</v>
      </c>
      <c r="E53" s="5" t="s">
        <v>1381</v>
      </c>
      <c r="F53" s="5" t="s">
        <v>1382</v>
      </c>
      <c r="G53" s="55">
        <f t="shared" si="5"/>
        <v>12</v>
      </c>
      <c r="H53" s="55">
        <f t="shared" si="6"/>
        <v>14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3.5">
      <c r="A54" s="60">
        <v>1.0</v>
      </c>
      <c r="B54" s="5" t="s">
        <v>81</v>
      </c>
      <c r="C54" s="5" t="s">
        <v>82</v>
      </c>
      <c r="D54" s="55" t="str">
        <f>VLOOKUP($B54,Letters!$C$56:$D$79,2,FALSE) &amp; VLOOKUP($C54,Letters!$C$56:$D$79,2,FALSE)</f>
        <v>CD</v>
      </c>
      <c r="E54" s="5" t="s">
        <v>1383</v>
      </c>
      <c r="F54" s="5" t="s">
        <v>1384</v>
      </c>
      <c r="G54" s="55">
        <f t="shared" si="5"/>
        <v>10</v>
      </c>
      <c r="H54" s="55">
        <f t="shared" si="6"/>
        <v>12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3.5">
      <c r="A55" s="60"/>
      <c r="B55" s="5" t="s">
        <v>81</v>
      </c>
      <c r="C55" s="5" t="s">
        <v>83</v>
      </c>
      <c r="D55" s="55" t="str">
        <f>VLOOKUP($B55,Letters!$C$56:$D$79,2,FALSE) &amp; VLOOKUP($C55,Letters!$C$56:$D$79,2,FALSE)</f>
        <v>CE</v>
      </c>
      <c r="E55" s="5" t="s">
        <v>1385</v>
      </c>
      <c r="F55" s="5" t="s">
        <v>1386</v>
      </c>
      <c r="G55" s="55">
        <f t="shared" si="5"/>
        <v>10</v>
      </c>
      <c r="H55" s="55">
        <f t="shared" si="6"/>
        <v>12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3.5">
      <c r="A56" s="54"/>
      <c r="B56" s="5" t="s">
        <v>81</v>
      </c>
      <c r="C56" s="5" t="s">
        <v>84</v>
      </c>
      <c r="D56" s="55" t="str">
        <f>VLOOKUP($B56,Letters!$C$56:$D$79,2,FALSE) &amp; VLOOKUP($C56,Letters!$C$56:$D$79,2,FALSE)</f>
        <v>CF</v>
      </c>
      <c r="E56" s="5" t="s">
        <v>1387</v>
      </c>
      <c r="F56" s="5" t="s">
        <v>1388</v>
      </c>
      <c r="G56" s="55">
        <f t="shared" si="5"/>
        <v>10</v>
      </c>
      <c r="H56" s="55">
        <f t="shared" si="6"/>
        <v>12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3.5">
      <c r="A57" s="54"/>
      <c r="B57" s="5" t="s">
        <v>81</v>
      </c>
      <c r="C57" s="5" t="s">
        <v>85</v>
      </c>
      <c r="D57" s="55" t="str">
        <f>VLOOKUP($B57,Letters!$C$56:$D$79,2,FALSE) &amp; VLOOKUP($C57,Letters!$C$56:$D$79,2,FALSE)</f>
        <v>CG</v>
      </c>
      <c r="E57" s="5" t="s">
        <v>1389</v>
      </c>
      <c r="F57" s="5" t="s">
        <v>1390</v>
      </c>
      <c r="G57" s="55">
        <f t="shared" si="5"/>
        <v>10</v>
      </c>
      <c r="H57" s="55">
        <f t="shared" si="6"/>
        <v>11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3.5">
      <c r="A58" s="60">
        <v>1.0</v>
      </c>
      <c r="B58" s="5" t="s">
        <v>81</v>
      </c>
      <c r="C58" s="5" t="s">
        <v>86</v>
      </c>
      <c r="D58" s="55" t="str">
        <f>VLOOKUP($B58,Letters!$C$56:$D$79,2,FALSE) &amp; VLOOKUP($C58,Letters!$C$56:$D$79,2,FALSE)</f>
        <v>CH</v>
      </c>
      <c r="E58" s="5" t="s">
        <v>1391</v>
      </c>
      <c r="F58" s="5" t="s">
        <v>1392</v>
      </c>
      <c r="G58" s="55">
        <f t="shared" si="5"/>
        <v>9</v>
      </c>
      <c r="H58" s="55">
        <f t="shared" si="6"/>
        <v>10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3.5">
      <c r="A59" s="54"/>
      <c r="B59" s="5" t="s">
        <v>81</v>
      </c>
      <c r="C59" s="5" t="s">
        <v>87</v>
      </c>
      <c r="D59" s="55" t="str">
        <f>VLOOKUP($B59,Letters!$C$56:$D$79,2,FALSE) &amp; VLOOKUP($C59,Letters!$C$56:$D$79,2,FALSE)</f>
        <v>CX</v>
      </c>
      <c r="E59" s="5" t="s">
        <v>1393</v>
      </c>
      <c r="F59" s="5" t="s">
        <v>1394</v>
      </c>
      <c r="G59" s="55">
        <f t="shared" si="5"/>
        <v>13</v>
      </c>
      <c r="H59" s="55">
        <f t="shared" si="6"/>
        <v>20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3.5">
      <c r="A60" s="60">
        <v>1.0</v>
      </c>
      <c r="B60" s="5" t="s">
        <v>81</v>
      </c>
      <c r="C60" s="5" t="s">
        <v>89</v>
      </c>
      <c r="D60" s="55" t="str">
        <f>VLOOKUP($B60,Letters!$C$56:$D$79,2,FALSE) &amp; VLOOKUP($C60,Letters!$C$56:$D$79,2,FALSE)</f>
        <v>CJ</v>
      </c>
      <c r="E60" s="69" t="s">
        <v>1395</v>
      </c>
      <c r="F60" s="5" t="s">
        <v>1396</v>
      </c>
      <c r="G60" s="55">
        <f t="shared" si="5"/>
        <v>8</v>
      </c>
      <c r="H60" s="55">
        <f t="shared" si="6"/>
        <v>10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3.5">
      <c r="A61" s="60">
        <v>1.0</v>
      </c>
      <c r="B61" s="5" t="s">
        <v>81</v>
      </c>
      <c r="C61" s="5" t="s">
        <v>90</v>
      </c>
      <c r="D61" s="55" t="str">
        <f>VLOOKUP($B61,Letters!$C$56:$D$79,2,FALSE) &amp; VLOOKUP($C61,Letters!$C$56:$D$79,2,FALSE)</f>
        <v>CK</v>
      </c>
      <c r="E61" s="69" t="s">
        <v>1397</v>
      </c>
      <c r="F61" s="5" t="s">
        <v>1398</v>
      </c>
      <c r="G61" s="55">
        <f t="shared" si="5"/>
        <v>10</v>
      </c>
      <c r="H61" s="55">
        <f t="shared" si="6"/>
        <v>12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3.5">
      <c r="A62" s="60">
        <v>1.0</v>
      </c>
      <c r="B62" s="5" t="s">
        <v>81</v>
      </c>
      <c r="C62" s="5" t="s">
        <v>91</v>
      </c>
      <c r="D62" s="55" t="str">
        <f>VLOOKUP($B62,Letters!$C$56:$D$79,2,FALSE) &amp; VLOOKUP($C62,Letters!$C$56:$D$79,2,FALSE)</f>
        <v>CL</v>
      </c>
      <c r="E62" s="69" t="s">
        <v>1399</v>
      </c>
      <c r="F62" s="5" t="s">
        <v>1400</v>
      </c>
      <c r="G62" s="55">
        <f t="shared" si="5"/>
        <v>8</v>
      </c>
      <c r="H62" s="55">
        <f t="shared" si="6"/>
        <v>10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3.5">
      <c r="A63" s="60"/>
      <c r="B63" s="5" t="s">
        <v>81</v>
      </c>
      <c r="C63" s="5" t="s">
        <v>92</v>
      </c>
      <c r="D63" s="55" t="str">
        <f>VLOOKUP($B63,Letters!$C$56:$D$79,2,FALSE) &amp; VLOOKUP($C63,Letters!$C$56:$D$79,2,FALSE)</f>
        <v>CM</v>
      </c>
      <c r="E63" s="5" t="s">
        <v>1401</v>
      </c>
      <c r="F63" s="5" t="s">
        <v>1402</v>
      </c>
      <c r="G63" s="55">
        <f t="shared" si="5"/>
        <v>10</v>
      </c>
      <c r="H63" s="55">
        <f t="shared" si="6"/>
        <v>12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3.5">
      <c r="A64" s="60">
        <v>1.0</v>
      </c>
      <c r="B64" s="5" t="s">
        <v>81</v>
      </c>
      <c r="C64" s="5" t="s">
        <v>93</v>
      </c>
      <c r="D64" s="55" t="str">
        <f>VLOOKUP($B64,Letters!$C$56:$D$79,2,FALSE) &amp; VLOOKUP($C64,Letters!$C$56:$D$79,2,FALSE)</f>
        <v>CN</v>
      </c>
      <c r="E64" s="5" t="s">
        <v>1403</v>
      </c>
      <c r="F64" s="5" t="s">
        <v>1404</v>
      </c>
      <c r="G64" s="55">
        <f t="shared" si="5"/>
        <v>9</v>
      </c>
      <c r="H64" s="55">
        <f t="shared" si="6"/>
        <v>10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3.5">
      <c r="A65" s="54"/>
      <c r="B65" s="5" t="s">
        <v>81</v>
      </c>
      <c r="C65" s="5" t="s">
        <v>94</v>
      </c>
      <c r="D65" s="55" t="str">
        <f>VLOOKUP($B65,Letters!$C$56:$D$79,2,FALSE) &amp; VLOOKUP($C65,Letters!$C$56:$D$79,2,FALSE)</f>
        <v>CO</v>
      </c>
      <c r="E65" s="5" t="s">
        <v>1405</v>
      </c>
      <c r="F65" s="5" t="s">
        <v>1406</v>
      </c>
      <c r="G65" s="55">
        <f t="shared" si="5"/>
        <v>10</v>
      </c>
      <c r="H65" s="55">
        <f t="shared" si="6"/>
        <v>12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3.5">
      <c r="A66" s="60">
        <v>1.0</v>
      </c>
      <c r="B66" s="5" t="s">
        <v>81</v>
      </c>
      <c r="C66" s="5" t="s">
        <v>95</v>
      </c>
      <c r="D66" s="55" t="str">
        <f>VLOOKUP($B66,Letters!$C$56:$D$79,2,FALSE) &amp; VLOOKUP($C66,Letters!$C$56:$D$79,2,FALSE)</f>
        <v>CP</v>
      </c>
      <c r="E66" s="5" t="s">
        <v>1407</v>
      </c>
      <c r="F66" s="5" t="s">
        <v>1408</v>
      </c>
      <c r="G66" s="55">
        <f t="shared" si="5"/>
        <v>9</v>
      </c>
      <c r="H66" s="55">
        <f t="shared" si="6"/>
        <v>10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3.5">
      <c r="A67" s="54"/>
      <c r="B67" s="5" t="s">
        <v>81</v>
      </c>
      <c r="C67" s="5" t="s">
        <v>96</v>
      </c>
      <c r="D67" s="55" t="str">
        <f>VLOOKUP($B67,Letters!$C$56:$D$79,2,FALSE) &amp; VLOOKUP($C67,Letters!$C$56:$D$79,2,FALSE)</f>
        <v>CW</v>
      </c>
      <c r="E67" s="5" t="s">
        <v>1409</v>
      </c>
      <c r="F67" s="5" t="s">
        <v>1410</v>
      </c>
      <c r="G67" s="55">
        <f t="shared" si="5"/>
        <v>12</v>
      </c>
      <c r="H67" s="55">
        <f t="shared" si="6"/>
        <v>13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3.5">
      <c r="A68" s="60">
        <v>1.0</v>
      </c>
      <c r="B68" s="5" t="s">
        <v>81</v>
      </c>
      <c r="C68" s="5" t="s">
        <v>97</v>
      </c>
      <c r="D68" s="55" t="str">
        <f>VLOOKUP($B68,Letters!$C$56:$D$79,2,FALSE) &amp; VLOOKUP($C68,Letters!$C$56:$D$79,2,FALSE)</f>
        <v>CR</v>
      </c>
      <c r="E68" s="69" t="s">
        <v>1411</v>
      </c>
      <c r="F68" s="5" t="s">
        <v>1412</v>
      </c>
      <c r="G68" s="55">
        <f t="shared" si="5"/>
        <v>8</v>
      </c>
      <c r="H68" s="55">
        <f t="shared" si="6"/>
        <v>10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3.5">
      <c r="A69" s="54"/>
      <c r="B69" s="5" t="s">
        <v>81</v>
      </c>
      <c r="C69" s="5" t="s">
        <v>98</v>
      </c>
      <c r="D69" s="55" t="str">
        <f>VLOOKUP($B69,Letters!$C$56:$D$79,2,FALSE) &amp; VLOOKUP($C69,Letters!$C$56:$D$79,2,FALSE)</f>
        <v>CS</v>
      </c>
      <c r="E69" s="5" t="s">
        <v>1413</v>
      </c>
      <c r="F69" s="5" t="s">
        <v>1414</v>
      </c>
      <c r="G69" s="55">
        <f t="shared" si="5"/>
        <v>12</v>
      </c>
      <c r="H69" s="55">
        <f t="shared" si="6"/>
        <v>18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3.5">
      <c r="A70" s="60">
        <v>1.0</v>
      </c>
      <c r="B70" s="5" t="s">
        <v>81</v>
      </c>
      <c r="C70" s="5" t="s">
        <v>99</v>
      </c>
      <c r="D70" s="55" t="str">
        <f>VLOOKUP($B70,Letters!$C$56:$D$79,2,FALSE) &amp; VLOOKUP($C70,Letters!$C$56:$D$79,2,FALSE)</f>
        <v>CT</v>
      </c>
      <c r="E70" s="69" t="s">
        <v>1415</v>
      </c>
      <c r="F70" s="5" t="s">
        <v>1416</v>
      </c>
      <c r="G70" s="55">
        <f t="shared" si="5"/>
        <v>8</v>
      </c>
      <c r="H70" s="55">
        <f t="shared" si="6"/>
        <v>10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3.5">
      <c r="A71" s="60"/>
      <c r="B71" s="5" t="s">
        <v>81</v>
      </c>
      <c r="C71" s="5" t="s">
        <v>100</v>
      </c>
      <c r="D71" s="55" t="str">
        <f>VLOOKUP($B71,Letters!$C$56:$D$79,2,FALSE) &amp; VLOOKUP($C71,Letters!$C$56:$D$79,2,FALSE)</f>
        <v>CU</v>
      </c>
      <c r="E71" s="5" t="s">
        <v>1417</v>
      </c>
      <c r="F71" s="5" t="s">
        <v>1418</v>
      </c>
      <c r="G71" s="55">
        <f t="shared" si="5"/>
        <v>14</v>
      </c>
      <c r="H71" s="55">
        <f t="shared" si="6"/>
        <v>16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3.5">
      <c r="A72" s="60">
        <v>1.0</v>
      </c>
      <c r="B72" s="5" t="s">
        <v>81</v>
      </c>
      <c r="C72" s="5" t="s">
        <v>101</v>
      </c>
      <c r="D72" s="55" t="str">
        <f>VLOOKUP($B72,Letters!$C$56:$D$79,2,FALSE) &amp; VLOOKUP($C72,Letters!$C$56:$D$79,2,FALSE)</f>
        <v>CV</v>
      </c>
      <c r="E72" s="69" t="s">
        <v>1419</v>
      </c>
      <c r="F72" s="5" t="s">
        <v>1420</v>
      </c>
      <c r="G72" s="55">
        <f t="shared" si="5"/>
        <v>8</v>
      </c>
      <c r="H72" s="55">
        <f t="shared" si="6"/>
        <v>12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3.5">
      <c r="A73" s="60">
        <v>1.0</v>
      </c>
      <c r="B73" s="5" t="s">
        <v>81</v>
      </c>
      <c r="C73" s="5" t="s">
        <v>103</v>
      </c>
      <c r="D73" s="55" t="str">
        <f>VLOOKUP($B73,Letters!$C$56:$D$79,2,FALSE) &amp; VLOOKUP($C73,Letters!$C$56:$D$79,2,FALSE)</f>
        <v>CI</v>
      </c>
      <c r="E73" s="69" t="s">
        <v>1421</v>
      </c>
      <c r="F73" s="5" t="s">
        <v>1422</v>
      </c>
      <c r="G73" s="55">
        <f t="shared" si="5"/>
        <v>8</v>
      </c>
      <c r="H73" s="55">
        <f t="shared" si="6"/>
        <v>12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60"/>
      <c r="B74" s="5"/>
      <c r="C74" s="5"/>
      <c r="D74" s="5"/>
      <c r="E74" s="5"/>
      <c r="F74" s="5"/>
      <c r="G74" s="55"/>
      <c r="H74" s="5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3.5">
      <c r="A75" s="54"/>
      <c r="B75" s="5" t="s">
        <v>82</v>
      </c>
      <c r="C75" s="5" t="s">
        <v>78</v>
      </c>
      <c r="D75" s="55" t="str">
        <f>VLOOKUP($B75,Letters!$C$56:$D$79,2,FALSE) &amp; VLOOKUP($C75:$C76,Letters!$C$56:$D$79,2,FALSE)</f>
        <v>DA</v>
      </c>
      <c r="E75" s="5" t="s">
        <v>1423</v>
      </c>
      <c r="F75" s="5" t="s">
        <v>1424</v>
      </c>
      <c r="G75" s="55">
        <f t="shared" ref="G75:G96" si="7">(len($F75)-len(SUBSTITUTE($F75,"R","")))+(len($F75)-len(SUBSTITUTE($F75,"L","")))+(len($F75)-len(SUBSTITUTE($F75,"U","")))+(len($F75)-len(SUBSTITUTE($F75,"D","")))+(len($F75)-len(SUBSTITUTE($F75,"F","")))+(len($F75)-len(SUBSTITUTE($F75,"B","")))+(len($F75)-len(SUBSTITUTE($F75,"r","")))+(len($F75)-len(SUBSTITUTE($F75,"l","")))+(len($F75)-len(SUBSTITUTE($F75,"u","")))+(len($F75)-len(SUBSTITUTE($F75,"d","")))</f>
        <v>12</v>
      </c>
      <c r="H75" s="55">
        <f t="shared" ref="H75:H96" si="8">(len($F75)-len(SUBSTITUTE($F75,"R","")))+(len($F75)-len(SUBSTITUTE($F75,"L","")))+(len($F75)-len(SUBSTITUTE($F75,"U","")))+(len($F75)-len(SUBSTITUTE($F75,"D","")))+(len($F75)-len(SUBSTITUTE($F75,"F","")))+(len($F75)-len(SUBSTITUTE($F75,"B","")))+(len($F75)-len(SUBSTITUTE($F75,"r","")))+(len($F75)-len(SUBSTITUTE($F75,"l","")))+(len($F75)-len(SUBSTITUTE($F75,"u","")))+(len($F75)-len(SUBSTITUTE($F75,"d","")))+(len($F75)-len(SUBSTITUTE($F75,"2","")))</f>
        <v>14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3.5">
      <c r="A76" s="54"/>
      <c r="B76" s="5" t="s">
        <v>82</v>
      </c>
      <c r="C76" s="5" t="s">
        <v>80</v>
      </c>
      <c r="D76" s="55" t="str">
        <f>VLOOKUP($B76,Letters!$C$56:$D$79,2,FALSE) &amp; VLOOKUP($C76:$C77,Letters!$C$56:$D$79,2,FALSE)</f>
        <v>DB</v>
      </c>
      <c r="E76" s="5" t="s">
        <v>1425</v>
      </c>
      <c r="F76" s="5" t="s">
        <v>1426</v>
      </c>
      <c r="G76" s="55">
        <f t="shared" si="7"/>
        <v>11</v>
      </c>
      <c r="H76" s="55">
        <f t="shared" si="8"/>
        <v>12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3.5">
      <c r="A77" s="60">
        <v>1.0</v>
      </c>
      <c r="B77" s="5" t="s">
        <v>82</v>
      </c>
      <c r="C77" s="5" t="s">
        <v>81</v>
      </c>
      <c r="D77" s="55" t="str">
        <f>VLOOKUP($B77,Letters!$C$56:$D$79,2,FALSE) &amp; VLOOKUP($C77:$C78,Letters!$C$56:$D$79,2,FALSE)</f>
        <v>DC</v>
      </c>
      <c r="E77" s="5" t="s">
        <v>1427</v>
      </c>
      <c r="F77" s="5" t="s">
        <v>1428</v>
      </c>
      <c r="G77" s="55">
        <f t="shared" si="7"/>
        <v>10</v>
      </c>
      <c r="H77" s="55">
        <f t="shared" si="8"/>
        <v>12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3.5">
      <c r="A78" s="54"/>
      <c r="B78" s="5" t="s">
        <v>82</v>
      </c>
      <c r="C78" s="5" t="s">
        <v>83</v>
      </c>
      <c r="D78" s="55" t="str">
        <f>VLOOKUP($B78,Letters!$C$56:$D$79,2,FALSE) &amp; VLOOKUP($C78,Letters!$C$56:$D$79,2,FALSE)</f>
        <v>DE</v>
      </c>
      <c r="E78" s="5" t="s">
        <v>1429</v>
      </c>
      <c r="F78" s="5" t="s">
        <v>1430</v>
      </c>
      <c r="G78" s="55">
        <f t="shared" si="7"/>
        <v>10</v>
      </c>
      <c r="H78" s="55">
        <f t="shared" si="8"/>
        <v>12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3.5">
      <c r="A79" s="60">
        <v>1.0</v>
      </c>
      <c r="B79" s="5" t="s">
        <v>82</v>
      </c>
      <c r="C79" s="5" t="s">
        <v>84</v>
      </c>
      <c r="D79" s="55" t="str">
        <f>VLOOKUP($B79,Letters!$C$56:$D$79,2,FALSE) &amp; VLOOKUP($C79,Letters!$C$56:$D$79,2,FALSE)</f>
        <v>DF</v>
      </c>
      <c r="E79" s="5" t="s">
        <v>1431</v>
      </c>
      <c r="F79" s="5" t="s">
        <v>1432</v>
      </c>
      <c r="G79" s="55">
        <f t="shared" si="7"/>
        <v>10</v>
      </c>
      <c r="H79" s="55">
        <f t="shared" si="8"/>
        <v>12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3.5">
      <c r="A80" s="54"/>
      <c r="B80" s="5" t="s">
        <v>82</v>
      </c>
      <c r="C80" s="5" t="s">
        <v>85</v>
      </c>
      <c r="D80" s="55" t="str">
        <f>VLOOKUP($B80,Letters!$C$56:$D$79,2,FALSE) &amp; VLOOKUP($C80,Letters!$C$56:$D$79,2,FALSE)</f>
        <v>DG</v>
      </c>
      <c r="E80" s="5" t="s">
        <v>1433</v>
      </c>
      <c r="F80" s="5" t="s">
        <v>1434</v>
      </c>
      <c r="G80" s="55">
        <f t="shared" si="7"/>
        <v>10</v>
      </c>
      <c r="H80" s="55">
        <f t="shared" si="8"/>
        <v>12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3.5">
      <c r="A81" s="54"/>
      <c r="B81" s="5" t="s">
        <v>82</v>
      </c>
      <c r="C81" s="5" t="s">
        <v>86</v>
      </c>
      <c r="D81" s="55" t="str">
        <f>VLOOKUP($B81,Letters!$C$56:$D$79,2,FALSE) &amp; VLOOKUP($C81,Letters!$C$56:$D$79,2,FALSE)</f>
        <v>DH</v>
      </c>
      <c r="E81" s="5" t="s">
        <v>1435</v>
      </c>
      <c r="F81" s="5" t="s">
        <v>1436</v>
      </c>
      <c r="G81" s="55">
        <f t="shared" si="7"/>
        <v>11</v>
      </c>
      <c r="H81" s="55">
        <f t="shared" si="8"/>
        <v>12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3.5">
      <c r="A82" s="60"/>
      <c r="B82" s="5" t="s">
        <v>82</v>
      </c>
      <c r="C82" s="5" t="s">
        <v>87</v>
      </c>
      <c r="D82" s="55" t="str">
        <f>VLOOKUP($B82,Letters!$C$56:$D$79,2,FALSE) &amp; VLOOKUP($C82,Letters!$C$56:$D$79,2,FALSE)</f>
        <v>DX</v>
      </c>
      <c r="E82" s="5" t="s">
        <v>1437</v>
      </c>
      <c r="F82" s="5" t="s">
        <v>1438</v>
      </c>
      <c r="G82" s="55">
        <f t="shared" si="7"/>
        <v>11</v>
      </c>
      <c r="H82" s="55">
        <f t="shared" si="8"/>
        <v>16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3.5">
      <c r="A83" s="60">
        <v>1.0</v>
      </c>
      <c r="B83" s="5" t="s">
        <v>82</v>
      </c>
      <c r="C83" s="5" t="s">
        <v>89</v>
      </c>
      <c r="D83" s="55" t="str">
        <f>VLOOKUP($B83,Letters!$C$56:$D$79,2,FALSE) &amp; VLOOKUP($C83,Letters!$C$56:$D$79,2,FALSE)</f>
        <v>DJ</v>
      </c>
      <c r="E83" s="5" t="s">
        <v>1439</v>
      </c>
      <c r="F83" s="5" t="s">
        <v>1440</v>
      </c>
      <c r="G83" s="55">
        <f t="shared" si="7"/>
        <v>9</v>
      </c>
      <c r="H83" s="55">
        <f t="shared" si="8"/>
        <v>12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3.5">
      <c r="A84" s="54"/>
      <c r="B84" s="5" t="s">
        <v>82</v>
      </c>
      <c r="C84" s="5" t="s">
        <v>90</v>
      </c>
      <c r="D84" s="55" t="str">
        <f>VLOOKUP($B84,Letters!$C$56:$D$79,2,FALSE) &amp; VLOOKUP($C84,Letters!$C$56:$D$79,2,FALSE)</f>
        <v>DK</v>
      </c>
      <c r="E84" s="5" t="s">
        <v>1441</v>
      </c>
      <c r="F84" s="5" t="s">
        <v>1442</v>
      </c>
      <c r="G84" s="55">
        <f t="shared" si="7"/>
        <v>10</v>
      </c>
      <c r="H84" s="55">
        <f t="shared" si="8"/>
        <v>11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3.5">
      <c r="A85" s="60">
        <v>1.0</v>
      </c>
      <c r="B85" s="5" t="s">
        <v>82</v>
      </c>
      <c r="C85" s="5" t="s">
        <v>91</v>
      </c>
      <c r="D85" s="55" t="str">
        <f>VLOOKUP($B85,Letters!$C$56:$D$79,2,FALSE) &amp; VLOOKUP($C85,Letters!$C$56:$D$79,2,FALSE)</f>
        <v>DL</v>
      </c>
      <c r="E85" s="69" t="s">
        <v>1443</v>
      </c>
      <c r="F85" s="5" t="s">
        <v>1444</v>
      </c>
      <c r="G85" s="55">
        <f t="shared" si="7"/>
        <v>8</v>
      </c>
      <c r="H85" s="55">
        <f t="shared" si="8"/>
        <v>10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3.5">
      <c r="A86" s="54"/>
      <c r="B86" s="5" t="s">
        <v>82</v>
      </c>
      <c r="C86" s="5" t="s">
        <v>92</v>
      </c>
      <c r="D86" s="55" t="str">
        <f>VLOOKUP($B86,Letters!$C$56:$D$79,2,FALSE) &amp; VLOOKUP($C86,Letters!$C$56:$D$79,2,FALSE)</f>
        <v>DM</v>
      </c>
      <c r="E86" s="5" t="s">
        <v>1445</v>
      </c>
      <c r="F86" s="5" t="s">
        <v>1446</v>
      </c>
      <c r="G86" s="55">
        <f t="shared" si="7"/>
        <v>10</v>
      </c>
      <c r="H86" s="55">
        <f t="shared" si="8"/>
        <v>12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3.5">
      <c r="A87" s="60">
        <v>1.0</v>
      </c>
      <c r="B87" s="5" t="s">
        <v>82</v>
      </c>
      <c r="C87" s="5" t="s">
        <v>93</v>
      </c>
      <c r="D87" s="55" t="str">
        <f>VLOOKUP($B87,Letters!$C$56:$D$79,2,FALSE) &amp; VLOOKUP($C87,Letters!$C$56:$D$79,2,FALSE)</f>
        <v>DN</v>
      </c>
      <c r="E87" s="5" t="s">
        <v>1447</v>
      </c>
      <c r="F87" s="5" t="s">
        <v>1448</v>
      </c>
      <c r="G87" s="55">
        <f t="shared" si="7"/>
        <v>10</v>
      </c>
      <c r="H87" s="55">
        <f t="shared" si="8"/>
        <v>12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3.5">
      <c r="A88" s="54"/>
      <c r="B88" s="5" t="s">
        <v>82</v>
      </c>
      <c r="C88" s="5" t="s">
        <v>94</v>
      </c>
      <c r="D88" s="55" t="str">
        <f>VLOOKUP($B88,Letters!$C$56:$D$79,2,FALSE) &amp; VLOOKUP($C88,Letters!$C$56:$D$79,2,FALSE)</f>
        <v>DO</v>
      </c>
      <c r="E88" s="5" t="s">
        <v>1449</v>
      </c>
      <c r="F88" s="5" t="s">
        <v>1450</v>
      </c>
      <c r="G88" s="55">
        <f t="shared" si="7"/>
        <v>13</v>
      </c>
      <c r="H88" s="55">
        <f t="shared" si="8"/>
        <v>18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3.5">
      <c r="A89" s="60"/>
      <c r="B89" s="5" t="s">
        <v>82</v>
      </c>
      <c r="C89" s="5" t="s">
        <v>95</v>
      </c>
      <c r="D89" s="55" t="str">
        <f>VLOOKUP($B89,Letters!$C$56:$D$79,2,FALSE) &amp; VLOOKUP($C89,Letters!$C$56:$D$79,2,FALSE)</f>
        <v>DP</v>
      </c>
      <c r="E89" s="5" t="s">
        <v>1451</v>
      </c>
      <c r="F89" s="5" t="s">
        <v>1452</v>
      </c>
      <c r="G89" s="55">
        <f t="shared" si="7"/>
        <v>11</v>
      </c>
      <c r="H89" s="55">
        <f t="shared" si="8"/>
        <v>12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3.5">
      <c r="A90" s="54"/>
      <c r="B90" s="5" t="s">
        <v>82</v>
      </c>
      <c r="C90" s="5" t="s">
        <v>96</v>
      </c>
      <c r="D90" s="55" t="str">
        <f>VLOOKUP($B90,Letters!$C$56:$D$79,2,FALSE) &amp; VLOOKUP($C90,Letters!$C$56:$D$79,2,FALSE)</f>
        <v>DW</v>
      </c>
      <c r="E90" s="5" t="s">
        <v>1453</v>
      </c>
      <c r="F90" s="5" t="s">
        <v>1454</v>
      </c>
      <c r="G90" s="55">
        <f t="shared" si="7"/>
        <v>8</v>
      </c>
      <c r="H90" s="55">
        <f t="shared" si="8"/>
        <v>10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3.5">
      <c r="A91" s="60">
        <v>1.0</v>
      </c>
      <c r="B91" s="5" t="s">
        <v>82</v>
      </c>
      <c r="C91" s="5" t="s">
        <v>97</v>
      </c>
      <c r="D91" s="55" t="str">
        <f>VLOOKUP($B91,Letters!$C$56:$D$79,2,FALSE) &amp; VLOOKUP($C91,Letters!$C$56:$D$79,2,FALSE)</f>
        <v>DR</v>
      </c>
      <c r="E91" s="5" t="s">
        <v>1455</v>
      </c>
      <c r="F91" s="5" t="s">
        <v>1456</v>
      </c>
      <c r="G91" s="55">
        <f t="shared" si="7"/>
        <v>8</v>
      </c>
      <c r="H91" s="55">
        <f t="shared" si="8"/>
        <v>10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3.5">
      <c r="A92" s="54"/>
      <c r="B92" s="5" t="s">
        <v>82</v>
      </c>
      <c r="C92" s="5" t="s">
        <v>98</v>
      </c>
      <c r="D92" s="55" t="str">
        <f>VLOOKUP($B92,Letters!$C$56:$D$79,2,FALSE) &amp; VLOOKUP($C92,Letters!$C$56:$D$79,2,FALSE)</f>
        <v>DS</v>
      </c>
      <c r="E92" s="5" t="s">
        <v>1457</v>
      </c>
      <c r="F92" s="5" t="s">
        <v>1458</v>
      </c>
      <c r="G92" s="55">
        <f t="shared" si="7"/>
        <v>10</v>
      </c>
      <c r="H92" s="55">
        <f t="shared" si="8"/>
        <v>13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3.5">
      <c r="A93" s="60">
        <v>1.0</v>
      </c>
      <c r="B93" s="5" t="s">
        <v>82</v>
      </c>
      <c r="C93" s="5" t="s">
        <v>99</v>
      </c>
      <c r="D93" s="55" t="str">
        <f>VLOOKUP($B93,Letters!$C$56:$D$79,2,FALSE) &amp; VLOOKUP($C93,Letters!$C$56:$D$79,2,FALSE)</f>
        <v>DT</v>
      </c>
      <c r="E93" s="5" t="s">
        <v>1459</v>
      </c>
      <c r="F93" s="5" t="s">
        <v>1460</v>
      </c>
      <c r="G93" s="55">
        <f t="shared" si="7"/>
        <v>9</v>
      </c>
      <c r="H93" s="55">
        <f t="shared" si="8"/>
        <v>12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3.5">
      <c r="A94" s="60"/>
      <c r="B94" s="5" t="s">
        <v>82</v>
      </c>
      <c r="C94" s="5" t="s">
        <v>100</v>
      </c>
      <c r="D94" s="55" t="str">
        <f>VLOOKUP($B94,Letters!$C$56:$D$79,2,FALSE) &amp; VLOOKUP($C94,Letters!$C$56:$D$79,2,FALSE)</f>
        <v>DU</v>
      </c>
      <c r="E94" s="5" t="s">
        <v>1461</v>
      </c>
      <c r="F94" s="5" t="s">
        <v>1462</v>
      </c>
      <c r="G94" s="55">
        <f t="shared" si="7"/>
        <v>12</v>
      </c>
      <c r="H94" s="55">
        <f t="shared" si="8"/>
        <v>18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3.5">
      <c r="A95" s="60">
        <v>1.0</v>
      </c>
      <c r="B95" s="5" t="s">
        <v>82</v>
      </c>
      <c r="C95" s="5" t="s">
        <v>101</v>
      </c>
      <c r="D95" s="55" t="str">
        <f>VLOOKUP($B95,Letters!$C$56:$D$79,2,FALSE) &amp; VLOOKUP($C95,Letters!$C$56:$D$79,2,FALSE)</f>
        <v>DV</v>
      </c>
      <c r="E95" s="69" t="s">
        <v>1463</v>
      </c>
      <c r="F95" s="5" t="s">
        <v>1464</v>
      </c>
      <c r="G95" s="55">
        <f t="shared" si="7"/>
        <v>9</v>
      </c>
      <c r="H95" s="55">
        <f t="shared" si="8"/>
        <v>14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3.5">
      <c r="A96" s="60">
        <v>1.0</v>
      </c>
      <c r="B96" s="5" t="s">
        <v>82</v>
      </c>
      <c r="C96" s="5" t="s">
        <v>103</v>
      </c>
      <c r="D96" s="55" t="str">
        <f>VLOOKUP($B96,Letters!$C$56:$D$79,2,FALSE) &amp; VLOOKUP($C96,Letters!$C$56:$D$79,2,FALSE)</f>
        <v>DI</v>
      </c>
      <c r="E96" s="5" t="s">
        <v>1465</v>
      </c>
      <c r="F96" s="5" t="s">
        <v>1466</v>
      </c>
      <c r="G96" s="55">
        <f t="shared" si="7"/>
        <v>8</v>
      </c>
      <c r="H96" s="55">
        <f t="shared" si="8"/>
        <v>12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4"/>
      <c r="B97" s="5"/>
      <c r="C97" s="5"/>
      <c r="D97" s="5"/>
      <c r="E97" s="5"/>
      <c r="F97" s="5"/>
      <c r="G97" s="55"/>
      <c r="H97" s="5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3.5">
      <c r="A98" s="54"/>
      <c r="B98" s="5" t="s">
        <v>83</v>
      </c>
      <c r="C98" s="5" t="s">
        <v>78</v>
      </c>
      <c r="D98" s="55" t="str">
        <f>VLOOKUP($B98,Letters!$C$56:$D$79,2,FALSE) &amp; VLOOKUP($C98,Letters!$C$56:$D$79,2,FALSE)</f>
        <v>EA</v>
      </c>
      <c r="E98" s="5" t="s">
        <v>1467</v>
      </c>
      <c r="F98" s="5" t="s">
        <v>1468</v>
      </c>
      <c r="G98" s="55">
        <f t="shared" ref="G98:G119" si="9">(len($F98)-len(SUBSTITUTE($F98,"R","")))+(len($F98)-len(SUBSTITUTE($F98,"L","")))+(len($F98)-len(SUBSTITUTE($F98,"U","")))+(len($F98)-len(SUBSTITUTE($F98,"D","")))+(len($F98)-len(SUBSTITUTE($F98,"F","")))+(len($F98)-len(SUBSTITUTE($F98,"B","")))+(len($F98)-len(SUBSTITUTE($F98,"r","")))+(len($F98)-len(SUBSTITUTE($F98,"l","")))+(len($F98)-len(SUBSTITUTE($F98,"u","")))+(len($F98)-len(SUBSTITUTE($F98,"d","")))</f>
        <v>10</v>
      </c>
      <c r="H98" s="55">
        <f t="shared" ref="H98:H119" si="10">(len($F98)-len(SUBSTITUTE($F98,"R","")))+(len($F98)-len(SUBSTITUTE($F98,"L","")))+(len($F98)-len(SUBSTITUTE($F98,"U","")))+(len($F98)-len(SUBSTITUTE($F98,"D","")))+(len($F98)-len(SUBSTITUTE($F98,"F","")))+(len($F98)-len(SUBSTITUTE($F98,"B","")))+(len($F98)-len(SUBSTITUTE($F98,"r","")))+(len($F98)-len(SUBSTITUTE($F98,"l","")))+(len($F98)-len(SUBSTITUTE($F98,"u","")))+(len($F98)-len(SUBSTITUTE($F98,"d","")))+(len($F98)-len(SUBSTITUTE($F98,"2","")))</f>
        <v>12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3.5">
      <c r="A99" s="54"/>
      <c r="B99" s="5" t="s">
        <v>83</v>
      </c>
      <c r="C99" s="5" t="s">
        <v>80</v>
      </c>
      <c r="D99" s="55" t="str">
        <f>VLOOKUP($B99,Letters!$C$56:$D$79,2,FALSE) &amp; VLOOKUP($C99,Letters!$C$56:$D$79,2,FALSE)</f>
        <v>EB</v>
      </c>
      <c r="E99" s="5" t="s">
        <v>1469</v>
      </c>
      <c r="F99" s="5" t="s">
        <v>1470</v>
      </c>
      <c r="G99" s="55">
        <f t="shared" si="9"/>
        <v>10</v>
      </c>
      <c r="H99" s="55">
        <f t="shared" si="10"/>
        <v>12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3.5">
      <c r="A100" s="54"/>
      <c r="B100" s="5" t="s">
        <v>83</v>
      </c>
      <c r="C100" s="5" t="s">
        <v>81</v>
      </c>
      <c r="D100" s="55" t="str">
        <f>VLOOKUP($B100,Letters!$C$56:$D$79,2,FALSE) &amp; VLOOKUP($C100,Letters!$C$56:$D$79,2,FALSE)</f>
        <v>EC</v>
      </c>
      <c r="E100" s="5" t="s">
        <v>1471</v>
      </c>
      <c r="F100" s="5" t="s">
        <v>1472</v>
      </c>
      <c r="G100" s="55">
        <f t="shared" si="9"/>
        <v>10</v>
      </c>
      <c r="H100" s="55">
        <f t="shared" si="10"/>
        <v>12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3.5">
      <c r="A101" s="60"/>
      <c r="B101" s="5" t="s">
        <v>83</v>
      </c>
      <c r="C101" s="5" t="s">
        <v>82</v>
      </c>
      <c r="D101" s="55" t="str">
        <f>VLOOKUP($B101,Letters!$C$56:$D$79,2,FALSE) &amp; VLOOKUP($C101,Letters!$C$56:$D$79,2,FALSE)</f>
        <v>ED</v>
      </c>
      <c r="E101" s="5" t="s">
        <v>1473</v>
      </c>
      <c r="F101" s="5" t="s">
        <v>1474</v>
      </c>
      <c r="G101" s="55">
        <f t="shared" si="9"/>
        <v>10</v>
      </c>
      <c r="H101" s="55">
        <f t="shared" si="10"/>
        <v>12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3.5">
      <c r="A102" s="54"/>
      <c r="B102" s="5" t="s">
        <v>83</v>
      </c>
      <c r="C102" s="5" t="s">
        <v>84</v>
      </c>
      <c r="D102" s="55" t="str">
        <f>VLOOKUP($B102,Letters!$C$56:$D$79,2,FALSE) &amp; VLOOKUP($C102,Letters!$C$56:$D$79,2,FALSE)</f>
        <v>EF</v>
      </c>
      <c r="E102" s="5" t="s">
        <v>1475</v>
      </c>
      <c r="F102" s="5" t="s">
        <v>1476</v>
      </c>
      <c r="G102" s="55">
        <f t="shared" si="9"/>
        <v>9</v>
      </c>
      <c r="H102" s="55">
        <f t="shared" si="10"/>
        <v>10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3.5">
      <c r="A103" s="60">
        <v>1.0</v>
      </c>
      <c r="B103" s="5" t="s">
        <v>83</v>
      </c>
      <c r="C103" s="5" t="s">
        <v>85</v>
      </c>
      <c r="D103" s="55" t="str">
        <f>VLOOKUP($B103,Letters!$C$56:$D$79,2,FALSE) &amp; VLOOKUP($C103,Letters!$C$56:$D$79,2,FALSE)</f>
        <v>EG</v>
      </c>
      <c r="E103" s="5" t="s">
        <v>1477</v>
      </c>
      <c r="F103" s="5" t="s">
        <v>1478</v>
      </c>
      <c r="G103" s="55">
        <f t="shared" si="9"/>
        <v>8</v>
      </c>
      <c r="H103" s="55">
        <f t="shared" si="10"/>
        <v>10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3.5">
      <c r="A104" s="54"/>
      <c r="B104" s="5" t="s">
        <v>83</v>
      </c>
      <c r="C104" s="5" t="s">
        <v>86</v>
      </c>
      <c r="D104" s="55" t="str">
        <f>VLOOKUP($B104,Letters!$C$56:$D$79,2,FALSE) &amp; VLOOKUP($C104,Letters!$C$56:$D$79,2,FALSE)</f>
        <v>EH</v>
      </c>
      <c r="E104" s="5" t="s">
        <v>1479</v>
      </c>
      <c r="F104" s="5" t="s">
        <v>1480</v>
      </c>
      <c r="G104" s="55">
        <f t="shared" si="9"/>
        <v>9</v>
      </c>
      <c r="H104" s="55">
        <f t="shared" si="10"/>
        <v>10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3.5">
      <c r="A105" s="54"/>
      <c r="B105" s="5" t="s">
        <v>83</v>
      </c>
      <c r="C105" s="5" t="s">
        <v>87</v>
      </c>
      <c r="D105" s="55" t="str">
        <f>VLOOKUP($B105,Letters!$C$56:$D$79,2,FALSE) &amp; VLOOKUP($C105,Letters!$C$56:$D$79,2,FALSE)</f>
        <v>EX</v>
      </c>
      <c r="E105" s="5" t="s">
        <v>1481</v>
      </c>
      <c r="F105" s="5" t="s">
        <v>1482</v>
      </c>
      <c r="G105" s="55">
        <f t="shared" si="9"/>
        <v>10</v>
      </c>
      <c r="H105" s="55">
        <f t="shared" si="10"/>
        <v>14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3.5">
      <c r="A106" s="54"/>
      <c r="B106" s="5" t="s">
        <v>83</v>
      </c>
      <c r="C106" s="5" t="s">
        <v>89</v>
      </c>
      <c r="D106" s="55" t="str">
        <f>VLOOKUP($B106,Letters!$C$56:$D$79,2,FALSE) &amp; VLOOKUP($C106,Letters!$C$56:$D$79,2,FALSE)</f>
        <v>EJ</v>
      </c>
      <c r="E106" s="5" t="s">
        <v>1483</v>
      </c>
      <c r="F106" s="5" t="s">
        <v>1484</v>
      </c>
      <c r="G106" s="55">
        <f t="shared" si="9"/>
        <v>11</v>
      </c>
      <c r="H106" s="55">
        <f t="shared" si="10"/>
        <v>12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3.5">
      <c r="A107" s="60">
        <v>1.0</v>
      </c>
      <c r="B107" s="5" t="s">
        <v>83</v>
      </c>
      <c r="C107" s="5" t="s">
        <v>90</v>
      </c>
      <c r="D107" s="55" t="str">
        <f>VLOOKUP($B107,Letters!$C$56:$D$79,2,FALSE) &amp; VLOOKUP($C107,Letters!$C$56:$D$79,2,FALSE)</f>
        <v>EK</v>
      </c>
      <c r="E107" s="5" t="s">
        <v>1485</v>
      </c>
      <c r="F107" s="5" t="s">
        <v>1486</v>
      </c>
      <c r="G107" s="55">
        <f t="shared" si="9"/>
        <v>8</v>
      </c>
      <c r="H107" s="55">
        <f t="shared" si="10"/>
        <v>10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3.5">
      <c r="A108" s="54"/>
      <c r="B108" s="5" t="s">
        <v>83</v>
      </c>
      <c r="C108" s="5" t="s">
        <v>91</v>
      </c>
      <c r="D108" s="55" t="str">
        <f>VLOOKUP($B108,Letters!$C$56:$D$79,2,FALSE) &amp; VLOOKUP($C108,Letters!$C$56:$D$79,2,FALSE)</f>
        <v>EL</v>
      </c>
      <c r="E108" s="5" t="s">
        <v>1487</v>
      </c>
      <c r="F108" s="5" t="s">
        <v>1488</v>
      </c>
      <c r="G108" s="55">
        <f t="shared" si="9"/>
        <v>11</v>
      </c>
      <c r="H108" s="55">
        <f t="shared" si="10"/>
        <v>12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3.5">
      <c r="A109" s="60"/>
      <c r="B109" s="5" t="s">
        <v>83</v>
      </c>
      <c r="C109" s="5" t="s">
        <v>92</v>
      </c>
      <c r="D109" s="55" t="str">
        <f>VLOOKUP($B109,Letters!$C$56:$D$79,2,FALSE) &amp; VLOOKUP($C109,Letters!$C$56:$D$79,2,FALSE)</f>
        <v>EM</v>
      </c>
      <c r="E109" s="5" t="s">
        <v>1489</v>
      </c>
      <c r="F109" s="5" t="s">
        <v>1490</v>
      </c>
      <c r="G109" s="55">
        <f t="shared" si="9"/>
        <v>11</v>
      </c>
      <c r="H109" s="55">
        <f t="shared" si="10"/>
        <v>16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3.5">
      <c r="A110" s="54"/>
      <c r="B110" s="5" t="s">
        <v>83</v>
      </c>
      <c r="C110" s="5" t="s">
        <v>93</v>
      </c>
      <c r="D110" s="55" t="str">
        <f>VLOOKUP($B110,Letters!$C$56:$D$79,2,FALSE) &amp; VLOOKUP($C110,Letters!$C$56:$D$79,2,FALSE)</f>
        <v>EN</v>
      </c>
      <c r="E110" s="5" t="s">
        <v>1491</v>
      </c>
      <c r="F110" s="5" t="s">
        <v>1492</v>
      </c>
      <c r="G110" s="55">
        <f t="shared" si="9"/>
        <v>11</v>
      </c>
      <c r="H110" s="55">
        <f t="shared" si="10"/>
        <v>14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3.5">
      <c r="A111" s="60"/>
      <c r="B111" s="5" t="s">
        <v>83</v>
      </c>
      <c r="C111" s="5" t="s">
        <v>94</v>
      </c>
      <c r="D111" s="55" t="str">
        <f>VLOOKUP($B111,Letters!$C$56:$D$79,2,FALSE) &amp; VLOOKUP($C111,Letters!$C$56:$D$79,2,FALSE)</f>
        <v>EO</v>
      </c>
      <c r="E111" s="5" t="s">
        <v>1493</v>
      </c>
      <c r="F111" s="5" t="s">
        <v>1494</v>
      </c>
      <c r="G111" s="55">
        <f t="shared" si="9"/>
        <v>9</v>
      </c>
      <c r="H111" s="55">
        <f t="shared" si="10"/>
        <v>12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3.5">
      <c r="A112" s="54"/>
      <c r="B112" s="5" t="s">
        <v>83</v>
      </c>
      <c r="C112" s="5" t="s">
        <v>95</v>
      </c>
      <c r="D112" s="55" t="str">
        <f>VLOOKUP($B112,Letters!$C$56:$D$79,2,FALSE) &amp; VLOOKUP($C112,Letters!$C$56:$D$79,2,FALSE)</f>
        <v>EP</v>
      </c>
      <c r="E112" s="5" t="s">
        <v>1495</v>
      </c>
      <c r="F112" s="5" t="s">
        <v>1496</v>
      </c>
      <c r="G112" s="55">
        <f t="shared" si="9"/>
        <v>11</v>
      </c>
      <c r="H112" s="55">
        <f t="shared" si="10"/>
        <v>14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3.5">
      <c r="A113" s="54"/>
      <c r="B113" s="5" t="s">
        <v>83</v>
      </c>
      <c r="C113" s="5" t="s">
        <v>96</v>
      </c>
      <c r="D113" s="55" t="str">
        <f>VLOOKUP($B113,Letters!$C$56:$D$79,2,FALSE) &amp; VLOOKUP($C113,Letters!$C$56:$D$79,2,FALSE)</f>
        <v>EW</v>
      </c>
      <c r="E113" s="5" t="s">
        <v>1497</v>
      </c>
      <c r="F113" s="5" t="s">
        <v>1498</v>
      </c>
      <c r="G113" s="55">
        <f t="shared" si="9"/>
        <v>8</v>
      </c>
      <c r="H113" s="55">
        <f t="shared" si="10"/>
        <v>8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3.5">
      <c r="A114" s="60"/>
      <c r="B114" s="5" t="s">
        <v>83</v>
      </c>
      <c r="C114" s="5" t="s">
        <v>97</v>
      </c>
      <c r="D114" s="55" t="str">
        <f>VLOOKUP($B114,Letters!$C$56:$D$79,2,FALSE) &amp; VLOOKUP($C114,Letters!$C$56:$D$79,2,FALSE)</f>
        <v>ER</v>
      </c>
      <c r="E114" s="5" t="s">
        <v>1499</v>
      </c>
      <c r="F114" s="5" t="s">
        <v>1500</v>
      </c>
      <c r="G114" s="55">
        <f t="shared" si="9"/>
        <v>10</v>
      </c>
      <c r="H114" s="55">
        <f t="shared" si="10"/>
        <v>11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3.5">
      <c r="A115" s="54"/>
      <c r="B115" s="5" t="s">
        <v>83</v>
      </c>
      <c r="C115" s="5" t="s">
        <v>98</v>
      </c>
      <c r="D115" s="55" t="str">
        <f>VLOOKUP($B115,Letters!$C$56:$D$79,2,FALSE) &amp; VLOOKUP($C115,Letters!$C$56:$D$79,2,FALSE)</f>
        <v>ES</v>
      </c>
      <c r="E115" s="5" t="s">
        <v>1501</v>
      </c>
      <c r="F115" s="5" t="s">
        <v>1502</v>
      </c>
      <c r="G115" s="55">
        <f t="shared" si="9"/>
        <v>9</v>
      </c>
      <c r="H115" s="55">
        <f t="shared" si="10"/>
        <v>12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3.5">
      <c r="A116" s="54"/>
      <c r="B116" s="5" t="s">
        <v>83</v>
      </c>
      <c r="C116" s="5" t="s">
        <v>99</v>
      </c>
      <c r="D116" s="55" t="str">
        <f>VLOOKUP($B116,Letters!$C$56:$D$79,2,FALSE) &amp; VLOOKUP($C116,Letters!$C$56:$D$79,2,FALSE)</f>
        <v>ET</v>
      </c>
      <c r="E116" s="5" t="s">
        <v>1503</v>
      </c>
      <c r="F116" s="5" t="s">
        <v>1504</v>
      </c>
      <c r="G116" s="55">
        <f t="shared" si="9"/>
        <v>11</v>
      </c>
      <c r="H116" s="55">
        <f t="shared" si="10"/>
        <v>12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3.5">
      <c r="A117" s="54"/>
      <c r="B117" s="5" t="s">
        <v>83</v>
      </c>
      <c r="C117" s="5" t="s">
        <v>100</v>
      </c>
      <c r="D117" s="55" t="str">
        <f>VLOOKUP($B117,Letters!$C$56:$D$79,2,FALSE) &amp; VLOOKUP($C117,Letters!$C$56:$D$79,2,FALSE)</f>
        <v>EU</v>
      </c>
      <c r="E117" s="5" t="s">
        <v>1505</v>
      </c>
      <c r="F117" s="5" t="s">
        <v>1506</v>
      </c>
      <c r="G117" s="55">
        <f t="shared" si="9"/>
        <v>10</v>
      </c>
      <c r="H117" s="55">
        <f t="shared" si="10"/>
        <v>14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3.5">
      <c r="A118" s="54"/>
      <c r="B118" s="5" t="s">
        <v>83</v>
      </c>
      <c r="C118" s="5" t="s">
        <v>101</v>
      </c>
      <c r="D118" s="55" t="str">
        <f>VLOOKUP($B118,Letters!$C$56:$D$79,2,FALSE) &amp; VLOOKUP($C118,Letters!$C$56:$D$79,2,FALSE)</f>
        <v>EV</v>
      </c>
      <c r="E118" s="5" t="s">
        <v>1507</v>
      </c>
      <c r="F118" s="5" t="s">
        <v>1508</v>
      </c>
      <c r="G118" s="55">
        <f t="shared" si="9"/>
        <v>13</v>
      </c>
      <c r="H118" s="55">
        <f t="shared" si="10"/>
        <v>14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3.5">
      <c r="A119" s="54"/>
      <c r="B119" s="5" t="s">
        <v>83</v>
      </c>
      <c r="C119" s="5" t="s">
        <v>103</v>
      </c>
      <c r="D119" s="55" t="str">
        <f>VLOOKUP($B119,Letters!$C$56:$D$79,2,FALSE) &amp; VLOOKUP($C119,Letters!$C$56:$D$79,2,FALSE)</f>
        <v>EI</v>
      </c>
      <c r="E119" s="5" t="s">
        <v>1509</v>
      </c>
      <c r="F119" s="5" t="s">
        <v>1510</v>
      </c>
      <c r="G119" s="55">
        <f t="shared" si="9"/>
        <v>10</v>
      </c>
      <c r="H119" s="55">
        <f t="shared" si="10"/>
        <v>12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60"/>
      <c r="B120" s="5"/>
      <c r="C120" s="5"/>
      <c r="D120" s="55"/>
      <c r="E120" s="5"/>
      <c r="F120" s="5"/>
      <c r="G120" s="55"/>
      <c r="H120" s="5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3.5">
      <c r="A121" s="54"/>
      <c r="B121" s="5" t="s">
        <v>84</v>
      </c>
      <c r="C121" s="5" t="s">
        <v>78</v>
      </c>
      <c r="D121" s="55" t="str">
        <f>VLOOKUP($B121,Letters!$C$56:$D$79,2,FALSE) &amp; VLOOKUP($C121,Letters!$C$56:$D$79,2,FALSE)</f>
        <v>FA</v>
      </c>
      <c r="E121" s="5" t="s">
        <v>1511</v>
      </c>
      <c r="F121" s="5" t="s">
        <v>1512</v>
      </c>
      <c r="G121" s="55">
        <f t="shared" ref="G121:G142" si="11">(len($F121)-len(SUBSTITUTE($F121,"R","")))+(len($F121)-len(SUBSTITUTE($F121,"L","")))+(len($F121)-len(SUBSTITUTE($F121,"U","")))+(len($F121)-len(SUBSTITUTE($F121,"D","")))+(len($F121)-len(SUBSTITUTE($F121,"F","")))+(len($F121)-len(SUBSTITUTE($F121,"B","")))+(len($F121)-len(SUBSTITUTE($F121,"r","")))+(len($F121)-len(SUBSTITUTE($F121,"l","")))+(len($F121)-len(SUBSTITUTE($F121,"u","")))+(len($F121)-len(SUBSTITUTE($F121,"d","")))</f>
        <v>11</v>
      </c>
      <c r="H121" s="55">
        <f t="shared" ref="H121:H142" si="12">(len($F121)-len(SUBSTITUTE($F121,"R","")))+(len($F121)-len(SUBSTITUTE($F121,"L","")))+(len($F121)-len(SUBSTITUTE($F121,"U","")))+(len($F121)-len(SUBSTITUTE($F121,"D","")))+(len($F121)-len(SUBSTITUTE($F121,"F","")))+(len($F121)-len(SUBSTITUTE($F121,"B","")))+(len($F121)-len(SUBSTITUTE($F121,"r","")))+(len($F121)-len(SUBSTITUTE($F121,"l","")))+(len($F121)-len(SUBSTITUTE($F121,"u","")))+(len($F121)-len(SUBSTITUTE($F121,"d","")))+(len($F121)-len(SUBSTITUTE($F121,"2","")))</f>
        <v>14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3.5">
      <c r="A122" s="54"/>
      <c r="B122" s="5" t="s">
        <v>84</v>
      </c>
      <c r="C122" s="5" t="s">
        <v>80</v>
      </c>
      <c r="D122" s="55" t="str">
        <f>VLOOKUP($B122,Letters!$C$56:$D$79,2,FALSE) &amp; VLOOKUP($C122,Letters!$C$56:$D$79,2,FALSE)</f>
        <v>FB</v>
      </c>
      <c r="E122" s="5" t="s">
        <v>1513</v>
      </c>
      <c r="F122" s="5" t="s">
        <v>1514</v>
      </c>
      <c r="G122" s="55">
        <f t="shared" si="11"/>
        <v>10</v>
      </c>
      <c r="H122" s="55">
        <f t="shared" si="12"/>
        <v>12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3.5">
      <c r="A123" s="54"/>
      <c r="B123" s="5" t="s">
        <v>84</v>
      </c>
      <c r="C123" s="5" t="s">
        <v>81</v>
      </c>
      <c r="D123" s="55" t="str">
        <f>VLOOKUP($B123,Letters!$C$56:$D$79,2,FALSE) &amp; VLOOKUP($C123,Letters!$C$56:$D$79,2,FALSE)</f>
        <v>FC</v>
      </c>
      <c r="E123" s="5" t="s">
        <v>1515</v>
      </c>
      <c r="F123" s="5" t="s">
        <v>1516</v>
      </c>
      <c r="G123" s="55">
        <f t="shared" si="11"/>
        <v>10</v>
      </c>
      <c r="H123" s="55">
        <f t="shared" si="12"/>
        <v>12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3.5">
      <c r="A124" s="54"/>
      <c r="B124" s="5" t="s">
        <v>84</v>
      </c>
      <c r="C124" s="5" t="s">
        <v>82</v>
      </c>
      <c r="D124" s="55" t="str">
        <f>VLOOKUP($B124,Letters!$C$56:$D$79,2,FALSE) &amp; VLOOKUP($C124,Letters!$C$56:$D$79,2,FALSE)</f>
        <v>FD</v>
      </c>
      <c r="E124" s="5" t="s">
        <v>1517</v>
      </c>
      <c r="F124" s="5" t="s">
        <v>1518</v>
      </c>
      <c r="G124" s="55">
        <f t="shared" si="11"/>
        <v>10</v>
      </c>
      <c r="H124" s="55">
        <f t="shared" si="12"/>
        <v>12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3.5">
      <c r="A125" s="54"/>
      <c r="B125" s="5" t="s">
        <v>84</v>
      </c>
      <c r="C125" s="5" t="s">
        <v>83</v>
      </c>
      <c r="D125" s="55" t="str">
        <f>VLOOKUP($B125,Letters!$C$56:$D$79,2,FALSE) &amp; VLOOKUP($C125,Letters!$C$56:$D$79,2,FALSE)</f>
        <v>FE</v>
      </c>
      <c r="E125" s="5" t="s">
        <v>1519</v>
      </c>
      <c r="F125" s="5" t="s">
        <v>1520</v>
      </c>
      <c r="G125" s="55">
        <f t="shared" si="11"/>
        <v>9</v>
      </c>
      <c r="H125" s="55">
        <f t="shared" si="12"/>
        <v>10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3.5">
      <c r="A126" s="60">
        <v>1.0</v>
      </c>
      <c r="B126" s="5" t="s">
        <v>84</v>
      </c>
      <c r="C126" s="5" t="s">
        <v>85</v>
      </c>
      <c r="D126" s="55" t="str">
        <f>VLOOKUP($B126,Letters!$C$56:$D$79,2,FALSE) &amp; VLOOKUP($C126,Letters!$C$56:$D$79,2,FALSE)</f>
        <v>FG</v>
      </c>
      <c r="E126" s="5" t="s">
        <v>1521</v>
      </c>
      <c r="F126" s="5" t="s">
        <v>1522</v>
      </c>
      <c r="G126" s="55">
        <f t="shared" si="11"/>
        <v>8</v>
      </c>
      <c r="H126" s="55">
        <f t="shared" si="12"/>
        <v>8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3.5">
      <c r="A127" s="54"/>
      <c r="B127" s="5" t="s">
        <v>84</v>
      </c>
      <c r="C127" s="5" t="s">
        <v>86</v>
      </c>
      <c r="D127" s="55" t="str">
        <f>VLOOKUP($B127,Letters!$C$56:$D$79,2,FALSE) &amp; VLOOKUP($C127,Letters!$C$56:$D$79,2,FALSE)</f>
        <v>FH</v>
      </c>
      <c r="E127" s="5" t="s">
        <v>1523</v>
      </c>
      <c r="F127" s="5" t="s">
        <v>1524</v>
      </c>
      <c r="G127" s="55">
        <f t="shared" si="11"/>
        <v>9</v>
      </c>
      <c r="H127" s="55">
        <f t="shared" si="12"/>
        <v>10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3.5">
      <c r="A128" s="60"/>
      <c r="B128" s="5" t="s">
        <v>84</v>
      </c>
      <c r="C128" s="5" t="s">
        <v>87</v>
      </c>
      <c r="D128" s="55" t="str">
        <f>VLOOKUP($B128,Letters!$C$56:$D$79,2,FALSE) &amp; VLOOKUP($C128,Letters!$C$56:$D$79,2,FALSE)</f>
        <v>FX</v>
      </c>
      <c r="E128" s="5" t="s">
        <v>1525</v>
      </c>
      <c r="F128" s="5" t="s">
        <v>1526</v>
      </c>
      <c r="G128" s="55">
        <f t="shared" si="11"/>
        <v>11</v>
      </c>
      <c r="H128" s="55">
        <f t="shared" si="12"/>
        <v>14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3.5">
      <c r="A129" s="54"/>
      <c r="B129" s="5" t="s">
        <v>84</v>
      </c>
      <c r="C129" s="5" t="s">
        <v>89</v>
      </c>
      <c r="D129" s="55" t="str">
        <f>VLOOKUP($B129,Letters!$C$56:$D$79,2,FALSE) &amp; VLOOKUP($C129,Letters!$C$56:$D$79,2,FALSE)</f>
        <v>FJ</v>
      </c>
      <c r="E129" s="5" t="s">
        <v>1527</v>
      </c>
      <c r="F129" s="5" t="s">
        <v>1528</v>
      </c>
      <c r="G129" s="55">
        <f t="shared" si="11"/>
        <v>8</v>
      </c>
      <c r="H129" s="55">
        <f t="shared" si="12"/>
        <v>8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3.5">
      <c r="A130" s="60">
        <v>1.0</v>
      </c>
      <c r="B130" s="5" t="s">
        <v>84</v>
      </c>
      <c r="C130" s="5" t="s">
        <v>90</v>
      </c>
      <c r="D130" s="55" t="str">
        <f>VLOOKUP($B130,Letters!$C$56:$D$79,2,FALSE) &amp; VLOOKUP($C130,Letters!$C$56:$D$79,2,FALSE)</f>
        <v>FK</v>
      </c>
      <c r="E130" s="5" t="s">
        <v>1529</v>
      </c>
      <c r="F130" s="5" t="s">
        <v>1530</v>
      </c>
      <c r="G130" s="55">
        <f t="shared" si="11"/>
        <v>8</v>
      </c>
      <c r="H130" s="55">
        <f t="shared" si="12"/>
        <v>8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3.5">
      <c r="A131" s="60"/>
      <c r="B131" s="5" t="s">
        <v>84</v>
      </c>
      <c r="C131" s="5" t="s">
        <v>91</v>
      </c>
      <c r="D131" s="55" t="str">
        <f>VLOOKUP($B131,Letters!$C$56:$D$79,2,FALSE) &amp; VLOOKUP($C131,Letters!$C$56:$D$79,2,FALSE)</f>
        <v>FL</v>
      </c>
      <c r="E131" s="5" t="s">
        <v>1531</v>
      </c>
      <c r="F131" s="5" t="s">
        <v>1532</v>
      </c>
      <c r="G131" s="55">
        <f t="shared" si="11"/>
        <v>12</v>
      </c>
      <c r="H131" s="55">
        <f t="shared" si="12"/>
        <v>14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3.5">
      <c r="A132" s="54"/>
      <c r="B132" s="5" t="s">
        <v>84</v>
      </c>
      <c r="C132" s="5" t="s">
        <v>92</v>
      </c>
      <c r="D132" s="55" t="str">
        <f>VLOOKUP($B132,Letters!$C$56:$D$79,2,FALSE) &amp; VLOOKUP($C132,Letters!$C$56:$D$79,2,FALSE)</f>
        <v>FM</v>
      </c>
      <c r="E132" s="5" t="s">
        <v>1533</v>
      </c>
      <c r="F132" s="5" t="s">
        <v>1534</v>
      </c>
      <c r="G132" s="55">
        <f t="shared" si="11"/>
        <v>11</v>
      </c>
      <c r="H132" s="55">
        <f t="shared" si="12"/>
        <v>14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3.5">
      <c r="A133" s="54"/>
      <c r="B133" s="5" t="s">
        <v>84</v>
      </c>
      <c r="C133" s="5" t="s">
        <v>93</v>
      </c>
      <c r="D133" s="55" t="str">
        <f>VLOOKUP($B133,Letters!$C$56:$D$79,2,FALSE) &amp; VLOOKUP($C133,Letters!$C$56:$D$79,2,FALSE)</f>
        <v>FN</v>
      </c>
      <c r="E133" s="5" t="s">
        <v>1535</v>
      </c>
      <c r="F133" s="5" t="s">
        <v>1536</v>
      </c>
      <c r="G133" s="55">
        <f t="shared" si="11"/>
        <v>11</v>
      </c>
      <c r="H133" s="55">
        <f t="shared" si="12"/>
        <v>12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3.5">
      <c r="A134" s="54"/>
      <c r="B134" s="5" t="s">
        <v>84</v>
      </c>
      <c r="C134" s="5" t="s">
        <v>94</v>
      </c>
      <c r="D134" s="55" t="str">
        <f>VLOOKUP($B134,Letters!$C$56:$D$79,2,FALSE) &amp; VLOOKUP($C134,Letters!$C$56:$D$79,2,FALSE)</f>
        <v>FO</v>
      </c>
      <c r="E134" s="5" t="s">
        <v>1537</v>
      </c>
      <c r="F134" s="5" t="s">
        <v>1538</v>
      </c>
      <c r="G134" s="55">
        <f t="shared" si="11"/>
        <v>9</v>
      </c>
      <c r="H134" s="55">
        <f t="shared" si="12"/>
        <v>10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3.5">
      <c r="A135" s="54"/>
      <c r="B135" s="5" t="s">
        <v>84</v>
      </c>
      <c r="C135" s="5" t="s">
        <v>95</v>
      </c>
      <c r="D135" s="55" t="str">
        <f>VLOOKUP($B135,Letters!$C$56:$D$79,2,FALSE) &amp; VLOOKUP($C135,Letters!$C$56:$D$79,2,FALSE)</f>
        <v>FP</v>
      </c>
      <c r="E135" s="5" t="s">
        <v>1539</v>
      </c>
      <c r="F135" s="5" t="s">
        <v>1540</v>
      </c>
      <c r="G135" s="55">
        <f t="shared" si="11"/>
        <v>11</v>
      </c>
      <c r="H135" s="55">
        <f t="shared" si="12"/>
        <v>12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3.5">
      <c r="A136" s="54"/>
      <c r="B136" s="5" t="s">
        <v>84</v>
      </c>
      <c r="C136" s="5" t="s">
        <v>96</v>
      </c>
      <c r="D136" s="55" t="str">
        <f>VLOOKUP($B136,Letters!$C$56:$D$79,2,FALSE) &amp; VLOOKUP($C136,Letters!$C$56:$D$79,2,FALSE)</f>
        <v>FW</v>
      </c>
      <c r="E136" s="5" t="s">
        <v>1541</v>
      </c>
      <c r="F136" s="5" t="s">
        <v>1542</v>
      </c>
      <c r="G136" s="55">
        <f t="shared" si="11"/>
        <v>8</v>
      </c>
      <c r="H136" s="55">
        <f t="shared" si="12"/>
        <v>8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3.5">
      <c r="A137" s="54"/>
      <c r="B137" s="5" t="s">
        <v>84</v>
      </c>
      <c r="C137" s="5" t="s">
        <v>97</v>
      </c>
      <c r="D137" s="55" t="str">
        <f>VLOOKUP($B137,Letters!$C$56:$D$79,2,FALSE) &amp; VLOOKUP($C137,Letters!$C$56:$D$79,2,FALSE)</f>
        <v>FR</v>
      </c>
      <c r="E137" s="5" t="s">
        <v>1543</v>
      </c>
      <c r="F137" s="5" t="s">
        <v>1544</v>
      </c>
      <c r="G137" s="55">
        <f t="shared" si="11"/>
        <v>8</v>
      </c>
      <c r="H137" s="55">
        <f t="shared" si="12"/>
        <v>8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3.5">
      <c r="A138" s="54"/>
      <c r="B138" s="5" t="s">
        <v>84</v>
      </c>
      <c r="C138" s="5" t="s">
        <v>98</v>
      </c>
      <c r="D138" s="55" t="str">
        <f>VLOOKUP($B138,Letters!$C$56:$D$79,2,FALSE) &amp; VLOOKUP($C138,Letters!$C$56:$D$79,2,FALSE)</f>
        <v>FS</v>
      </c>
      <c r="E138" s="5" t="s">
        <v>1545</v>
      </c>
      <c r="F138" s="5" t="s">
        <v>1546</v>
      </c>
      <c r="G138" s="55">
        <f t="shared" si="11"/>
        <v>9</v>
      </c>
      <c r="H138" s="55">
        <f t="shared" si="12"/>
        <v>10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3.5">
      <c r="A139" s="60"/>
      <c r="B139" s="5" t="s">
        <v>84</v>
      </c>
      <c r="C139" s="5" t="s">
        <v>99</v>
      </c>
      <c r="D139" s="55" t="str">
        <f>VLOOKUP($B139,Letters!$C$56:$D$79,2,FALSE) &amp; VLOOKUP($C139,Letters!$C$56:$D$79,2,FALSE)</f>
        <v>FT</v>
      </c>
      <c r="E139" s="73" t="s">
        <v>1547</v>
      </c>
      <c r="F139" s="5" t="s">
        <v>1548</v>
      </c>
      <c r="G139" s="55">
        <f t="shared" si="11"/>
        <v>11</v>
      </c>
      <c r="H139" s="55">
        <f t="shared" si="12"/>
        <v>14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3.5">
      <c r="A140" s="54"/>
      <c r="B140" s="5" t="s">
        <v>84</v>
      </c>
      <c r="C140" s="5" t="s">
        <v>100</v>
      </c>
      <c r="D140" s="55" t="str">
        <f>VLOOKUP($B140,Letters!$C$56:$D$79,2,FALSE) &amp; VLOOKUP($C140,Letters!$C$56:$D$79,2,FALSE)</f>
        <v>FU</v>
      </c>
      <c r="E140" s="5" t="s">
        <v>1549</v>
      </c>
      <c r="F140" s="5" t="s">
        <v>1550</v>
      </c>
      <c r="G140" s="55">
        <f t="shared" si="11"/>
        <v>10</v>
      </c>
      <c r="H140" s="55">
        <f t="shared" si="12"/>
        <v>12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3.5">
      <c r="A141" s="54"/>
      <c r="B141" s="5" t="s">
        <v>84</v>
      </c>
      <c r="C141" s="5" t="s">
        <v>101</v>
      </c>
      <c r="D141" s="55" t="str">
        <f>VLOOKUP($B141,Letters!$C$56:$D$79,2,FALSE) &amp; VLOOKUP($C141,Letters!$C$56:$D$79,2,FALSE)</f>
        <v>FV</v>
      </c>
      <c r="E141" s="5" t="s">
        <v>1551</v>
      </c>
      <c r="F141" s="5" t="s">
        <v>1552</v>
      </c>
      <c r="G141" s="55">
        <f t="shared" si="11"/>
        <v>11</v>
      </c>
      <c r="H141" s="55">
        <f t="shared" si="12"/>
        <v>14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3.5">
      <c r="A142" s="54"/>
      <c r="B142" s="5" t="s">
        <v>84</v>
      </c>
      <c r="C142" s="5" t="s">
        <v>103</v>
      </c>
      <c r="D142" s="55" t="str">
        <f>VLOOKUP($B142,Letters!$C$56:$D$79,2,FALSE) &amp; VLOOKUP($C142,Letters!$C$56:$D$79,2,FALSE)</f>
        <v>FI</v>
      </c>
      <c r="E142" s="5" t="s">
        <v>1553</v>
      </c>
      <c r="F142" s="5" t="s">
        <v>1554</v>
      </c>
      <c r="G142" s="55">
        <f t="shared" si="11"/>
        <v>8</v>
      </c>
      <c r="H142" s="55">
        <f t="shared" si="12"/>
        <v>8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4"/>
      <c r="B143" s="5"/>
      <c r="C143" s="5"/>
      <c r="D143" s="55"/>
      <c r="E143" s="5"/>
      <c r="F143" s="5"/>
      <c r="G143" s="55"/>
      <c r="H143" s="5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3.5">
      <c r="A144" s="54"/>
      <c r="B144" s="5" t="s">
        <v>85</v>
      </c>
      <c r="C144" s="5" t="s">
        <v>78</v>
      </c>
      <c r="D144" s="55" t="str">
        <f>VLOOKUP($B144,Letters!$C$56:$D$79,2,FALSE) &amp; VLOOKUP($C144,Letters!$C$56:$D$79,2,FALSE)</f>
        <v>GA</v>
      </c>
      <c r="E144" s="5" t="s">
        <v>1555</v>
      </c>
      <c r="F144" s="5" t="s">
        <v>1556</v>
      </c>
      <c r="G144" s="55">
        <f t="shared" ref="G144:G165" si="13">(len($F144)-len(SUBSTITUTE($F144,"R","")))+(len($F144)-len(SUBSTITUTE($F144,"L","")))+(len($F144)-len(SUBSTITUTE($F144,"U","")))+(len($F144)-len(SUBSTITUTE($F144,"D","")))+(len($F144)-len(SUBSTITUTE($F144,"F","")))+(len($F144)-len(SUBSTITUTE($F144,"B","")))+(len($F144)-len(SUBSTITUTE($F144,"r","")))+(len($F144)-len(SUBSTITUTE($F144,"l","")))+(len($F144)-len(SUBSTITUTE($F144,"u","")))+(len($F144)-len(SUBSTITUTE($F144,"d","")))</f>
        <v>12</v>
      </c>
      <c r="H144" s="55">
        <f t="shared" ref="H144:H165" si="14">(len($F144)-len(SUBSTITUTE($F144,"R","")))+(len($F144)-len(SUBSTITUTE($F144,"L","")))+(len($F144)-len(SUBSTITUTE($F144,"U","")))+(len($F144)-len(SUBSTITUTE($F144,"D","")))+(len($F144)-len(SUBSTITUTE($F144,"F","")))+(len($F144)-len(SUBSTITUTE($F144,"B","")))+(len($F144)-len(SUBSTITUTE($F144,"r","")))+(len($F144)-len(SUBSTITUTE($F144,"l","")))+(len($F144)-len(SUBSTITUTE($F144,"u","")))+(len($F144)-len(SUBSTITUTE($F144,"d","")))+(len($F144)-len(SUBSTITUTE($F144,"2","")))</f>
        <v>13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3.5">
      <c r="A145" s="54"/>
      <c r="B145" s="5" t="s">
        <v>85</v>
      </c>
      <c r="C145" s="5" t="s">
        <v>80</v>
      </c>
      <c r="D145" s="55" t="str">
        <f>VLOOKUP($B145,Letters!$C$56:$D$79,2,FALSE) &amp; VLOOKUP($C145,Letters!$C$56:$D$79,2,FALSE)</f>
        <v>GB</v>
      </c>
      <c r="E145" s="5" t="s">
        <v>1557</v>
      </c>
      <c r="F145" s="5" t="s">
        <v>1558</v>
      </c>
      <c r="G145" s="55">
        <f t="shared" si="13"/>
        <v>13</v>
      </c>
      <c r="H145" s="55">
        <f t="shared" si="14"/>
        <v>18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3.5">
      <c r="A146" s="54"/>
      <c r="B146" s="5" t="s">
        <v>85</v>
      </c>
      <c r="C146" s="5" t="s">
        <v>81</v>
      </c>
      <c r="D146" s="55" t="str">
        <f>VLOOKUP($B146,Letters!$C$56:$D$79,2,FALSE) &amp; VLOOKUP($C146,Letters!$C$56:$D$79,2,FALSE)</f>
        <v>GC</v>
      </c>
      <c r="E146" s="5" t="s">
        <v>1559</v>
      </c>
      <c r="F146" s="5" t="s">
        <v>1560</v>
      </c>
      <c r="G146" s="55">
        <f t="shared" si="13"/>
        <v>10</v>
      </c>
      <c r="H146" s="55">
        <f t="shared" si="14"/>
        <v>12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3.5">
      <c r="A147" s="60"/>
      <c r="B147" s="5" t="s">
        <v>85</v>
      </c>
      <c r="C147" s="5" t="s">
        <v>82</v>
      </c>
      <c r="D147" s="55" t="str">
        <f>VLOOKUP($B147,Letters!$C$56:$D$79,2,FALSE) &amp; VLOOKUP($C147,Letters!$C$56:$D$79,2,FALSE)</f>
        <v>GD</v>
      </c>
      <c r="E147" s="5" t="s">
        <v>1561</v>
      </c>
      <c r="F147" s="5" t="s">
        <v>1562</v>
      </c>
      <c r="G147" s="55">
        <f t="shared" si="13"/>
        <v>10</v>
      </c>
      <c r="H147" s="55">
        <f t="shared" si="14"/>
        <v>12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3.5">
      <c r="A148" s="60">
        <v>1.0</v>
      </c>
      <c r="B148" s="5" t="s">
        <v>85</v>
      </c>
      <c r="C148" s="5" t="s">
        <v>83</v>
      </c>
      <c r="D148" s="55" t="str">
        <f>VLOOKUP($B148,Letters!$C$56:$D$79,2,FALSE) &amp; VLOOKUP($C148,Letters!$C$56:$D$79,2,FALSE)</f>
        <v>GE</v>
      </c>
      <c r="E148" s="5" t="s">
        <v>1563</v>
      </c>
      <c r="F148" s="5" t="s">
        <v>1564</v>
      </c>
      <c r="G148" s="55">
        <f t="shared" si="13"/>
        <v>8</v>
      </c>
      <c r="H148" s="55">
        <f t="shared" si="14"/>
        <v>10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3.5">
      <c r="A149" s="60">
        <v>1.0</v>
      </c>
      <c r="B149" s="5" t="s">
        <v>85</v>
      </c>
      <c r="C149" s="5" t="s">
        <v>84</v>
      </c>
      <c r="D149" s="55" t="str">
        <f>VLOOKUP($B149,Letters!$C$56:$D$79,2,FALSE) &amp; VLOOKUP($C149,Letters!$C$56:$D$79,2,FALSE)</f>
        <v>GF</v>
      </c>
      <c r="E149" s="5" t="s">
        <v>1565</v>
      </c>
      <c r="F149" s="5" t="s">
        <v>1566</v>
      </c>
      <c r="G149" s="55">
        <f t="shared" si="13"/>
        <v>8</v>
      </c>
      <c r="H149" s="55">
        <f t="shared" si="14"/>
        <v>8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3.5">
      <c r="A150" s="60">
        <v>1.0</v>
      </c>
      <c r="B150" s="5" t="s">
        <v>85</v>
      </c>
      <c r="C150" s="5" t="s">
        <v>86</v>
      </c>
      <c r="D150" s="55" t="str">
        <f>VLOOKUP($B150,Letters!$C$56:$D$79,2,FALSE) &amp; VLOOKUP($C150,Letters!$C$56:$D$79,2,FALSE)</f>
        <v>GH</v>
      </c>
      <c r="E150" s="5" t="s">
        <v>1567</v>
      </c>
      <c r="F150" s="5" t="s">
        <v>1568</v>
      </c>
      <c r="G150" s="55">
        <f t="shared" si="13"/>
        <v>8</v>
      </c>
      <c r="H150" s="55">
        <f t="shared" si="14"/>
        <v>8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26.25">
      <c r="A151" s="54"/>
      <c r="B151" s="5" t="s">
        <v>85</v>
      </c>
      <c r="C151" s="5" t="s">
        <v>87</v>
      </c>
      <c r="D151" s="55" t="str">
        <f>VLOOKUP($B151,Letters!$C$56:$D$79,2,FALSE) &amp; VLOOKUP($C151,Letters!$C$56:$D$79,2,FALSE)</f>
        <v>GX</v>
      </c>
      <c r="E151" s="5" t="s">
        <v>1569</v>
      </c>
      <c r="F151" s="5" t="s">
        <v>1570</v>
      </c>
      <c r="G151" s="55">
        <f t="shared" si="13"/>
        <v>15</v>
      </c>
      <c r="H151" s="55">
        <f t="shared" si="14"/>
        <v>21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3.5">
      <c r="A152" s="54"/>
      <c r="B152" s="5" t="s">
        <v>85</v>
      </c>
      <c r="C152" s="5" t="s">
        <v>89</v>
      </c>
      <c r="D152" s="55" t="str">
        <f>VLOOKUP($B152,Letters!$C$56:$D$79,2,FALSE) &amp; VLOOKUP($C152,Letters!$C$56:$D$79,2,FALSE)</f>
        <v>GJ</v>
      </c>
      <c r="E152" s="5" t="s">
        <v>1571</v>
      </c>
      <c r="F152" s="5" t="s">
        <v>1572</v>
      </c>
      <c r="G152" s="55">
        <f t="shared" si="13"/>
        <v>10</v>
      </c>
      <c r="H152" s="55">
        <f t="shared" si="14"/>
        <v>10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3.5">
      <c r="A153" s="54"/>
      <c r="B153" s="5" t="s">
        <v>85</v>
      </c>
      <c r="C153" s="5" t="s">
        <v>90</v>
      </c>
      <c r="D153" s="55" t="str">
        <f>VLOOKUP($B153,Letters!$C$56:$D$79,2,FALSE) &amp; VLOOKUP($C153,Letters!$C$56:$D$79,2,FALSE)</f>
        <v>GK</v>
      </c>
      <c r="E153" s="5" t="s">
        <v>1573</v>
      </c>
      <c r="F153" s="5" t="s">
        <v>1574</v>
      </c>
      <c r="G153" s="55">
        <f t="shared" si="13"/>
        <v>9</v>
      </c>
      <c r="H153" s="55">
        <f t="shared" si="14"/>
        <v>9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3.5">
      <c r="A154" s="54"/>
      <c r="B154" s="5" t="s">
        <v>85</v>
      </c>
      <c r="C154" s="5" t="s">
        <v>91</v>
      </c>
      <c r="D154" s="55" t="str">
        <f>VLOOKUP($B154,Letters!$C$56:$D$79,2,FALSE) &amp; VLOOKUP($C154,Letters!$C$56:$D$79,2,FALSE)</f>
        <v>GL</v>
      </c>
      <c r="E154" s="5" t="s">
        <v>1575</v>
      </c>
      <c r="F154" s="5" t="s">
        <v>1576</v>
      </c>
      <c r="G154" s="55">
        <f t="shared" si="13"/>
        <v>10</v>
      </c>
      <c r="H154" s="55">
        <f t="shared" si="14"/>
        <v>10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3.5">
      <c r="A155" s="54"/>
      <c r="B155" s="5" t="s">
        <v>85</v>
      </c>
      <c r="C155" s="5" t="s">
        <v>92</v>
      </c>
      <c r="D155" s="55" t="str">
        <f>VLOOKUP($B155,Letters!$C$56:$D$79,2,FALSE) &amp; VLOOKUP($C155,Letters!$C$56:$D$79,2,FALSE)</f>
        <v>GM</v>
      </c>
      <c r="E155" s="5" t="s">
        <v>1577</v>
      </c>
      <c r="F155" s="5" t="s">
        <v>1578</v>
      </c>
      <c r="G155" s="55">
        <f t="shared" si="13"/>
        <v>9</v>
      </c>
      <c r="H155" s="55">
        <f t="shared" si="14"/>
        <v>12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3.5">
      <c r="A156" s="54"/>
      <c r="B156" s="5" t="s">
        <v>85</v>
      </c>
      <c r="C156" s="5" t="s">
        <v>93</v>
      </c>
      <c r="D156" s="55" t="str">
        <f>VLOOKUP($B156,Letters!$C$56:$D$79,2,FALSE) &amp; VLOOKUP($C156,Letters!$C$56:$D$79,2,FALSE)</f>
        <v>GN</v>
      </c>
      <c r="E156" s="5" t="s">
        <v>1579</v>
      </c>
      <c r="F156" s="5" t="s">
        <v>1580</v>
      </c>
      <c r="G156" s="55">
        <f t="shared" si="13"/>
        <v>9</v>
      </c>
      <c r="H156" s="55">
        <f t="shared" si="14"/>
        <v>10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3.5">
      <c r="A157" s="54"/>
      <c r="B157" s="5" t="s">
        <v>85</v>
      </c>
      <c r="C157" s="5" t="s">
        <v>94</v>
      </c>
      <c r="D157" s="55" t="str">
        <f>VLOOKUP($B157,Letters!$C$56:$D$79,2,FALSE) &amp; VLOOKUP($C157,Letters!$C$56:$D$79,2,FALSE)</f>
        <v>GO</v>
      </c>
      <c r="E157" s="5" t="s">
        <v>1581</v>
      </c>
      <c r="F157" s="5" t="s">
        <v>1582</v>
      </c>
      <c r="G157" s="55">
        <f t="shared" si="13"/>
        <v>11</v>
      </c>
      <c r="H157" s="55">
        <f t="shared" si="14"/>
        <v>12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3.5">
      <c r="A158" s="60"/>
      <c r="B158" s="5" t="s">
        <v>85</v>
      </c>
      <c r="C158" s="5" t="s">
        <v>95</v>
      </c>
      <c r="D158" s="55" t="str">
        <f>VLOOKUP($B158,Letters!$C$56:$D$79,2,FALSE) &amp; VLOOKUP($C158,Letters!$C$56:$D$79,2,FALSE)</f>
        <v>GP</v>
      </c>
      <c r="E158" s="5" t="s">
        <v>1583</v>
      </c>
      <c r="F158" s="5" t="s">
        <v>1584</v>
      </c>
      <c r="G158" s="55">
        <f t="shared" si="13"/>
        <v>9</v>
      </c>
      <c r="H158" s="55">
        <f t="shared" si="14"/>
        <v>10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3.5">
      <c r="A159" s="54"/>
      <c r="B159" s="5" t="s">
        <v>85</v>
      </c>
      <c r="C159" s="5" t="s">
        <v>96</v>
      </c>
      <c r="D159" s="55" t="str">
        <f>VLOOKUP($B159,Letters!$C$56:$D$79,2,FALSE) &amp; VLOOKUP($C159,Letters!$C$56:$D$79,2,FALSE)</f>
        <v>GW</v>
      </c>
      <c r="E159" s="5" t="s">
        <v>1585</v>
      </c>
      <c r="F159" s="5" t="s">
        <v>1586</v>
      </c>
      <c r="G159" s="55">
        <f t="shared" si="13"/>
        <v>8</v>
      </c>
      <c r="H159" s="55">
        <f t="shared" si="14"/>
        <v>10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3.5">
      <c r="A160" s="54"/>
      <c r="B160" s="5" t="s">
        <v>85</v>
      </c>
      <c r="C160" s="5" t="s">
        <v>97</v>
      </c>
      <c r="D160" s="55" t="str">
        <f>VLOOKUP($B160,Letters!$C$56:$D$79,2,FALSE) &amp; VLOOKUP($C160,Letters!$C$56:$D$79,2,FALSE)</f>
        <v>GR</v>
      </c>
      <c r="E160" s="5" t="s">
        <v>1587</v>
      </c>
      <c r="F160" s="5" t="s">
        <v>1588</v>
      </c>
      <c r="G160" s="55">
        <f t="shared" si="13"/>
        <v>10</v>
      </c>
      <c r="H160" s="55">
        <f t="shared" si="14"/>
        <v>10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3.5">
      <c r="A161" s="54"/>
      <c r="B161" s="5" t="s">
        <v>85</v>
      </c>
      <c r="C161" s="5" t="s">
        <v>98</v>
      </c>
      <c r="D161" s="55" t="str">
        <f>VLOOKUP($B161,Letters!$C$56:$D$79,2,FALSE) &amp; VLOOKUP($C161,Letters!$C$56:$D$79,2,FALSE)</f>
        <v>GS</v>
      </c>
      <c r="E161" s="5" t="s">
        <v>1589</v>
      </c>
      <c r="F161" s="5" t="s">
        <v>1590</v>
      </c>
      <c r="G161" s="55">
        <f t="shared" si="13"/>
        <v>8</v>
      </c>
      <c r="H161" s="55">
        <f t="shared" si="14"/>
        <v>10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3.5">
      <c r="A162" s="60"/>
      <c r="B162" s="5" t="s">
        <v>85</v>
      </c>
      <c r="C162" s="5" t="s">
        <v>99</v>
      </c>
      <c r="D162" s="55" t="str">
        <f>VLOOKUP($B162,Letters!$C$56:$D$79,2,FALSE) &amp; VLOOKUP($C162,Letters!$C$56:$D$79,2,FALSE)</f>
        <v>GT</v>
      </c>
      <c r="E162" s="5" t="s">
        <v>1591</v>
      </c>
      <c r="F162" s="5" t="s">
        <v>1592</v>
      </c>
      <c r="G162" s="55">
        <f t="shared" si="13"/>
        <v>10</v>
      </c>
      <c r="H162" s="55">
        <f t="shared" si="14"/>
        <v>10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3.5">
      <c r="A163" s="54"/>
      <c r="B163" s="5" t="s">
        <v>85</v>
      </c>
      <c r="C163" s="5" t="s">
        <v>100</v>
      </c>
      <c r="D163" s="55" t="str">
        <f>VLOOKUP($B163,Letters!$C$56:$D$79,2,FALSE) &amp; VLOOKUP($C163,Letters!$C$56:$D$79,2,FALSE)</f>
        <v>GU</v>
      </c>
      <c r="E163" s="5" t="s">
        <v>1593</v>
      </c>
      <c r="F163" s="5" t="s">
        <v>1594</v>
      </c>
      <c r="G163" s="55">
        <f t="shared" si="13"/>
        <v>8</v>
      </c>
      <c r="H163" s="55">
        <f t="shared" si="14"/>
        <v>10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3.5">
      <c r="A164" s="54"/>
      <c r="B164" s="5" t="s">
        <v>85</v>
      </c>
      <c r="C164" s="5" t="s">
        <v>101</v>
      </c>
      <c r="D164" s="55" t="str">
        <f>VLOOKUP($B164,Letters!$C$56:$D$79,2,FALSE) &amp; VLOOKUP($C164,Letters!$C$56:$D$79,2,FALSE)</f>
        <v>GV</v>
      </c>
      <c r="E164" s="5" t="s">
        <v>1595</v>
      </c>
      <c r="F164" s="5" t="s">
        <v>1596</v>
      </c>
      <c r="G164" s="55">
        <f t="shared" si="13"/>
        <v>8</v>
      </c>
      <c r="H164" s="55">
        <f t="shared" si="14"/>
        <v>8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3.5">
      <c r="A165" s="54"/>
      <c r="B165" s="5" t="s">
        <v>85</v>
      </c>
      <c r="C165" s="5" t="s">
        <v>103</v>
      </c>
      <c r="D165" s="55" t="str">
        <f>VLOOKUP($B165,Letters!$C$56:$D$79,2,FALSE) &amp; VLOOKUP($C165,Letters!$C$56:$D$79,2,FALSE)</f>
        <v>GI</v>
      </c>
      <c r="E165" s="5" t="s">
        <v>1597</v>
      </c>
      <c r="F165" s="5" t="s">
        <v>1598</v>
      </c>
      <c r="G165" s="55">
        <f t="shared" si="13"/>
        <v>8</v>
      </c>
      <c r="H165" s="55">
        <f t="shared" si="14"/>
        <v>8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4"/>
      <c r="B166" s="5"/>
      <c r="C166" s="5"/>
      <c r="D166" s="55"/>
      <c r="E166" s="5"/>
      <c r="F166" s="5"/>
      <c r="G166" s="55"/>
      <c r="H166" s="5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3.5">
      <c r="A167" s="54"/>
      <c r="B167" s="5" t="s">
        <v>86</v>
      </c>
      <c r="C167" s="5" t="s">
        <v>78</v>
      </c>
      <c r="D167" s="55" t="str">
        <f>VLOOKUP($B167,Letters!$C$56:$D$79,2,FALSE) &amp; VLOOKUP($C167,Letters!$C$56:$D$79,2,FALSE)</f>
        <v>HA</v>
      </c>
      <c r="E167" s="5" t="s">
        <v>1599</v>
      </c>
      <c r="F167" s="5" t="s">
        <v>1600</v>
      </c>
      <c r="G167" s="55">
        <f t="shared" ref="G167:G188" si="15">(len($F167)-len(SUBSTITUTE($F167,"R","")))+(len($F167)-len(SUBSTITUTE($F167,"L","")))+(len($F167)-len(SUBSTITUTE($F167,"U","")))+(len($F167)-len(SUBSTITUTE($F167,"D","")))+(len($F167)-len(SUBSTITUTE($F167,"F","")))+(len($F167)-len(SUBSTITUTE($F167,"B","")))+(len($F167)-len(SUBSTITUTE($F167,"r","")))+(len($F167)-len(SUBSTITUTE($F167,"l","")))+(len($F167)-len(SUBSTITUTE($F167,"u","")))+(len($F167)-len(SUBSTITUTE($F167,"d","")))</f>
        <v>10</v>
      </c>
      <c r="H167" s="55">
        <f t="shared" ref="H167:H188" si="16">(len($F167)-len(SUBSTITUTE($F167,"R","")))+(len($F167)-len(SUBSTITUTE($F167,"L","")))+(len($F167)-len(SUBSTITUTE($F167,"U","")))+(len($F167)-len(SUBSTITUTE($F167,"D","")))+(len($F167)-len(SUBSTITUTE($F167,"F","")))+(len($F167)-len(SUBSTITUTE($F167,"B","")))+(len($F167)-len(SUBSTITUTE($F167,"r","")))+(len($F167)-len(SUBSTITUTE($F167,"l","")))+(len($F167)-len(SUBSTITUTE($F167,"u","")))+(len($F167)-len(SUBSTITUTE($F167,"d","")))+(len($F167)-len(SUBSTITUTE($F167,"2","")))</f>
        <v>12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3.5">
      <c r="A168" s="60"/>
      <c r="B168" s="5" t="s">
        <v>86</v>
      </c>
      <c r="C168" s="5" t="s">
        <v>80</v>
      </c>
      <c r="D168" s="55" t="str">
        <f>VLOOKUP($B168,Letters!$C$56:$D$79,2,FALSE) &amp; VLOOKUP($C168,Letters!$C$56:$D$79,2,FALSE)</f>
        <v>HB</v>
      </c>
      <c r="E168" s="5" t="s">
        <v>1601</v>
      </c>
      <c r="F168" s="5" t="s">
        <v>1602</v>
      </c>
      <c r="G168" s="55">
        <f t="shared" si="15"/>
        <v>11</v>
      </c>
      <c r="H168" s="55">
        <f t="shared" si="16"/>
        <v>12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>
      <c r="A169" s="60"/>
      <c r="B169" s="5" t="s">
        <v>86</v>
      </c>
      <c r="C169" s="5" t="s">
        <v>81</v>
      </c>
      <c r="D169" s="55" t="str">
        <f>VLOOKUP($B169,Letters!$C$56:$D$79,2,FALSE) &amp; VLOOKUP($C169,Letters!$C$56:$D$79,2,FALSE)</f>
        <v>HC</v>
      </c>
      <c r="E169" s="5" t="s">
        <v>1603</v>
      </c>
      <c r="F169" s="5" t="s">
        <v>1604</v>
      </c>
      <c r="G169" s="55">
        <f t="shared" si="15"/>
        <v>9</v>
      </c>
      <c r="H169" s="55">
        <f t="shared" si="16"/>
        <v>10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3.5">
      <c r="A170" s="60"/>
      <c r="B170" s="5" t="s">
        <v>86</v>
      </c>
      <c r="C170" s="5" t="s">
        <v>82</v>
      </c>
      <c r="D170" s="55" t="str">
        <f>VLOOKUP($B170,Letters!$C$56:$D$79,2,FALSE) &amp; VLOOKUP($C170,Letters!$C$56:$D$79,2,FALSE)</f>
        <v>HD</v>
      </c>
      <c r="E170" s="5" t="s">
        <v>1605</v>
      </c>
      <c r="F170" s="5" t="s">
        <v>1606</v>
      </c>
      <c r="G170" s="55">
        <f t="shared" si="15"/>
        <v>11</v>
      </c>
      <c r="H170" s="55">
        <f t="shared" si="16"/>
        <v>12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3.5">
      <c r="A171" s="60"/>
      <c r="B171" s="5" t="s">
        <v>86</v>
      </c>
      <c r="C171" s="5" t="s">
        <v>83</v>
      </c>
      <c r="D171" s="55" t="str">
        <f>VLOOKUP($B171,Letters!$C$56:$D$79,2,FALSE) &amp; VLOOKUP($C171,Letters!$C$56:$D$79,2,FALSE)</f>
        <v>HE</v>
      </c>
      <c r="E171" s="5" t="s">
        <v>1607</v>
      </c>
      <c r="F171" s="5" t="s">
        <v>1608</v>
      </c>
      <c r="G171" s="55">
        <f t="shared" si="15"/>
        <v>9</v>
      </c>
      <c r="H171" s="55">
        <f t="shared" si="16"/>
        <v>10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3.5">
      <c r="A172" s="54"/>
      <c r="B172" s="5" t="s">
        <v>86</v>
      </c>
      <c r="C172" s="5" t="s">
        <v>84</v>
      </c>
      <c r="D172" s="55" t="str">
        <f>VLOOKUP($B172,Letters!$C$56:$D$79,2,FALSE) &amp; VLOOKUP($C172,Letters!$C$56:$D$79,2,FALSE)</f>
        <v>HF</v>
      </c>
      <c r="E172" s="5" t="s">
        <v>1609</v>
      </c>
      <c r="F172" s="5" t="s">
        <v>1610</v>
      </c>
      <c r="G172" s="55">
        <f t="shared" si="15"/>
        <v>9</v>
      </c>
      <c r="H172" s="55">
        <f t="shared" si="16"/>
        <v>10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3.5">
      <c r="A173" s="54"/>
      <c r="B173" s="5" t="s">
        <v>86</v>
      </c>
      <c r="C173" s="5" t="s">
        <v>85</v>
      </c>
      <c r="D173" s="55" t="str">
        <f>VLOOKUP($B173,Letters!$C$56:$D$79,2,FALSE) &amp; VLOOKUP($C173,Letters!$C$56:$D$79,2,FALSE)</f>
        <v>HG</v>
      </c>
      <c r="E173" s="5" t="s">
        <v>1611</v>
      </c>
      <c r="F173" s="5" t="s">
        <v>1612</v>
      </c>
      <c r="G173" s="55">
        <f t="shared" si="15"/>
        <v>8</v>
      </c>
      <c r="H173" s="55">
        <f t="shared" si="16"/>
        <v>8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3.5">
      <c r="A174" s="54"/>
      <c r="B174" s="5" t="s">
        <v>86</v>
      </c>
      <c r="C174" s="5" t="s">
        <v>87</v>
      </c>
      <c r="D174" s="55" t="str">
        <f>VLOOKUP($B174,Letters!$C$56:$D$79,2,FALSE) &amp; VLOOKUP($C174,Letters!$C$56:$D$79,2,FALSE)</f>
        <v>HX</v>
      </c>
      <c r="E174" s="5" t="s">
        <v>1613</v>
      </c>
      <c r="F174" s="5" t="s">
        <v>1614</v>
      </c>
      <c r="G174" s="55">
        <f t="shared" si="15"/>
        <v>11</v>
      </c>
      <c r="H174" s="55">
        <f t="shared" si="16"/>
        <v>14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3.5">
      <c r="A175" s="54"/>
      <c r="B175" s="5" t="s">
        <v>86</v>
      </c>
      <c r="C175" s="5" t="s">
        <v>89</v>
      </c>
      <c r="D175" s="55" t="str">
        <f>VLOOKUP($B175,Letters!$C$56:$D$79,2,FALSE) &amp; VLOOKUP($C175,Letters!$C$56:$D$79,2,FALSE)</f>
        <v>HJ</v>
      </c>
      <c r="E175" s="5" t="s">
        <v>1615</v>
      </c>
      <c r="F175" s="5" t="s">
        <v>1616</v>
      </c>
      <c r="G175" s="55">
        <f t="shared" si="15"/>
        <v>11</v>
      </c>
      <c r="H175" s="55">
        <f t="shared" si="16"/>
        <v>12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3.5">
      <c r="A176" s="60">
        <v>1.0</v>
      </c>
      <c r="B176" s="5" t="s">
        <v>86</v>
      </c>
      <c r="C176" s="5" t="s">
        <v>90</v>
      </c>
      <c r="D176" s="55" t="str">
        <f>VLOOKUP($B176,Letters!$C$56:$D$79,2,FALSE) &amp; VLOOKUP($C176,Letters!$C$56:$D$79,2,FALSE)</f>
        <v>HK</v>
      </c>
      <c r="E176" s="5" t="s">
        <v>1617</v>
      </c>
      <c r="F176" s="5" t="s">
        <v>1618</v>
      </c>
      <c r="G176" s="55">
        <f t="shared" si="15"/>
        <v>8</v>
      </c>
      <c r="H176" s="55">
        <f t="shared" si="16"/>
        <v>8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3.5">
      <c r="A177" s="60"/>
      <c r="B177" s="5" t="s">
        <v>86</v>
      </c>
      <c r="C177" s="5" t="s">
        <v>91</v>
      </c>
      <c r="D177" s="55" t="str">
        <f>VLOOKUP($B177,Letters!$C$56:$D$79,2,FALSE) &amp; VLOOKUP($C177,Letters!$C$56:$D$79,2,FALSE)</f>
        <v>HL</v>
      </c>
      <c r="E177" s="5" t="s">
        <v>1619</v>
      </c>
      <c r="F177" s="5" t="s">
        <v>1620</v>
      </c>
      <c r="G177" s="55">
        <f t="shared" si="15"/>
        <v>8</v>
      </c>
      <c r="H177" s="55">
        <f t="shared" si="16"/>
        <v>8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3.5">
      <c r="A178" s="54"/>
      <c r="B178" s="5" t="s">
        <v>86</v>
      </c>
      <c r="C178" s="5" t="s">
        <v>92</v>
      </c>
      <c r="D178" s="55" t="str">
        <f>VLOOKUP($B178,Letters!$C$56:$D$79,2,FALSE) &amp; VLOOKUP($C178,Letters!$C$56:$D$79,2,FALSE)</f>
        <v>HM</v>
      </c>
      <c r="E178" s="5" t="s">
        <v>1621</v>
      </c>
      <c r="F178" s="5" t="s">
        <v>1622</v>
      </c>
      <c r="G178" s="55">
        <f t="shared" si="15"/>
        <v>11</v>
      </c>
      <c r="H178" s="55">
        <f t="shared" si="16"/>
        <v>14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3.5">
      <c r="A179" s="54"/>
      <c r="B179" s="5" t="s">
        <v>86</v>
      </c>
      <c r="C179" s="5" t="s">
        <v>93</v>
      </c>
      <c r="D179" s="55" t="str">
        <f>VLOOKUP($B179,Letters!$C$56:$D$79,2,FALSE) &amp; VLOOKUP($C179,Letters!$C$56:$D$79,2,FALSE)</f>
        <v>HN</v>
      </c>
      <c r="E179" s="5" t="s">
        <v>1623</v>
      </c>
      <c r="F179" s="5" t="s">
        <v>1624</v>
      </c>
      <c r="G179" s="55">
        <f t="shared" si="15"/>
        <v>11</v>
      </c>
      <c r="H179" s="55">
        <f t="shared" si="16"/>
        <v>12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3.5">
      <c r="A180" s="54"/>
      <c r="B180" s="5" t="s">
        <v>86</v>
      </c>
      <c r="C180" s="5" t="s">
        <v>94</v>
      </c>
      <c r="D180" s="55" t="str">
        <f>VLOOKUP($B180,Letters!$C$56:$D$79,2,FALSE) &amp; VLOOKUP($C180,Letters!$C$56:$D$79,2,FALSE)</f>
        <v>HO</v>
      </c>
      <c r="E180" s="5" t="s">
        <v>1625</v>
      </c>
      <c r="F180" s="67" t="s">
        <v>1626</v>
      </c>
      <c r="G180" s="55">
        <f t="shared" si="15"/>
        <v>9</v>
      </c>
      <c r="H180" s="55">
        <f t="shared" si="16"/>
        <v>10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3.5">
      <c r="A181" s="60"/>
      <c r="B181" s="5" t="s">
        <v>86</v>
      </c>
      <c r="C181" s="5" t="s">
        <v>95</v>
      </c>
      <c r="D181" s="55" t="str">
        <f>VLOOKUP($B181,Letters!$C$56:$D$79,2,FALSE) &amp; VLOOKUP($C181,Letters!$C$56:$D$79,2,FALSE)</f>
        <v>HP</v>
      </c>
      <c r="E181" s="5" t="s">
        <v>1627</v>
      </c>
      <c r="F181" s="5" t="s">
        <v>1628</v>
      </c>
      <c r="G181" s="55">
        <f t="shared" si="15"/>
        <v>11</v>
      </c>
      <c r="H181" s="55">
        <f t="shared" si="16"/>
        <v>12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3.5">
      <c r="A182" s="54"/>
      <c r="B182" s="5" t="s">
        <v>86</v>
      </c>
      <c r="C182" s="5" t="s">
        <v>96</v>
      </c>
      <c r="D182" s="55" t="str">
        <f>VLOOKUP($B182,Letters!$C$56:$D$79,2,FALSE) &amp; VLOOKUP($C182,Letters!$C$56:$D$79,2,FALSE)</f>
        <v>HW</v>
      </c>
      <c r="E182" s="5" t="s">
        <v>1629</v>
      </c>
      <c r="F182" s="5" t="s">
        <v>1630</v>
      </c>
      <c r="G182" s="55">
        <f t="shared" si="15"/>
        <v>8</v>
      </c>
      <c r="H182" s="55">
        <f t="shared" si="16"/>
        <v>8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3.5">
      <c r="A183" s="54"/>
      <c r="B183" s="5" t="s">
        <v>86</v>
      </c>
      <c r="C183" s="5" t="s">
        <v>97</v>
      </c>
      <c r="D183" s="55" t="str">
        <f>VLOOKUP($B183,Letters!$C$56:$D$79,2,FALSE) &amp; VLOOKUP($C183,Letters!$C$56:$D$79,2,FALSE)</f>
        <v>HR</v>
      </c>
      <c r="E183" s="5" t="s">
        <v>1631</v>
      </c>
      <c r="F183" s="5" t="s">
        <v>1632</v>
      </c>
      <c r="G183" s="55">
        <f t="shared" si="15"/>
        <v>8</v>
      </c>
      <c r="H183" s="55">
        <f t="shared" si="16"/>
        <v>8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3.5">
      <c r="A184" s="54"/>
      <c r="B184" s="5" t="s">
        <v>86</v>
      </c>
      <c r="C184" s="5" t="s">
        <v>98</v>
      </c>
      <c r="D184" s="55" t="str">
        <f>VLOOKUP($B184,Letters!$C$56:$D$79,2,FALSE) &amp; VLOOKUP($C184,Letters!$C$56:$D$79,2,FALSE)</f>
        <v>HS</v>
      </c>
      <c r="E184" s="5" t="s">
        <v>1633</v>
      </c>
      <c r="F184" s="5" t="s">
        <v>1634</v>
      </c>
      <c r="G184" s="55">
        <f t="shared" si="15"/>
        <v>9</v>
      </c>
      <c r="H184" s="55">
        <f t="shared" si="16"/>
        <v>10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3.5">
      <c r="A185" s="54"/>
      <c r="B185" s="5" t="s">
        <v>86</v>
      </c>
      <c r="C185" s="5" t="s">
        <v>99</v>
      </c>
      <c r="D185" s="55" t="str">
        <f>VLOOKUP($B185,Letters!$C$56:$D$79,2,FALSE) &amp; VLOOKUP($C185,Letters!$C$56:$D$79,2,FALSE)</f>
        <v>HT</v>
      </c>
      <c r="E185" s="5" t="s">
        <v>1635</v>
      </c>
      <c r="F185" s="5" t="s">
        <v>1636</v>
      </c>
      <c r="G185" s="55">
        <f t="shared" si="15"/>
        <v>8</v>
      </c>
      <c r="H185" s="55">
        <f t="shared" si="16"/>
        <v>8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3.5">
      <c r="A186" s="60"/>
      <c r="B186" s="5" t="s">
        <v>86</v>
      </c>
      <c r="C186" s="5" t="s">
        <v>100</v>
      </c>
      <c r="D186" s="55" t="str">
        <f>VLOOKUP($B186,Letters!$C$56:$D$79,2,FALSE) &amp; VLOOKUP($C186,Letters!$C$56:$D$79,2,FALSE)</f>
        <v>HU</v>
      </c>
      <c r="E186" s="5" t="s">
        <v>1637</v>
      </c>
      <c r="F186" s="5" t="s">
        <v>1638</v>
      </c>
      <c r="G186" s="55">
        <f t="shared" si="15"/>
        <v>10</v>
      </c>
      <c r="H186" s="55">
        <f t="shared" si="16"/>
        <v>12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3.5">
      <c r="A187" s="54"/>
      <c r="B187" s="5" t="s">
        <v>86</v>
      </c>
      <c r="C187" s="5" t="s">
        <v>101</v>
      </c>
      <c r="D187" s="55" t="str">
        <f>VLOOKUP($B187,Letters!$C$56:$D$79,2,FALSE) &amp; VLOOKUP($C187,Letters!$C$56:$D$79,2,FALSE)</f>
        <v>HV</v>
      </c>
      <c r="E187" s="5" t="s">
        <v>1639</v>
      </c>
      <c r="F187" s="5" t="s">
        <v>1640</v>
      </c>
      <c r="G187" s="55">
        <f t="shared" si="15"/>
        <v>12</v>
      </c>
      <c r="H187" s="55">
        <f t="shared" si="16"/>
        <v>12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3.5">
      <c r="A188" s="60"/>
      <c r="B188" s="5" t="s">
        <v>86</v>
      </c>
      <c r="C188" s="5" t="s">
        <v>103</v>
      </c>
      <c r="D188" s="55" t="str">
        <f>VLOOKUP($B188,Letters!$C$56:$D$79,2,FALSE) &amp; VLOOKUP($C188,Letters!$C$56:$D$79,2,FALSE)</f>
        <v>HI</v>
      </c>
      <c r="E188" s="5" t="s">
        <v>1641</v>
      </c>
      <c r="F188" s="5" t="s">
        <v>1642</v>
      </c>
      <c r="G188" s="55">
        <f t="shared" si="15"/>
        <v>8</v>
      </c>
      <c r="H188" s="55">
        <f t="shared" si="16"/>
        <v>8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60"/>
      <c r="B189" s="5"/>
      <c r="C189" s="5"/>
      <c r="D189" s="55"/>
      <c r="E189" s="5"/>
      <c r="F189" s="5"/>
      <c r="G189" s="55"/>
      <c r="H189" s="5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3.5">
      <c r="A190" s="54"/>
      <c r="B190" s="5" t="s">
        <v>87</v>
      </c>
      <c r="C190" s="5" t="s">
        <v>78</v>
      </c>
      <c r="D190" s="55" t="str">
        <f>VLOOKUP($B190,Letters!$C$56:$D$79,2,FALSE) &amp; VLOOKUP($C190,Letters!$C$56:$D$79,2,FALSE)</f>
        <v>XA</v>
      </c>
      <c r="E190" s="5" t="s">
        <v>1643</v>
      </c>
      <c r="F190" s="5" t="s">
        <v>1644</v>
      </c>
      <c r="G190" s="55">
        <f t="shared" ref="G190:G211" si="17">(len($F190)-len(SUBSTITUTE($F190,"R","")))+(len($F190)-len(SUBSTITUTE($F190,"L","")))+(len($F190)-len(SUBSTITUTE($F190,"U","")))+(len($F190)-len(SUBSTITUTE($F190,"D","")))+(len($F190)-len(SUBSTITUTE($F190,"F","")))+(len($F190)-len(SUBSTITUTE($F190,"B","")))+(len($F190)-len(SUBSTITUTE($F190,"r","")))+(len($F190)-len(SUBSTITUTE($F190,"l","")))+(len($F190)-len(SUBSTITUTE($F190,"u","")))+(len($F190)-len(SUBSTITUTE($F190,"d","")))</f>
        <v>9</v>
      </c>
      <c r="H190" s="55">
        <f t="shared" ref="H190:H211" si="18">(len($F190)-len(SUBSTITUTE($F190,"R","")))+(len($F190)-len(SUBSTITUTE($F190,"L","")))+(len($F190)-len(SUBSTITUTE($F190,"U","")))+(len($F190)-len(SUBSTITUTE($F190,"D","")))+(len($F190)-len(SUBSTITUTE($F190,"F","")))+(len($F190)-len(SUBSTITUTE($F190,"B","")))+(len($F190)-len(SUBSTITUTE($F190,"r","")))+(len($F190)-len(SUBSTITUTE($F190,"l","")))+(len($F190)-len(SUBSTITUTE($F190,"u","")))+(len($F190)-len(SUBSTITUTE($F190,"d","")))+(len($F190)-len(SUBSTITUTE($F190,"2","")))</f>
        <v>14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3.5">
      <c r="A191" s="60"/>
      <c r="B191" s="5" t="s">
        <v>87</v>
      </c>
      <c r="C191" s="5" t="s">
        <v>80</v>
      </c>
      <c r="D191" s="55" t="str">
        <f>VLOOKUP($B191,Letters!$C$56:$D$79,2,FALSE) &amp; VLOOKUP($C191,Letters!$C$56:$D$79,2,FALSE)</f>
        <v>XB</v>
      </c>
      <c r="E191" s="5" t="s">
        <v>1645</v>
      </c>
      <c r="F191" s="5" t="s">
        <v>1646</v>
      </c>
      <c r="G191" s="55">
        <f t="shared" si="17"/>
        <v>9</v>
      </c>
      <c r="H191" s="55">
        <f t="shared" si="18"/>
        <v>12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3.5">
      <c r="A192" s="54"/>
      <c r="B192" s="5" t="s">
        <v>87</v>
      </c>
      <c r="C192" s="5" t="s">
        <v>81</v>
      </c>
      <c r="D192" s="55" t="str">
        <f>VLOOKUP($B192,Letters!$C$56:$D$79,2,FALSE) &amp; VLOOKUP($C192,Letters!$C$56:$D$79,2,FALSE)</f>
        <v>XC</v>
      </c>
      <c r="E192" s="5" t="s">
        <v>1647</v>
      </c>
      <c r="F192" s="5" t="s">
        <v>1648</v>
      </c>
      <c r="G192" s="55">
        <f t="shared" si="17"/>
        <v>13</v>
      </c>
      <c r="H192" s="55">
        <f t="shared" si="18"/>
        <v>20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3.5">
      <c r="A193" s="54"/>
      <c r="B193" s="5" t="s">
        <v>87</v>
      </c>
      <c r="C193" s="5" t="s">
        <v>82</v>
      </c>
      <c r="D193" s="55" t="str">
        <f>VLOOKUP($B193,Letters!$C$56:$D$79,2,FALSE) &amp; VLOOKUP($C193,Letters!$C$56:$D$79,2,FALSE)</f>
        <v>XD</v>
      </c>
      <c r="E193" s="5" t="s">
        <v>1649</v>
      </c>
      <c r="F193" s="5" t="s">
        <v>1650</v>
      </c>
      <c r="G193" s="55">
        <f t="shared" si="17"/>
        <v>11</v>
      </c>
      <c r="H193" s="55">
        <f t="shared" si="18"/>
        <v>16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3.5">
      <c r="A194" s="54"/>
      <c r="B194" s="5" t="s">
        <v>87</v>
      </c>
      <c r="C194" s="5" t="s">
        <v>83</v>
      </c>
      <c r="D194" s="55" t="str">
        <f>VLOOKUP($B194,Letters!$C$56:$D$79,2,FALSE) &amp; VLOOKUP($C194,Letters!$C$56:$D$79,2,FALSE)</f>
        <v>XE</v>
      </c>
      <c r="E194" s="5" t="s">
        <v>1651</v>
      </c>
      <c r="F194" s="5" t="s">
        <v>1652</v>
      </c>
      <c r="G194" s="55">
        <f t="shared" si="17"/>
        <v>10</v>
      </c>
      <c r="H194" s="55">
        <f t="shared" si="18"/>
        <v>14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3.5">
      <c r="A195" s="54"/>
      <c r="B195" s="5" t="s">
        <v>87</v>
      </c>
      <c r="C195" s="5" t="s">
        <v>84</v>
      </c>
      <c r="D195" s="55" t="str">
        <f>VLOOKUP($B195,Letters!$C$56:$D$79,2,FALSE) &amp; VLOOKUP($C195,Letters!$C$56:$D$79,2,FALSE)</f>
        <v>XF</v>
      </c>
      <c r="E195" s="5" t="s">
        <v>1653</v>
      </c>
      <c r="F195" s="5" t="s">
        <v>1654</v>
      </c>
      <c r="G195" s="55">
        <f t="shared" si="17"/>
        <v>11</v>
      </c>
      <c r="H195" s="55">
        <f t="shared" si="18"/>
        <v>14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3.5">
      <c r="A196" s="60"/>
      <c r="B196" s="5" t="s">
        <v>87</v>
      </c>
      <c r="C196" s="5" t="s">
        <v>85</v>
      </c>
      <c r="D196" s="55" t="str">
        <f>VLOOKUP($B196,Letters!$C$56:$D$79,2,FALSE) &amp; VLOOKUP($C196,Letters!$C$56:$D$79,2,FALSE)</f>
        <v>XG</v>
      </c>
      <c r="E196" s="5" t="s">
        <v>1655</v>
      </c>
      <c r="F196" s="5" t="s">
        <v>1656</v>
      </c>
      <c r="G196" s="55">
        <f t="shared" si="17"/>
        <v>15</v>
      </c>
      <c r="H196" s="55">
        <f t="shared" si="18"/>
        <v>21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3.5">
      <c r="A197" s="54"/>
      <c r="B197" s="5" t="s">
        <v>87</v>
      </c>
      <c r="C197" s="5" t="s">
        <v>86</v>
      </c>
      <c r="D197" s="55" t="str">
        <f>VLOOKUP($B197,Letters!$C$56:$D$79,2,FALSE) &amp; VLOOKUP($C197,Letters!$C$56:$D$79,2,FALSE)</f>
        <v>XH</v>
      </c>
      <c r="E197" s="5" t="s">
        <v>1657</v>
      </c>
      <c r="F197" s="5" t="s">
        <v>1658</v>
      </c>
      <c r="G197" s="55">
        <f t="shared" si="17"/>
        <v>11</v>
      </c>
      <c r="H197" s="55">
        <f t="shared" si="18"/>
        <v>14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3.5">
      <c r="A198" s="60">
        <v>1.0</v>
      </c>
      <c r="B198" s="5" t="s">
        <v>87</v>
      </c>
      <c r="C198" s="5" t="s">
        <v>89</v>
      </c>
      <c r="D198" s="55" t="str">
        <f>VLOOKUP($B198,Letters!$C$56:$D$79,2,FALSE) &amp; VLOOKUP($C198,Letters!$C$56:$D$79,2,FALSE)</f>
        <v>XJ</v>
      </c>
      <c r="E198" s="5" t="s">
        <v>1659</v>
      </c>
      <c r="F198" s="5" t="s">
        <v>1660</v>
      </c>
      <c r="G198" s="55">
        <f t="shared" si="17"/>
        <v>11</v>
      </c>
      <c r="H198" s="55">
        <f t="shared" si="18"/>
        <v>14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3.5">
      <c r="A199" s="54"/>
      <c r="B199" s="5" t="s">
        <v>87</v>
      </c>
      <c r="C199" s="5" t="s">
        <v>90</v>
      </c>
      <c r="D199" s="55" t="str">
        <f>VLOOKUP($B199,Letters!$C$56:$D$79,2,FALSE) &amp; VLOOKUP($C199,Letters!$C$56:$D$79,2,FALSE)</f>
        <v>XK</v>
      </c>
      <c r="E199" s="5" t="s">
        <v>1661</v>
      </c>
      <c r="F199" s="5" t="s">
        <v>1662</v>
      </c>
      <c r="G199" s="55">
        <f t="shared" si="17"/>
        <v>13</v>
      </c>
      <c r="H199" s="55">
        <f t="shared" si="18"/>
        <v>19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3.5">
      <c r="A200" s="54"/>
      <c r="B200" s="5" t="s">
        <v>87</v>
      </c>
      <c r="C200" s="5" t="s">
        <v>91</v>
      </c>
      <c r="D200" s="55" t="str">
        <f>VLOOKUP($B200,Letters!$C$56:$D$79,2,FALSE) &amp; VLOOKUP($C200,Letters!$C$56:$D$79,2,FALSE)</f>
        <v>XL</v>
      </c>
      <c r="E200" s="5" t="s">
        <v>1663</v>
      </c>
      <c r="F200" s="5" t="s">
        <v>1664</v>
      </c>
      <c r="G200" s="55">
        <f t="shared" si="17"/>
        <v>11</v>
      </c>
      <c r="H200" s="55">
        <f t="shared" si="18"/>
        <v>14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3.5">
      <c r="A201" s="54"/>
      <c r="B201" s="5" t="s">
        <v>87</v>
      </c>
      <c r="C201" s="5" t="s">
        <v>92</v>
      </c>
      <c r="D201" s="55" t="str">
        <f>VLOOKUP($B201,Letters!$C$56:$D$79,2,FALSE) &amp; VLOOKUP($C201,Letters!$C$56:$D$79,2,FALSE)</f>
        <v>XM</v>
      </c>
      <c r="E201" s="5" t="s">
        <v>1665</v>
      </c>
      <c r="F201" s="5" t="s">
        <v>1666</v>
      </c>
      <c r="G201" s="55">
        <f t="shared" si="17"/>
        <v>11</v>
      </c>
      <c r="H201" s="55">
        <f t="shared" si="18"/>
        <v>14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3.5">
      <c r="A202" s="54"/>
      <c r="B202" s="5" t="s">
        <v>87</v>
      </c>
      <c r="C202" s="5" t="s">
        <v>93</v>
      </c>
      <c r="D202" s="55" t="str">
        <f>VLOOKUP($B202,Letters!$C$56:$D$79,2,FALSE) &amp; VLOOKUP($C202,Letters!$C$56:$D$79,2,FALSE)</f>
        <v>XN</v>
      </c>
      <c r="E202" s="5" t="s">
        <v>1667</v>
      </c>
      <c r="F202" s="5" t="s">
        <v>1668</v>
      </c>
      <c r="G202" s="55">
        <f t="shared" si="17"/>
        <v>11</v>
      </c>
      <c r="H202" s="55">
        <f t="shared" si="18"/>
        <v>14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3.5">
      <c r="A203" s="54"/>
      <c r="B203" s="5" t="s">
        <v>87</v>
      </c>
      <c r="C203" s="5" t="s">
        <v>94</v>
      </c>
      <c r="D203" s="55" t="str">
        <f>VLOOKUP($B203,Letters!$C$56:$D$79,2,FALSE) &amp; VLOOKUP($C203,Letters!$C$56:$D$79,2,FALSE)</f>
        <v>XO</v>
      </c>
      <c r="E203" s="5" t="s">
        <v>1669</v>
      </c>
      <c r="F203" s="5" t="s">
        <v>1670</v>
      </c>
      <c r="G203" s="55">
        <f t="shared" si="17"/>
        <v>11</v>
      </c>
      <c r="H203" s="55">
        <f t="shared" si="18"/>
        <v>14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3.5">
      <c r="A204" s="60"/>
      <c r="B204" s="5" t="s">
        <v>87</v>
      </c>
      <c r="C204" s="5" t="s">
        <v>95</v>
      </c>
      <c r="D204" s="55" t="str">
        <f>VLOOKUP($B204,Letters!$C$56:$D$79,2,FALSE) &amp; VLOOKUP($C204,Letters!$C$56:$D$79,2,FALSE)</f>
        <v>XP</v>
      </c>
      <c r="E204" s="5" t="s">
        <v>1671</v>
      </c>
      <c r="F204" s="5" t="s">
        <v>1672</v>
      </c>
      <c r="G204" s="55">
        <f t="shared" si="17"/>
        <v>11</v>
      </c>
      <c r="H204" s="55">
        <f t="shared" si="18"/>
        <v>16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3.5">
      <c r="A205" s="54"/>
      <c r="B205" s="5" t="s">
        <v>87</v>
      </c>
      <c r="C205" s="5" t="s">
        <v>96</v>
      </c>
      <c r="D205" s="55" t="str">
        <f>VLOOKUP($B205,Letters!$C$56:$D$79,2,FALSE) &amp; VLOOKUP($C205,Letters!$C$56:$D$79,2,FALSE)</f>
        <v>XW</v>
      </c>
      <c r="E205" s="5" t="s">
        <v>1673</v>
      </c>
      <c r="F205" s="5" t="s">
        <v>1674</v>
      </c>
      <c r="G205" s="55">
        <f t="shared" si="17"/>
        <v>10</v>
      </c>
      <c r="H205" s="55">
        <f t="shared" si="18"/>
        <v>14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3.5">
      <c r="A206" s="54"/>
      <c r="B206" s="5" t="s">
        <v>87</v>
      </c>
      <c r="C206" s="5" t="s">
        <v>97</v>
      </c>
      <c r="D206" s="55" t="str">
        <f>VLOOKUP($B206,Letters!$C$56:$D$79,2,FALSE) &amp; VLOOKUP($C206,Letters!$C$56:$D$79,2,FALSE)</f>
        <v>XR</v>
      </c>
      <c r="E206" s="5" t="s">
        <v>1675</v>
      </c>
      <c r="F206" s="5" t="s">
        <v>1676</v>
      </c>
      <c r="G206" s="55">
        <f t="shared" si="17"/>
        <v>10</v>
      </c>
      <c r="H206" s="55">
        <f t="shared" si="18"/>
        <v>13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3.5">
      <c r="A207" s="60"/>
      <c r="B207" s="5" t="s">
        <v>87</v>
      </c>
      <c r="C207" s="5" t="s">
        <v>98</v>
      </c>
      <c r="D207" s="55" t="str">
        <f>VLOOKUP($B207,Letters!$C$56:$D$79,2,FALSE) &amp; VLOOKUP($C207,Letters!$C$56:$D$79,2,FALSE)</f>
        <v>XS</v>
      </c>
      <c r="E207" s="5" t="s">
        <v>1677</v>
      </c>
      <c r="F207" s="5" t="s">
        <v>1678</v>
      </c>
      <c r="G207" s="55">
        <f t="shared" si="17"/>
        <v>12</v>
      </c>
      <c r="H207" s="55">
        <f t="shared" si="18"/>
        <v>15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3.5">
      <c r="A208" s="54"/>
      <c r="B208" s="5" t="s">
        <v>87</v>
      </c>
      <c r="C208" s="5" t="s">
        <v>99</v>
      </c>
      <c r="D208" s="55" t="str">
        <f>VLOOKUP($B208,Letters!$C$56:$D$79,2,FALSE) &amp; VLOOKUP($C208,Letters!$C$56:$D$79,2,FALSE)</f>
        <v>XT</v>
      </c>
      <c r="E208" s="5" t="s">
        <v>1679</v>
      </c>
      <c r="F208" s="5" t="s">
        <v>1680</v>
      </c>
      <c r="G208" s="55">
        <f t="shared" si="17"/>
        <v>11</v>
      </c>
      <c r="H208" s="55">
        <f t="shared" si="18"/>
        <v>16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3.5">
      <c r="A209" s="54"/>
      <c r="B209" s="5" t="s">
        <v>87</v>
      </c>
      <c r="C209" s="5" t="s">
        <v>100</v>
      </c>
      <c r="D209" s="55" t="str">
        <f>VLOOKUP($B209,Letters!$C$56:$D$79,2,FALSE) &amp; VLOOKUP($C209,Letters!$C$56:$D$79,2,FALSE)</f>
        <v>XU</v>
      </c>
      <c r="E209" s="5" t="s">
        <v>1681</v>
      </c>
      <c r="F209" s="5" t="s">
        <v>1682</v>
      </c>
      <c r="G209" s="55">
        <f t="shared" si="17"/>
        <v>10</v>
      </c>
      <c r="H209" s="55">
        <f t="shared" si="18"/>
        <v>14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3.5">
      <c r="A210" s="54"/>
      <c r="B210" s="5" t="s">
        <v>87</v>
      </c>
      <c r="C210" s="5" t="s">
        <v>101</v>
      </c>
      <c r="D210" s="55" t="str">
        <f>VLOOKUP($B210,Letters!$C$56:$D$79,2,FALSE) &amp; VLOOKUP($C210,Letters!$C$56:$D$79,2,FALSE)</f>
        <v>XV</v>
      </c>
      <c r="E210" s="5" t="s">
        <v>1683</v>
      </c>
      <c r="F210" s="5" t="s">
        <v>1684</v>
      </c>
      <c r="G210" s="55">
        <f t="shared" si="17"/>
        <v>11</v>
      </c>
      <c r="H210" s="55">
        <f t="shared" si="18"/>
        <v>14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3.5">
      <c r="A211" s="54"/>
      <c r="B211" s="5" t="s">
        <v>87</v>
      </c>
      <c r="C211" s="5" t="s">
        <v>103</v>
      </c>
      <c r="D211" s="55" t="str">
        <f>VLOOKUP($B211,Letters!$C$56:$D$79,2,FALSE) &amp; VLOOKUP($C211,Letters!$C$56:$D$79,2,FALSE)</f>
        <v>XI</v>
      </c>
      <c r="E211" s="5" t="s">
        <v>1685</v>
      </c>
      <c r="F211" s="5" t="s">
        <v>1686</v>
      </c>
      <c r="G211" s="55">
        <f t="shared" si="17"/>
        <v>10</v>
      </c>
      <c r="H211" s="55">
        <f t="shared" si="18"/>
        <v>13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4"/>
      <c r="B212" s="5"/>
      <c r="C212" s="5"/>
      <c r="D212" s="55"/>
      <c r="E212" s="5"/>
      <c r="F212" s="5"/>
      <c r="G212" s="55"/>
      <c r="H212" s="5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3.5">
      <c r="A213" s="60">
        <v>1.0</v>
      </c>
      <c r="B213" s="5" t="s">
        <v>89</v>
      </c>
      <c r="C213" s="5" t="s">
        <v>78</v>
      </c>
      <c r="D213" s="55" t="str">
        <f>VLOOKUP($B213,Letters!$C$56:$D$79,2,FALSE) &amp; VLOOKUP($C213,Letters!$C$56:$D$79,2,FALSE)</f>
        <v>JA</v>
      </c>
      <c r="E213" s="5" t="s">
        <v>1687</v>
      </c>
      <c r="F213" s="5" t="s">
        <v>1688</v>
      </c>
      <c r="G213" s="55">
        <f t="shared" ref="G213:G234" si="19">(len($F213)-len(SUBSTITUTE($F213,"R","")))+(len($F213)-len(SUBSTITUTE($F213,"L","")))+(len($F213)-len(SUBSTITUTE($F213,"U","")))+(len($F213)-len(SUBSTITUTE($F213,"D","")))+(len($F213)-len(SUBSTITUTE($F213,"F","")))+(len($F213)-len(SUBSTITUTE($F213,"B","")))+(len($F213)-len(SUBSTITUTE($F213,"r","")))+(len($F213)-len(SUBSTITUTE($F213,"l","")))+(len($F213)-len(SUBSTITUTE($F213,"u","")))+(len($F213)-len(SUBSTITUTE($F213,"d","")))</f>
        <v>9</v>
      </c>
      <c r="H213" s="55">
        <f t="shared" ref="H213:H234" si="20">(len($F213)-len(SUBSTITUTE($F213,"R","")))+(len($F213)-len(SUBSTITUTE($F213,"L","")))+(len($F213)-len(SUBSTITUTE($F213,"U","")))+(len($F213)-len(SUBSTITUTE($F213,"D","")))+(len($F213)-len(SUBSTITUTE($F213,"F","")))+(len($F213)-len(SUBSTITUTE($F213,"B","")))+(len($F213)-len(SUBSTITUTE($F213,"r","")))+(len($F213)-len(SUBSTITUTE($F213,"l","")))+(len($F213)-len(SUBSTITUTE($F213,"u","")))+(len($F213)-len(SUBSTITUTE($F213,"d","")))+(len($F213)-len(SUBSTITUTE($F213,"2","")))</f>
        <v>12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3.5">
      <c r="A214" s="60">
        <v>1.0</v>
      </c>
      <c r="B214" s="5" t="s">
        <v>89</v>
      </c>
      <c r="C214" s="5" t="s">
        <v>80</v>
      </c>
      <c r="D214" s="55" t="str">
        <f>VLOOKUP($B214,Letters!$C$56:$D$79,2,FALSE) &amp; VLOOKUP($C214,Letters!$C$56:$D$79,2,FALSE)</f>
        <v>JB</v>
      </c>
      <c r="E214" s="5" t="s">
        <v>1689</v>
      </c>
      <c r="F214" s="5" t="s">
        <v>1690</v>
      </c>
      <c r="G214" s="55">
        <f t="shared" si="19"/>
        <v>8</v>
      </c>
      <c r="H214" s="55">
        <f t="shared" si="20"/>
        <v>10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3.5">
      <c r="A215" s="60">
        <v>1.0</v>
      </c>
      <c r="B215" s="5" t="s">
        <v>89</v>
      </c>
      <c r="C215" s="5" t="s">
        <v>81</v>
      </c>
      <c r="D215" s="55" t="str">
        <f>VLOOKUP($B215,Letters!$C$56:$D$79,2,FALSE) &amp; VLOOKUP($C215,Letters!$C$56:$D$79,2,FALSE)</f>
        <v>JC</v>
      </c>
      <c r="E215" s="5" t="s">
        <v>1691</v>
      </c>
      <c r="F215" s="5" t="s">
        <v>1692</v>
      </c>
      <c r="G215" s="55">
        <f t="shared" si="19"/>
        <v>8</v>
      </c>
      <c r="H215" s="55">
        <f t="shared" si="20"/>
        <v>10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3.5">
      <c r="A216" s="60">
        <v>1.0</v>
      </c>
      <c r="B216" s="5" t="s">
        <v>89</v>
      </c>
      <c r="C216" s="5" t="s">
        <v>82</v>
      </c>
      <c r="D216" s="55" t="str">
        <f>VLOOKUP($B216,Letters!$C$56:$D$79,2,FALSE) &amp; VLOOKUP($C216,Letters!$C$56:$D$79,2,FALSE)</f>
        <v>JD</v>
      </c>
      <c r="E216" s="5" t="s">
        <v>1693</v>
      </c>
      <c r="F216" s="5" t="s">
        <v>1694</v>
      </c>
      <c r="G216" s="55">
        <f t="shared" si="19"/>
        <v>9</v>
      </c>
      <c r="H216" s="55">
        <f t="shared" si="20"/>
        <v>12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3.5">
      <c r="A217" s="60"/>
      <c r="B217" s="5" t="s">
        <v>89</v>
      </c>
      <c r="C217" s="5" t="s">
        <v>83</v>
      </c>
      <c r="D217" s="55" t="str">
        <f>VLOOKUP($B217,Letters!$C$56:$D$79,2,FALSE) &amp; VLOOKUP($C217,Letters!$C$56:$D$79,2,FALSE)</f>
        <v>JE</v>
      </c>
      <c r="E217" s="5" t="s">
        <v>1695</v>
      </c>
      <c r="F217" s="5" t="s">
        <v>1696</v>
      </c>
      <c r="G217" s="55">
        <f t="shared" si="19"/>
        <v>11</v>
      </c>
      <c r="H217" s="55">
        <f t="shared" si="20"/>
        <v>12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3.5">
      <c r="A218" s="60"/>
      <c r="B218" s="5" t="s">
        <v>89</v>
      </c>
      <c r="C218" s="5" t="s">
        <v>84</v>
      </c>
      <c r="D218" s="55" t="str">
        <f>VLOOKUP($B218,Letters!$C$56:$D$79,2,FALSE) &amp; VLOOKUP($C218,Letters!$C$56:$D$79,2,FALSE)</f>
        <v>JF</v>
      </c>
      <c r="E218" s="5" t="s">
        <v>1697</v>
      </c>
      <c r="F218" s="5" t="s">
        <v>1698</v>
      </c>
      <c r="G218" s="55">
        <f t="shared" si="19"/>
        <v>8</v>
      </c>
      <c r="H218" s="55">
        <f t="shared" si="20"/>
        <v>8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3.5">
      <c r="A219" s="60"/>
      <c r="B219" s="5" t="s">
        <v>89</v>
      </c>
      <c r="C219" s="5" t="s">
        <v>85</v>
      </c>
      <c r="D219" s="55" t="str">
        <f>VLOOKUP($B219,Letters!$C$56:$D$79,2,FALSE) &amp; VLOOKUP($C219,Letters!$C$56:$D$79,2,FALSE)</f>
        <v>JG</v>
      </c>
      <c r="E219" s="5" t="s">
        <v>1699</v>
      </c>
      <c r="F219" s="5" t="s">
        <v>1700</v>
      </c>
      <c r="G219" s="55">
        <f t="shared" si="19"/>
        <v>10</v>
      </c>
      <c r="H219" s="55">
        <f t="shared" si="20"/>
        <v>10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3.5">
      <c r="A220" s="60"/>
      <c r="B220" s="5" t="s">
        <v>89</v>
      </c>
      <c r="C220" s="5" t="s">
        <v>86</v>
      </c>
      <c r="D220" s="55" t="str">
        <f>VLOOKUP($B220,Letters!$C$56:$D$79,2,FALSE) &amp; VLOOKUP($C220,Letters!$C$56:$D$79,2,FALSE)</f>
        <v>JH</v>
      </c>
      <c r="E220" s="73" t="s">
        <v>1701</v>
      </c>
      <c r="F220" s="5" t="s">
        <v>1702</v>
      </c>
      <c r="G220" s="55">
        <f t="shared" si="19"/>
        <v>11</v>
      </c>
      <c r="H220" s="55">
        <f t="shared" si="20"/>
        <v>12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3.5">
      <c r="A221" s="60"/>
      <c r="B221" s="5" t="s">
        <v>89</v>
      </c>
      <c r="C221" s="5" t="s">
        <v>87</v>
      </c>
      <c r="D221" s="55" t="str">
        <f>VLOOKUP($B221,Letters!$C$56:$D$79,2,FALSE) &amp; VLOOKUP($C221,Letters!$C$56:$D$79,2,FALSE)</f>
        <v>JX</v>
      </c>
      <c r="E221" s="5" t="s">
        <v>1703</v>
      </c>
      <c r="F221" s="5" t="s">
        <v>1704</v>
      </c>
      <c r="G221" s="55">
        <f t="shared" si="19"/>
        <v>11</v>
      </c>
      <c r="H221" s="55">
        <f t="shared" si="20"/>
        <v>14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3.5">
      <c r="A222" s="60"/>
      <c r="B222" s="5" t="s">
        <v>89</v>
      </c>
      <c r="C222" s="5" t="s">
        <v>90</v>
      </c>
      <c r="D222" s="55" t="str">
        <f>VLOOKUP($B222,Letters!$C$56:$D$79,2,FALSE) &amp; VLOOKUP($C222,Letters!$C$56:$D$79,2,FALSE)</f>
        <v>JK</v>
      </c>
      <c r="E222" s="5" t="s">
        <v>1705</v>
      </c>
      <c r="F222" s="5" t="s">
        <v>1706</v>
      </c>
      <c r="G222" s="55">
        <f t="shared" si="19"/>
        <v>9</v>
      </c>
      <c r="H222" s="55">
        <f t="shared" si="20"/>
        <v>9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3.5">
      <c r="A223" s="60"/>
      <c r="B223" s="5" t="s">
        <v>89</v>
      </c>
      <c r="C223" s="5" t="s">
        <v>91</v>
      </c>
      <c r="D223" s="55" t="str">
        <f>VLOOKUP($B223,Letters!$C$56:$D$79,2,FALSE) &amp; VLOOKUP($C223,Letters!$C$56:$D$79,2,FALSE)</f>
        <v>JL</v>
      </c>
      <c r="E223" s="5" t="s">
        <v>1707</v>
      </c>
      <c r="F223" s="5" t="s">
        <v>1708</v>
      </c>
      <c r="G223" s="55">
        <f t="shared" si="19"/>
        <v>11</v>
      </c>
      <c r="H223" s="55">
        <f t="shared" si="20"/>
        <v>14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3.5">
      <c r="A224" s="60"/>
      <c r="B224" s="5" t="s">
        <v>89</v>
      </c>
      <c r="C224" s="5" t="s">
        <v>92</v>
      </c>
      <c r="D224" s="55" t="str">
        <f>VLOOKUP($B224,Letters!$C$56:$D$79,2,FALSE) &amp; VLOOKUP($C224,Letters!$C$56:$D$79,2,FALSE)</f>
        <v>JM</v>
      </c>
      <c r="E224" s="5" t="s">
        <v>1709</v>
      </c>
      <c r="F224" s="5" t="s">
        <v>1710</v>
      </c>
      <c r="G224" s="55">
        <f t="shared" si="19"/>
        <v>12</v>
      </c>
      <c r="H224" s="55">
        <f t="shared" si="20"/>
        <v>14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3.5">
      <c r="A225" s="60"/>
      <c r="B225" s="5" t="s">
        <v>89</v>
      </c>
      <c r="C225" s="5" t="s">
        <v>93</v>
      </c>
      <c r="D225" s="55" t="str">
        <f>VLOOKUP($B225,Letters!$C$56:$D$79,2,FALSE) &amp; VLOOKUP($C225,Letters!$C$56:$D$79,2,FALSE)</f>
        <v>JN</v>
      </c>
      <c r="E225" s="5" t="s">
        <v>1711</v>
      </c>
      <c r="F225" s="5" t="s">
        <v>1712</v>
      </c>
      <c r="G225" s="55">
        <f t="shared" si="19"/>
        <v>8</v>
      </c>
      <c r="H225" s="55">
        <f t="shared" si="20"/>
        <v>8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3.5">
      <c r="A226" s="60"/>
      <c r="B226" s="5" t="s">
        <v>89</v>
      </c>
      <c r="C226" s="5" t="s">
        <v>94</v>
      </c>
      <c r="D226" s="55" t="str">
        <f>VLOOKUP($B226,Letters!$C$56:$D$79,2,FALSE) &amp; VLOOKUP($C226,Letters!$C$56:$D$79,2,FALSE)</f>
        <v>JO</v>
      </c>
      <c r="E226" s="5" t="s">
        <v>1713</v>
      </c>
      <c r="F226" s="5" t="s">
        <v>1714</v>
      </c>
      <c r="G226" s="55">
        <f t="shared" si="19"/>
        <v>10</v>
      </c>
      <c r="H226" s="55">
        <f t="shared" si="20"/>
        <v>10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3.5">
      <c r="A227" s="60"/>
      <c r="B227" s="5" t="s">
        <v>89</v>
      </c>
      <c r="C227" s="5" t="s">
        <v>95</v>
      </c>
      <c r="D227" s="55" t="str">
        <f>VLOOKUP($B227,Letters!$C$56:$D$79,2,FALSE) &amp; VLOOKUP($C227,Letters!$C$56:$D$79,2,FALSE)</f>
        <v>JP</v>
      </c>
      <c r="E227" s="5" t="s">
        <v>1715</v>
      </c>
      <c r="F227" s="5" t="s">
        <v>1716</v>
      </c>
      <c r="G227" s="55">
        <f t="shared" si="19"/>
        <v>12</v>
      </c>
      <c r="H227" s="55">
        <f t="shared" si="20"/>
        <v>12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3.5">
      <c r="A228" s="60"/>
      <c r="B228" s="5" t="s">
        <v>89</v>
      </c>
      <c r="C228" s="5" t="s">
        <v>96</v>
      </c>
      <c r="D228" s="55" t="str">
        <f>VLOOKUP($B228,Letters!$C$56:$D$79,2,FALSE) &amp; VLOOKUP($C228,Letters!$C$56:$D$79,2,FALSE)</f>
        <v>JW</v>
      </c>
      <c r="E228" s="5" t="s">
        <v>1717</v>
      </c>
      <c r="F228" s="5" t="s">
        <v>1718</v>
      </c>
      <c r="G228" s="55">
        <f t="shared" si="19"/>
        <v>8</v>
      </c>
      <c r="H228" s="55">
        <f t="shared" si="20"/>
        <v>8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3.5">
      <c r="A229" s="60"/>
      <c r="B229" s="5" t="s">
        <v>89</v>
      </c>
      <c r="C229" s="5" t="s">
        <v>97</v>
      </c>
      <c r="D229" s="55" t="str">
        <f>VLOOKUP($B229,Letters!$C$56:$D$79,2,FALSE) &amp; VLOOKUP($C229,Letters!$C$56:$D$79,2,FALSE)</f>
        <v>JR</v>
      </c>
      <c r="E229" s="5" t="s">
        <v>1719</v>
      </c>
      <c r="F229" s="5" t="s">
        <v>1720</v>
      </c>
      <c r="G229" s="55">
        <f t="shared" si="19"/>
        <v>8</v>
      </c>
      <c r="H229" s="55">
        <f t="shared" si="20"/>
        <v>10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3.5">
      <c r="A230" s="60"/>
      <c r="B230" s="5" t="s">
        <v>89</v>
      </c>
      <c r="C230" s="5" t="s">
        <v>98</v>
      </c>
      <c r="D230" s="55" t="str">
        <f>VLOOKUP($B230,Letters!$C$56:$D$79,2,FALSE) &amp; VLOOKUP($C230,Letters!$C$56:$D$79,2,FALSE)</f>
        <v>JS</v>
      </c>
      <c r="E230" s="5" t="s">
        <v>1721</v>
      </c>
      <c r="F230" s="5" t="s">
        <v>1722</v>
      </c>
      <c r="G230" s="55">
        <f t="shared" si="19"/>
        <v>10</v>
      </c>
      <c r="H230" s="55">
        <f t="shared" si="20"/>
        <v>12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3.5">
      <c r="A231" s="60"/>
      <c r="B231" s="5" t="s">
        <v>89</v>
      </c>
      <c r="C231" s="5" t="s">
        <v>99</v>
      </c>
      <c r="D231" s="55" t="str">
        <f>VLOOKUP($B231,Letters!$C$56:$D$79,2,FALSE) &amp; VLOOKUP($C231,Letters!$C$56:$D$79,2,FALSE)</f>
        <v>JT</v>
      </c>
      <c r="E231" s="5" t="s">
        <v>1723</v>
      </c>
      <c r="F231" s="5" t="s">
        <v>1724</v>
      </c>
      <c r="G231" s="55">
        <f t="shared" si="19"/>
        <v>9</v>
      </c>
      <c r="H231" s="55">
        <f t="shared" si="20"/>
        <v>12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3.5">
      <c r="A232" s="60"/>
      <c r="B232" s="5" t="s">
        <v>89</v>
      </c>
      <c r="C232" s="5" t="s">
        <v>100</v>
      </c>
      <c r="D232" s="55" t="str">
        <f>VLOOKUP($B232,Letters!$C$56:$D$79,2,FALSE) &amp; VLOOKUP($C232,Letters!$C$56:$D$79,2,FALSE)</f>
        <v>JU</v>
      </c>
      <c r="E232" s="5" t="s">
        <v>1725</v>
      </c>
      <c r="F232" s="5" t="s">
        <v>1726</v>
      </c>
      <c r="G232" s="55">
        <f t="shared" si="19"/>
        <v>10</v>
      </c>
      <c r="H232" s="55">
        <f t="shared" si="20"/>
        <v>13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3.5">
      <c r="A233" s="54"/>
      <c r="B233" s="5" t="s">
        <v>89</v>
      </c>
      <c r="C233" s="5" t="s">
        <v>101</v>
      </c>
      <c r="D233" s="55" t="str">
        <f>VLOOKUP($B233,Letters!$C$56:$D$79,2,FALSE) &amp; VLOOKUP($C233,Letters!$C$56:$D$79,2,FALSE)</f>
        <v>JV</v>
      </c>
      <c r="E233" s="5" t="s">
        <v>1727</v>
      </c>
      <c r="F233" s="5" t="s">
        <v>1728</v>
      </c>
      <c r="G233" s="55">
        <f t="shared" si="19"/>
        <v>9</v>
      </c>
      <c r="H233" s="55">
        <f t="shared" si="20"/>
        <v>12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3.5">
      <c r="A234" s="60"/>
      <c r="B234" s="5" t="s">
        <v>89</v>
      </c>
      <c r="C234" s="5" t="s">
        <v>103</v>
      </c>
      <c r="D234" s="55" t="str">
        <f>VLOOKUP($B234,Letters!$C$56:$D$79,2,FALSE) &amp; VLOOKUP($C234,Letters!$C$56:$D$79,2,FALSE)</f>
        <v>JI</v>
      </c>
      <c r="E234" s="5" t="s">
        <v>1729</v>
      </c>
      <c r="F234" s="5" t="s">
        <v>1730</v>
      </c>
      <c r="G234" s="55">
        <f t="shared" si="19"/>
        <v>11</v>
      </c>
      <c r="H234" s="55">
        <f t="shared" si="20"/>
        <v>16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4"/>
      <c r="B235" s="5"/>
      <c r="C235" s="5"/>
      <c r="D235" s="55"/>
      <c r="E235" s="5"/>
      <c r="F235" s="5"/>
      <c r="G235" s="55"/>
      <c r="H235" s="5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3.5">
      <c r="A236" s="60">
        <v>1.0</v>
      </c>
      <c r="B236" s="5" t="s">
        <v>90</v>
      </c>
      <c r="C236" s="5" t="s">
        <v>78</v>
      </c>
      <c r="D236" s="55" t="str">
        <f>VLOOKUP($B236,Letters!$C$56:$D$79,2,FALSE) &amp; VLOOKUP($C236,Letters!$C$56:$D$79,2,FALSE)</f>
        <v>KA</v>
      </c>
      <c r="E236" s="69" t="s">
        <v>1731</v>
      </c>
      <c r="F236" s="5" t="s">
        <v>1732</v>
      </c>
      <c r="G236" s="55">
        <f t="shared" ref="G236:G257" si="21">(len($F236)-len(SUBSTITUTE($F236,"R","")))+(len($F236)-len(SUBSTITUTE($F236,"L","")))+(len($F236)-len(SUBSTITUTE($F236,"U","")))+(len($F236)-len(SUBSTITUTE($F236,"D","")))+(len($F236)-len(SUBSTITUTE($F236,"F","")))+(len($F236)-len(SUBSTITUTE($F236,"B","")))+(len($F236)-len(SUBSTITUTE($F236,"r","")))+(len($F236)-len(SUBSTITUTE($F236,"l","")))+(len($F236)-len(SUBSTITUTE($F236,"u","")))+(len($F236)-len(SUBSTITUTE($F236,"d","")))</f>
        <v>12</v>
      </c>
      <c r="H236" s="55">
        <f t="shared" ref="H236:H257" si="22">(len($F236)-len(SUBSTITUTE($F236,"R","")))+(len($F236)-len(SUBSTITUTE($F236,"L","")))+(len($F236)-len(SUBSTITUTE($F236,"U","")))+(len($F236)-len(SUBSTITUTE($F236,"D","")))+(len($F236)-len(SUBSTITUTE($F236,"F","")))+(len($F236)-len(SUBSTITUTE($F236,"B","")))+(len($F236)-len(SUBSTITUTE($F236,"r","")))+(len($F236)-len(SUBSTITUTE($F236,"l","")))+(len($F236)-len(SUBSTITUTE($F236,"u","")))+(len($F236)-len(SUBSTITUTE($F236,"d","")))+(len($F236)-len(SUBSTITUTE($F236,"2","")))</f>
        <v>18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3.5">
      <c r="A237" s="60">
        <v>1.0</v>
      </c>
      <c r="B237" s="5" t="s">
        <v>90</v>
      </c>
      <c r="C237" s="5" t="s">
        <v>80</v>
      </c>
      <c r="D237" s="55" t="str">
        <f>VLOOKUP($B237,Letters!$C$56:$D$79,2,FALSE) &amp; VLOOKUP($C237,Letters!$C$56:$D$79,2,FALSE)</f>
        <v>KB</v>
      </c>
      <c r="E237" s="5" t="s">
        <v>1733</v>
      </c>
      <c r="F237" s="5" t="s">
        <v>1734</v>
      </c>
      <c r="G237" s="55">
        <f t="shared" si="21"/>
        <v>8</v>
      </c>
      <c r="H237" s="55">
        <f t="shared" si="22"/>
        <v>8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3.5">
      <c r="A238" s="60">
        <v>1.0</v>
      </c>
      <c r="B238" s="5" t="s">
        <v>90</v>
      </c>
      <c r="C238" s="5" t="s">
        <v>81</v>
      </c>
      <c r="D238" s="55" t="str">
        <f>VLOOKUP($B238,Letters!$C$56:$D$79,2,FALSE) &amp; VLOOKUP($C238,Letters!$C$56:$D$79,2,FALSE)</f>
        <v>KC</v>
      </c>
      <c r="E238" s="5" t="s">
        <v>1735</v>
      </c>
      <c r="F238" s="5" t="s">
        <v>1736</v>
      </c>
      <c r="G238" s="55">
        <f t="shared" si="21"/>
        <v>10</v>
      </c>
      <c r="H238" s="55">
        <f t="shared" si="22"/>
        <v>12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3.5">
      <c r="A239" s="54"/>
      <c r="B239" s="5" t="s">
        <v>90</v>
      </c>
      <c r="C239" s="5" t="s">
        <v>82</v>
      </c>
      <c r="D239" s="55" t="str">
        <f>VLOOKUP($B239,Letters!$C$56:$D$79,2,FALSE) &amp; VLOOKUP($C239,Letters!$C$56:$D$79,2,FALSE)</f>
        <v>KD</v>
      </c>
      <c r="E239" s="5" t="s">
        <v>1737</v>
      </c>
      <c r="F239" s="5" t="s">
        <v>1738</v>
      </c>
      <c r="G239" s="55">
        <f t="shared" si="21"/>
        <v>10</v>
      </c>
      <c r="H239" s="55">
        <f t="shared" si="22"/>
        <v>11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3.5">
      <c r="A240" s="60">
        <v>1.0</v>
      </c>
      <c r="B240" s="5" t="s">
        <v>90</v>
      </c>
      <c r="C240" s="5" t="s">
        <v>83</v>
      </c>
      <c r="D240" s="55" t="str">
        <f>VLOOKUP($B240,Letters!$C$56:$D$79,2,FALSE) &amp; VLOOKUP($C240,Letters!$C$56:$D$79,2,FALSE)</f>
        <v>KE</v>
      </c>
      <c r="E240" s="5" t="s">
        <v>1739</v>
      </c>
      <c r="F240" s="5" t="s">
        <v>1740</v>
      </c>
      <c r="G240" s="55">
        <f t="shared" si="21"/>
        <v>8</v>
      </c>
      <c r="H240" s="55">
        <f t="shared" si="22"/>
        <v>10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3.5">
      <c r="A241" s="60">
        <v>1.0</v>
      </c>
      <c r="B241" s="5" t="s">
        <v>90</v>
      </c>
      <c r="C241" s="5" t="s">
        <v>84</v>
      </c>
      <c r="D241" s="55" t="str">
        <f>VLOOKUP($B241,Letters!$C$56:$D$79,2,FALSE) &amp; VLOOKUP($C241,Letters!$C$56:$D$79,2,FALSE)</f>
        <v>KF</v>
      </c>
      <c r="E241" s="69" t="s">
        <v>1741</v>
      </c>
      <c r="F241" s="5" t="s">
        <v>1742</v>
      </c>
      <c r="G241" s="55">
        <f t="shared" si="21"/>
        <v>8</v>
      </c>
      <c r="H241" s="55">
        <f t="shared" si="22"/>
        <v>8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3.5">
      <c r="A242" s="60"/>
      <c r="B242" s="5" t="s">
        <v>90</v>
      </c>
      <c r="C242" s="5" t="s">
        <v>85</v>
      </c>
      <c r="D242" s="55" t="str">
        <f>VLOOKUP($B242,Letters!$C$56:$D$79,2,FALSE) &amp; VLOOKUP($C242,Letters!$C$56:$D$79,2,FALSE)</f>
        <v>KG</v>
      </c>
      <c r="E242" s="5" t="s">
        <v>1743</v>
      </c>
      <c r="F242" s="5" t="s">
        <v>1744</v>
      </c>
      <c r="G242" s="55">
        <f t="shared" si="21"/>
        <v>9</v>
      </c>
      <c r="H242" s="55">
        <f t="shared" si="22"/>
        <v>9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3.5">
      <c r="A243" s="60">
        <v>1.0</v>
      </c>
      <c r="B243" s="5" t="s">
        <v>90</v>
      </c>
      <c r="C243" s="5" t="s">
        <v>86</v>
      </c>
      <c r="D243" s="55" t="str">
        <f>VLOOKUP($B243,Letters!$C$56:$D$79,2,FALSE) &amp; VLOOKUP($C243,Letters!$C$56:$D$79,2,FALSE)</f>
        <v>KH</v>
      </c>
      <c r="E243" s="69" t="s">
        <v>1745</v>
      </c>
      <c r="F243" s="5" t="s">
        <v>1746</v>
      </c>
      <c r="G243" s="55">
        <f t="shared" si="21"/>
        <v>8</v>
      </c>
      <c r="H243" s="55">
        <f t="shared" si="22"/>
        <v>8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3.5">
      <c r="A244" s="54"/>
      <c r="B244" s="5" t="s">
        <v>90</v>
      </c>
      <c r="C244" s="5" t="s">
        <v>87</v>
      </c>
      <c r="D244" s="55" t="str">
        <f>VLOOKUP($B244,Letters!$C$56:$D$79,2,FALSE) &amp; VLOOKUP($C244,Letters!$C$56:$D$79,2,FALSE)</f>
        <v>KX</v>
      </c>
      <c r="E244" s="5" t="s">
        <v>1747</v>
      </c>
      <c r="F244" s="5" t="s">
        <v>1748</v>
      </c>
      <c r="G244" s="55">
        <f t="shared" si="21"/>
        <v>13</v>
      </c>
      <c r="H244" s="55">
        <f t="shared" si="22"/>
        <v>19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3.5">
      <c r="A245" s="60"/>
      <c r="B245" s="5" t="s">
        <v>90</v>
      </c>
      <c r="C245" s="5" t="s">
        <v>89</v>
      </c>
      <c r="D245" s="55" t="str">
        <f>VLOOKUP($B245,Letters!$C$56:$D$79,2,FALSE) &amp; VLOOKUP($C245,Letters!$C$56:$D$79,2,FALSE)</f>
        <v>KJ</v>
      </c>
      <c r="E245" s="5" t="s">
        <v>1749</v>
      </c>
      <c r="F245" s="5" t="s">
        <v>1750</v>
      </c>
      <c r="G245" s="55">
        <f t="shared" si="21"/>
        <v>10</v>
      </c>
      <c r="H245" s="55">
        <f t="shared" si="22"/>
        <v>10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3.5">
      <c r="A246" s="60">
        <v>1.0</v>
      </c>
      <c r="B246" s="5" t="s">
        <v>90</v>
      </c>
      <c r="C246" s="5" t="s">
        <v>91</v>
      </c>
      <c r="D246" s="55" t="str">
        <f>VLOOKUP($B246,Letters!$C$56:$D$79,2,FALSE) &amp; VLOOKUP($C246,Letters!$C$56:$D$79,2,FALSE)</f>
        <v>KL</v>
      </c>
      <c r="E246" s="5" t="s">
        <v>1751</v>
      </c>
      <c r="F246" s="5" t="s">
        <v>1752</v>
      </c>
      <c r="G246" s="55">
        <f t="shared" si="21"/>
        <v>9</v>
      </c>
      <c r="H246" s="55">
        <f t="shared" si="22"/>
        <v>10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3.5">
      <c r="A247" s="60">
        <v>1.0</v>
      </c>
      <c r="B247" s="5" t="s">
        <v>90</v>
      </c>
      <c r="C247" s="5" t="s">
        <v>92</v>
      </c>
      <c r="D247" s="55" t="str">
        <f>VLOOKUP($B247,Letters!$C$56:$D$79,2,FALSE) &amp; VLOOKUP($C247,Letters!$C$56:$D$79,2,FALSE)</f>
        <v>KM</v>
      </c>
      <c r="E247" s="5" t="s">
        <v>1753</v>
      </c>
      <c r="F247" s="5" t="s">
        <v>1754</v>
      </c>
      <c r="G247" s="55">
        <f t="shared" si="21"/>
        <v>8</v>
      </c>
      <c r="H247" s="55">
        <f t="shared" si="22"/>
        <v>10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3.5">
      <c r="A248" s="60">
        <v>1.0</v>
      </c>
      <c r="B248" s="5" t="s">
        <v>90</v>
      </c>
      <c r="C248" s="5" t="s">
        <v>93</v>
      </c>
      <c r="D248" s="55" t="str">
        <f>VLOOKUP($B248,Letters!$C$56:$D$79,2,FALSE) &amp; VLOOKUP($C248,Letters!$C$56:$D$79,2,FALSE)</f>
        <v>KN</v>
      </c>
      <c r="E248" s="5" t="s">
        <v>1755</v>
      </c>
      <c r="F248" s="5" t="s">
        <v>1756</v>
      </c>
      <c r="G248" s="55">
        <f t="shared" si="21"/>
        <v>8</v>
      </c>
      <c r="H248" s="55">
        <f t="shared" si="22"/>
        <v>8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3.5">
      <c r="A249" s="60">
        <v>1.0</v>
      </c>
      <c r="B249" s="5" t="s">
        <v>90</v>
      </c>
      <c r="C249" s="5" t="s">
        <v>94</v>
      </c>
      <c r="D249" s="55" t="str">
        <f>VLOOKUP($B249,Letters!$C$56:$D$79,2,FALSE) &amp; VLOOKUP($C249,Letters!$C$56:$D$79,2,FALSE)</f>
        <v>KO</v>
      </c>
      <c r="E249" s="5" t="s">
        <v>1757</v>
      </c>
      <c r="F249" s="5" t="s">
        <v>1758</v>
      </c>
      <c r="G249" s="55">
        <f t="shared" si="21"/>
        <v>9</v>
      </c>
      <c r="H249" s="55">
        <f t="shared" si="22"/>
        <v>9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3.5">
      <c r="A250" s="60">
        <v>1.0</v>
      </c>
      <c r="B250" s="5" t="s">
        <v>90</v>
      </c>
      <c r="C250" s="5" t="s">
        <v>95</v>
      </c>
      <c r="D250" s="55" t="str">
        <f>VLOOKUP($B250,Letters!$C$56:$D$79,2,FALSE) &amp; VLOOKUP($C250,Letters!$C$56:$D$79,2,FALSE)</f>
        <v>KP</v>
      </c>
      <c r="E250" s="5" t="s">
        <v>1759</v>
      </c>
      <c r="F250" s="5" t="s">
        <v>1760</v>
      </c>
      <c r="G250" s="55">
        <f t="shared" si="21"/>
        <v>8</v>
      </c>
      <c r="H250" s="55">
        <f t="shared" si="22"/>
        <v>8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3.5">
      <c r="A251" s="54"/>
      <c r="B251" s="5" t="s">
        <v>90</v>
      </c>
      <c r="C251" s="5" t="s">
        <v>96</v>
      </c>
      <c r="D251" s="55" t="str">
        <f>VLOOKUP($B251,Letters!$C$56:$D$79,2,FALSE) &amp; VLOOKUP($C251,Letters!$C$56:$D$79,2,FALSE)</f>
        <v>KW</v>
      </c>
      <c r="E251" s="5" t="s">
        <v>1761</v>
      </c>
      <c r="F251" s="5" t="s">
        <v>1762</v>
      </c>
      <c r="G251" s="55">
        <f t="shared" si="21"/>
        <v>12</v>
      </c>
      <c r="H251" s="55">
        <f t="shared" si="22"/>
        <v>13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3.5">
      <c r="A252" s="60">
        <v>1.0</v>
      </c>
      <c r="B252" s="5" t="s">
        <v>90</v>
      </c>
      <c r="C252" s="5" t="s">
        <v>97</v>
      </c>
      <c r="D252" s="55" t="str">
        <f>VLOOKUP($B252,Letters!$C$56:$D$79,2,FALSE) &amp; VLOOKUP($C252,Letters!$C$56:$D$79,2,FALSE)</f>
        <v>KR</v>
      </c>
      <c r="E252" s="5" t="s">
        <v>1763</v>
      </c>
      <c r="F252" s="5" t="s">
        <v>1764</v>
      </c>
      <c r="G252" s="55">
        <f t="shared" si="21"/>
        <v>9</v>
      </c>
      <c r="H252" s="55">
        <f t="shared" si="22"/>
        <v>10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3.5">
      <c r="A253" s="60"/>
      <c r="B253" s="5" t="s">
        <v>90</v>
      </c>
      <c r="C253" s="5" t="s">
        <v>98</v>
      </c>
      <c r="D253" s="55" t="str">
        <f>VLOOKUP($B253,Letters!$C$56:$D$79,2,FALSE) &amp; VLOOKUP($C253,Letters!$C$56:$D$79,2,FALSE)</f>
        <v>KS</v>
      </c>
      <c r="E253" s="5" t="s">
        <v>1765</v>
      </c>
      <c r="F253" s="5" t="s">
        <v>1766</v>
      </c>
      <c r="G253" s="55">
        <f t="shared" si="21"/>
        <v>8</v>
      </c>
      <c r="H253" s="55">
        <f t="shared" si="22"/>
        <v>12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3.5">
      <c r="A254" s="60"/>
      <c r="B254" s="5" t="s">
        <v>90</v>
      </c>
      <c r="C254" s="5" t="s">
        <v>99</v>
      </c>
      <c r="D254" s="55" t="str">
        <f>VLOOKUP($B254,Letters!$C$56:$D$79,2,FALSE) &amp; VLOOKUP($C254,Letters!$C$56:$D$79,2,FALSE)</f>
        <v>KT</v>
      </c>
      <c r="E254" s="5" t="s">
        <v>1767</v>
      </c>
      <c r="F254" s="5" t="s">
        <v>1768</v>
      </c>
      <c r="G254" s="55">
        <f t="shared" si="21"/>
        <v>8</v>
      </c>
      <c r="H254" s="55">
        <f t="shared" si="22"/>
        <v>8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3.5">
      <c r="A255" s="60"/>
      <c r="B255" s="5" t="s">
        <v>90</v>
      </c>
      <c r="C255" s="5" t="s">
        <v>100</v>
      </c>
      <c r="D255" s="55" t="str">
        <f>VLOOKUP($B255,Letters!$C$56:$D$79,2,FALSE) &amp; VLOOKUP($C255,Letters!$C$56:$D$79,2,FALSE)</f>
        <v>KU</v>
      </c>
      <c r="E255" s="5" t="s">
        <v>1769</v>
      </c>
      <c r="F255" s="5" t="s">
        <v>1770</v>
      </c>
      <c r="G255" s="55">
        <f t="shared" si="21"/>
        <v>8</v>
      </c>
      <c r="H255" s="55">
        <f t="shared" si="22"/>
        <v>12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3.5">
      <c r="A256" s="60">
        <v>1.0</v>
      </c>
      <c r="B256" s="5" t="s">
        <v>90</v>
      </c>
      <c r="C256" s="5" t="s">
        <v>101</v>
      </c>
      <c r="D256" s="55" t="str">
        <f>VLOOKUP($B256,Letters!$C$56:$D$79,2,FALSE) &amp; VLOOKUP($C256,Letters!$C$56:$D$79,2,FALSE)</f>
        <v>KV</v>
      </c>
      <c r="E256" s="5" t="s">
        <v>1771</v>
      </c>
      <c r="F256" s="5" t="s">
        <v>1772</v>
      </c>
      <c r="G256" s="55">
        <f t="shared" si="21"/>
        <v>8</v>
      </c>
      <c r="H256" s="55">
        <f t="shared" si="22"/>
        <v>8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3.5">
      <c r="A257" s="54"/>
      <c r="B257" s="5" t="s">
        <v>90</v>
      </c>
      <c r="C257" s="5" t="s">
        <v>103</v>
      </c>
      <c r="D257" s="55" t="str">
        <f>VLOOKUP($B257,Letters!$C$56:$D$79,2,FALSE) &amp; VLOOKUP($C257,Letters!$C$56:$D$79,2,FALSE)</f>
        <v>KI</v>
      </c>
      <c r="E257" s="5" t="s">
        <v>1773</v>
      </c>
      <c r="F257" s="5" t="s">
        <v>1774</v>
      </c>
      <c r="G257" s="55">
        <f t="shared" si="21"/>
        <v>10</v>
      </c>
      <c r="H257" s="55">
        <f t="shared" si="22"/>
        <v>11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4"/>
      <c r="B258" s="5"/>
      <c r="C258" s="5"/>
      <c r="D258" s="55"/>
      <c r="E258" s="5"/>
      <c r="F258" s="5"/>
      <c r="G258" s="55"/>
      <c r="H258" s="5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3.5">
      <c r="A259" s="60">
        <v>1.0</v>
      </c>
      <c r="B259" s="5" t="s">
        <v>91</v>
      </c>
      <c r="C259" s="5" t="s">
        <v>78</v>
      </c>
      <c r="D259" s="55" t="str">
        <f>VLOOKUP($B259,Letters!$C$56:$D$79,2,FALSE) &amp; VLOOKUP($C259,Letters!$C$56:$D$79,2,FALSE)</f>
        <v>LA</v>
      </c>
      <c r="E259" s="5" t="s">
        <v>1775</v>
      </c>
      <c r="F259" s="5" t="s">
        <v>1776</v>
      </c>
      <c r="G259" s="55">
        <f t="shared" ref="G259:G280" si="23">(len($F259)-len(SUBSTITUTE($F259,"R","")))+(len($F259)-len(SUBSTITUTE($F259,"L","")))+(len($F259)-len(SUBSTITUTE($F259,"U","")))+(len($F259)-len(SUBSTITUTE($F259,"D","")))+(len($F259)-len(SUBSTITUTE($F259,"F","")))+(len($F259)-len(SUBSTITUTE($F259,"B","")))+(len($F259)-len(SUBSTITUTE($F259,"r","")))+(len($F259)-len(SUBSTITUTE($F259,"l","")))+(len($F259)-len(SUBSTITUTE($F259,"u","")))+(len($F259)-len(SUBSTITUTE($F259,"d","")))</f>
        <v>9</v>
      </c>
      <c r="H259" s="55">
        <f t="shared" ref="H259:H280" si="24">(len($F259)-len(SUBSTITUTE($F259,"R","")))+(len($F259)-len(SUBSTITUTE($F259,"L","")))+(len($F259)-len(SUBSTITUTE($F259,"U","")))+(len($F259)-len(SUBSTITUTE($F259,"D","")))+(len($F259)-len(SUBSTITUTE($F259,"F","")))+(len($F259)-len(SUBSTITUTE($F259,"B","")))+(len($F259)-len(SUBSTITUTE($F259,"r","")))+(len($F259)-len(SUBSTITUTE($F259,"l","")))+(len($F259)-len(SUBSTITUTE($F259,"u","")))+(len($F259)-len(SUBSTITUTE($F259,"d","")))+(len($F259)-len(SUBSTITUTE($F259,"2","")))</f>
        <v>12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3.5">
      <c r="A260" s="60">
        <v>1.0</v>
      </c>
      <c r="B260" s="5" t="s">
        <v>91</v>
      </c>
      <c r="C260" s="5" t="s">
        <v>80</v>
      </c>
      <c r="D260" s="55" t="str">
        <f>VLOOKUP($B260,Letters!$C$56:$D$79,2,FALSE) &amp; VLOOKUP($C260,Letters!$C$56:$D$79,2,FALSE)</f>
        <v>LB</v>
      </c>
      <c r="E260" s="5" t="s">
        <v>1777</v>
      </c>
      <c r="F260" s="5" t="s">
        <v>1778</v>
      </c>
      <c r="G260" s="55">
        <f t="shared" si="23"/>
        <v>9</v>
      </c>
      <c r="H260" s="55">
        <f t="shared" si="24"/>
        <v>12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3.5">
      <c r="A261" s="60">
        <v>1.0</v>
      </c>
      <c r="B261" s="5" t="s">
        <v>91</v>
      </c>
      <c r="C261" s="5" t="s">
        <v>81</v>
      </c>
      <c r="D261" s="55" t="str">
        <f>VLOOKUP($B261,Letters!$C$56:$D$79,2,FALSE) &amp; VLOOKUP($C261,Letters!$C$56:$D$79,2,FALSE)</f>
        <v>LC</v>
      </c>
      <c r="E261" s="5" t="s">
        <v>1779</v>
      </c>
      <c r="F261" s="5" t="s">
        <v>1780</v>
      </c>
      <c r="G261" s="55">
        <f t="shared" si="23"/>
        <v>8</v>
      </c>
      <c r="H261" s="55">
        <f t="shared" si="24"/>
        <v>10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3.5">
      <c r="A262" s="60">
        <v>1.0</v>
      </c>
      <c r="B262" s="5" t="s">
        <v>91</v>
      </c>
      <c r="C262" s="5" t="s">
        <v>82</v>
      </c>
      <c r="D262" s="55" t="str">
        <f>VLOOKUP($B262,Letters!$C$56:$D$79,2,FALSE) &amp; VLOOKUP($C262,Letters!$C$56:$D$79,2,FALSE)</f>
        <v>LD</v>
      </c>
      <c r="E262" s="69" t="s">
        <v>1781</v>
      </c>
      <c r="F262" s="5" t="s">
        <v>1782</v>
      </c>
      <c r="G262" s="55">
        <f t="shared" si="23"/>
        <v>8</v>
      </c>
      <c r="H262" s="55">
        <f t="shared" si="24"/>
        <v>10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3.5">
      <c r="A263" s="60"/>
      <c r="B263" s="5" t="s">
        <v>91</v>
      </c>
      <c r="C263" s="5" t="s">
        <v>83</v>
      </c>
      <c r="D263" s="55" t="str">
        <f>VLOOKUP($B263,Letters!$C$56:$D$79,2,FALSE) &amp; VLOOKUP($C263,Letters!$C$56:$D$79,2,FALSE)</f>
        <v>LE</v>
      </c>
      <c r="E263" s="5" t="s">
        <v>1783</v>
      </c>
      <c r="F263" s="5" t="s">
        <v>1784</v>
      </c>
      <c r="G263" s="55">
        <f t="shared" si="23"/>
        <v>11</v>
      </c>
      <c r="H263" s="55">
        <f t="shared" si="24"/>
        <v>12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3.5">
      <c r="A264" s="54"/>
      <c r="B264" s="5" t="s">
        <v>91</v>
      </c>
      <c r="C264" s="5" t="s">
        <v>84</v>
      </c>
      <c r="D264" s="55" t="str">
        <f>VLOOKUP($B264,Letters!$C$56:$D$79,2,FALSE) &amp; VLOOKUP($C264,Letters!$C$56:$D$79,2,FALSE)</f>
        <v>LF</v>
      </c>
      <c r="E264" s="5" t="s">
        <v>1785</v>
      </c>
      <c r="F264" s="5" t="s">
        <v>1786</v>
      </c>
      <c r="G264" s="55">
        <f t="shared" si="23"/>
        <v>12</v>
      </c>
      <c r="H264" s="55">
        <f t="shared" si="24"/>
        <v>14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3.5">
      <c r="A265" s="60"/>
      <c r="B265" s="5" t="s">
        <v>91</v>
      </c>
      <c r="C265" s="5" t="s">
        <v>85</v>
      </c>
      <c r="D265" s="55" t="str">
        <f>VLOOKUP($B265,Letters!$C$56:$D$79,2,FALSE) &amp; VLOOKUP($C265,Letters!$C$56:$D$79,2,FALSE)</f>
        <v>LG</v>
      </c>
      <c r="E265" s="5" t="s">
        <v>1787</v>
      </c>
      <c r="F265" s="5" t="s">
        <v>1788</v>
      </c>
      <c r="G265" s="55">
        <f t="shared" si="23"/>
        <v>10</v>
      </c>
      <c r="H265" s="55">
        <f t="shared" si="24"/>
        <v>10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3.5">
      <c r="A266" s="54"/>
      <c r="B266" s="5" t="s">
        <v>91</v>
      </c>
      <c r="C266" s="5" t="s">
        <v>86</v>
      </c>
      <c r="D266" s="55" t="str">
        <f>VLOOKUP($B266,Letters!$C$56:$D$79,2,FALSE) &amp; VLOOKUP($C266,Letters!$C$56:$D$79,2,FALSE)</f>
        <v>LH</v>
      </c>
      <c r="E266" s="5" t="s">
        <v>1789</v>
      </c>
      <c r="F266" s="5" t="s">
        <v>1790</v>
      </c>
      <c r="G266" s="55">
        <f t="shared" si="23"/>
        <v>8</v>
      </c>
      <c r="H266" s="55">
        <f t="shared" si="24"/>
        <v>8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3.5">
      <c r="A267" s="60"/>
      <c r="B267" s="5" t="s">
        <v>91</v>
      </c>
      <c r="C267" s="5" t="s">
        <v>87</v>
      </c>
      <c r="D267" s="55" t="str">
        <f>VLOOKUP($B267,Letters!$C$56:$D$79,2,FALSE) &amp; VLOOKUP($C267,Letters!$C$56:$D$79,2,FALSE)</f>
        <v>LX</v>
      </c>
      <c r="E267" s="5" t="s">
        <v>1791</v>
      </c>
      <c r="F267" s="5" t="s">
        <v>1792</v>
      </c>
      <c r="G267" s="55">
        <f t="shared" si="23"/>
        <v>11</v>
      </c>
      <c r="H267" s="55">
        <f t="shared" si="24"/>
        <v>14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3.5">
      <c r="A268" s="54"/>
      <c r="B268" s="5" t="s">
        <v>91</v>
      </c>
      <c r="C268" s="5" t="s">
        <v>89</v>
      </c>
      <c r="D268" s="55" t="str">
        <f>VLOOKUP($B268,Letters!$C$56:$D$79,2,FALSE) &amp; VLOOKUP($C268,Letters!$C$56:$D$79,2,FALSE)</f>
        <v>LJ</v>
      </c>
      <c r="E268" s="5" t="s">
        <v>1793</v>
      </c>
      <c r="F268" s="5" t="s">
        <v>1794</v>
      </c>
      <c r="G268" s="55">
        <f t="shared" si="23"/>
        <v>11</v>
      </c>
      <c r="H268" s="55">
        <f t="shared" si="24"/>
        <v>14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3.5">
      <c r="A269" s="60">
        <v>1.0</v>
      </c>
      <c r="B269" s="5" t="s">
        <v>91</v>
      </c>
      <c r="C269" s="5" t="s">
        <v>90</v>
      </c>
      <c r="D269" s="55" t="str">
        <f>VLOOKUP($B269,Letters!$C$56:$D$79,2,FALSE) &amp; VLOOKUP($C269,Letters!$C$56:$D$79,2,FALSE)</f>
        <v>LK</v>
      </c>
      <c r="E269" s="5" t="s">
        <v>1795</v>
      </c>
      <c r="F269" s="5" t="s">
        <v>1796</v>
      </c>
      <c r="G269" s="55">
        <f t="shared" si="23"/>
        <v>9</v>
      </c>
      <c r="H269" s="55">
        <f t="shared" si="24"/>
        <v>10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3.5">
      <c r="A270" s="54"/>
      <c r="B270" s="5" t="s">
        <v>91</v>
      </c>
      <c r="C270" s="5" t="s">
        <v>92</v>
      </c>
      <c r="D270" s="55" t="str">
        <f>VLOOKUP($B270,Letters!$C$56:$D$79,2,FALSE) &amp; VLOOKUP($C270,Letters!$C$56:$D$79,2,FALSE)</f>
        <v>LM</v>
      </c>
      <c r="E270" s="5" t="s">
        <v>1797</v>
      </c>
      <c r="F270" s="5" t="s">
        <v>1798</v>
      </c>
      <c r="G270" s="55">
        <f t="shared" si="23"/>
        <v>12</v>
      </c>
      <c r="H270" s="55">
        <f t="shared" si="24"/>
        <v>14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3.5">
      <c r="A271" s="54"/>
      <c r="B271" s="5" t="s">
        <v>91</v>
      </c>
      <c r="C271" s="5" t="s">
        <v>93</v>
      </c>
      <c r="D271" s="55" t="str">
        <f>VLOOKUP($B271,Letters!$C$56:$D$79,2,FALSE) &amp; VLOOKUP($C271,Letters!$C$56:$D$79,2,FALSE)</f>
        <v>LN</v>
      </c>
      <c r="E271" s="5" t="s">
        <v>1799</v>
      </c>
      <c r="F271" s="5" t="s">
        <v>1800</v>
      </c>
      <c r="G271" s="55">
        <f t="shared" si="23"/>
        <v>11</v>
      </c>
      <c r="H271" s="55">
        <f t="shared" si="24"/>
        <v>14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3.5">
      <c r="A272" s="60"/>
      <c r="B272" s="5" t="s">
        <v>91</v>
      </c>
      <c r="C272" s="5" t="s">
        <v>94</v>
      </c>
      <c r="D272" s="55" t="str">
        <f>VLOOKUP($B272,Letters!$C$56:$D$79,2,FALSE) &amp; VLOOKUP($C272,Letters!$C$56:$D$79,2,FALSE)</f>
        <v>LO</v>
      </c>
      <c r="E272" s="5" t="s">
        <v>1801</v>
      </c>
      <c r="F272" s="5" t="s">
        <v>1802</v>
      </c>
      <c r="G272" s="55">
        <f t="shared" si="23"/>
        <v>11</v>
      </c>
      <c r="H272" s="55">
        <f t="shared" si="24"/>
        <v>12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3.5">
      <c r="A273" s="60"/>
      <c r="B273" s="5" t="s">
        <v>91</v>
      </c>
      <c r="C273" s="5" t="s">
        <v>95</v>
      </c>
      <c r="D273" s="55" t="str">
        <f>VLOOKUP($B273,Letters!$C$56:$D$79,2,FALSE) &amp; VLOOKUP($C273,Letters!$C$56:$D$79,2,FALSE)</f>
        <v>LP</v>
      </c>
      <c r="E273" s="5" t="s">
        <v>1803</v>
      </c>
      <c r="F273" s="5" t="s">
        <v>1804</v>
      </c>
      <c r="G273" s="55">
        <f t="shared" si="23"/>
        <v>8</v>
      </c>
      <c r="H273" s="55">
        <f t="shared" si="24"/>
        <v>8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3.5">
      <c r="A274" s="60"/>
      <c r="B274" s="5" t="s">
        <v>91</v>
      </c>
      <c r="C274" s="5" t="s">
        <v>96</v>
      </c>
      <c r="D274" s="55" t="str">
        <f>VLOOKUP($B274,Letters!$C$56:$D$79,2,FALSE) &amp; VLOOKUP($C274,Letters!$C$56:$D$79,2,FALSE)</f>
        <v>LW</v>
      </c>
      <c r="E274" s="5" t="s">
        <v>1805</v>
      </c>
      <c r="F274" s="5" t="s">
        <v>1806</v>
      </c>
      <c r="G274" s="55">
        <f t="shared" si="23"/>
        <v>8</v>
      </c>
      <c r="H274" s="55">
        <f t="shared" si="24"/>
        <v>8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3.5">
      <c r="A275" s="60"/>
      <c r="B275" s="5" t="s">
        <v>91</v>
      </c>
      <c r="C275" s="5" t="s">
        <v>97</v>
      </c>
      <c r="D275" s="55" t="str">
        <f>VLOOKUP($B275,Letters!$C$56:$D$79,2,FALSE) &amp; VLOOKUP($C275,Letters!$C$56:$D$79,2,FALSE)</f>
        <v>LR</v>
      </c>
      <c r="E275" s="5" t="s">
        <v>1807</v>
      </c>
      <c r="F275" s="5" t="s">
        <v>1808</v>
      </c>
      <c r="G275" s="55">
        <f t="shared" si="23"/>
        <v>10</v>
      </c>
      <c r="H275" s="55">
        <f t="shared" si="24"/>
        <v>12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3.5">
      <c r="A276" s="60"/>
      <c r="B276" s="5" t="s">
        <v>91</v>
      </c>
      <c r="C276" s="5" t="s">
        <v>98</v>
      </c>
      <c r="D276" s="55" t="str">
        <f>VLOOKUP($B276,Letters!$C$56:$D$79,2,FALSE) &amp; VLOOKUP($C276,Letters!$C$56:$D$79,2,FALSE)</f>
        <v>LS</v>
      </c>
      <c r="E276" s="5" t="s">
        <v>1809</v>
      </c>
      <c r="F276" s="5" t="s">
        <v>1810</v>
      </c>
      <c r="G276" s="55">
        <f t="shared" si="23"/>
        <v>10</v>
      </c>
      <c r="H276" s="55">
        <f t="shared" si="24"/>
        <v>13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3.5">
      <c r="A277" s="60"/>
      <c r="B277" s="5" t="s">
        <v>91</v>
      </c>
      <c r="C277" s="5" t="s">
        <v>99</v>
      </c>
      <c r="D277" s="55" t="str">
        <f>VLOOKUP($B277,Letters!$C$56:$D$79,2,FALSE) &amp; VLOOKUP($C277,Letters!$C$56:$D$79,2,FALSE)</f>
        <v>LT</v>
      </c>
      <c r="E277" s="5" t="s">
        <v>1811</v>
      </c>
      <c r="F277" s="5" t="s">
        <v>1812</v>
      </c>
      <c r="G277" s="55">
        <f t="shared" si="23"/>
        <v>8</v>
      </c>
      <c r="H277" s="55">
        <f t="shared" si="24"/>
        <v>10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3.5">
      <c r="A278" s="60"/>
      <c r="B278" s="5" t="s">
        <v>91</v>
      </c>
      <c r="C278" s="5" t="s">
        <v>100</v>
      </c>
      <c r="D278" s="55" t="str">
        <f>VLOOKUP($B278,Letters!$C$56:$D$79,2,FALSE) &amp; VLOOKUP($C278,Letters!$C$56:$D$79,2,FALSE)</f>
        <v>LU</v>
      </c>
      <c r="E278" s="5" t="s">
        <v>1813</v>
      </c>
      <c r="F278" s="5" t="s">
        <v>1814</v>
      </c>
      <c r="G278" s="55">
        <f t="shared" si="23"/>
        <v>11</v>
      </c>
      <c r="H278" s="55">
        <f t="shared" si="24"/>
        <v>16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3.5">
      <c r="A279" s="60"/>
      <c r="B279" s="5" t="s">
        <v>91</v>
      </c>
      <c r="C279" s="5" t="s">
        <v>101</v>
      </c>
      <c r="D279" s="55" t="str">
        <f>VLOOKUP($B279,Letters!$C$56:$D$79,2,FALSE) &amp; VLOOKUP($C279,Letters!$C$56:$D$79,2,FALSE)</f>
        <v>LV</v>
      </c>
      <c r="E279" s="5" t="s">
        <v>1815</v>
      </c>
      <c r="F279" s="5" t="s">
        <v>1816</v>
      </c>
      <c r="G279" s="55">
        <f t="shared" si="23"/>
        <v>11</v>
      </c>
      <c r="H279" s="55">
        <f t="shared" si="24"/>
        <v>16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3.5">
      <c r="A280" s="60"/>
      <c r="B280" s="5" t="s">
        <v>91</v>
      </c>
      <c r="C280" s="5" t="s">
        <v>103</v>
      </c>
      <c r="D280" s="55" t="str">
        <f>VLOOKUP($B280,Letters!$C$56:$D$79,2,FALSE) &amp; VLOOKUP($C280,Letters!$C$56:$D$79,2,FALSE)</f>
        <v>LI</v>
      </c>
      <c r="E280" s="5" t="s">
        <v>1817</v>
      </c>
      <c r="F280" s="5" t="s">
        <v>1818</v>
      </c>
      <c r="G280" s="55">
        <f t="shared" si="23"/>
        <v>9</v>
      </c>
      <c r="H280" s="55">
        <f t="shared" si="24"/>
        <v>12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60"/>
      <c r="B281" s="5"/>
      <c r="C281" s="5"/>
      <c r="D281" s="55"/>
      <c r="E281" s="5"/>
      <c r="F281" s="5"/>
      <c r="G281" s="55"/>
      <c r="H281" s="5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3.5">
      <c r="A282" s="60"/>
      <c r="B282" s="5" t="s">
        <v>92</v>
      </c>
      <c r="C282" s="5" t="s">
        <v>78</v>
      </c>
      <c r="D282" s="55" t="str">
        <f>VLOOKUP($B282,Letters!$C$56:$D$79,2,FALSE) &amp; VLOOKUP($C282,Letters!$C$56:$D$79,2,FALSE)</f>
        <v>MA</v>
      </c>
      <c r="E282" s="5" t="s">
        <v>1819</v>
      </c>
      <c r="F282" s="5" t="s">
        <v>1820</v>
      </c>
      <c r="G282" s="55">
        <f t="shared" ref="G282:G303" si="25">(len($F282)-len(SUBSTITUTE($F282,"R","")))+(len($F282)-len(SUBSTITUTE($F282,"L","")))+(len($F282)-len(SUBSTITUTE($F282,"U","")))+(len($F282)-len(SUBSTITUTE($F282,"D","")))+(len($F282)-len(SUBSTITUTE($F282,"F","")))+(len($F282)-len(SUBSTITUTE($F282,"B","")))+(len($F282)-len(SUBSTITUTE($F282,"r","")))+(len($F282)-len(SUBSTITUTE($F282,"l","")))+(len($F282)-len(SUBSTITUTE($F282,"u","")))+(len($F282)-len(SUBSTITUTE($F282,"d","")))</f>
        <v>10</v>
      </c>
      <c r="H282" s="55">
        <f t="shared" ref="H282:H303" si="26">(len($F282)-len(SUBSTITUTE($F282,"R","")))+(len($F282)-len(SUBSTITUTE($F282,"L","")))+(len($F282)-len(SUBSTITUTE($F282,"U","")))+(len($F282)-len(SUBSTITUTE($F282,"D","")))+(len($F282)-len(SUBSTITUTE($F282,"F","")))+(len($F282)-len(SUBSTITUTE($F282,"B","")))+(len($F282)-len(SUBSTITUTE($F282,"r","")))+(len($F282)-len(SUBSTITUTE($F282,"l","")))+(len($F282)-len(SUBSTITUTE($F282,"u","")))+(len($F282)-len(SUBSTITUTE($F282,"d","")))+(len($F282)-len(SUBSTITUTE($F282,"2","")))</f>
        <v>12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3.5">
      <c r="A283" s="60"/>
      <c r="B283" s="5" t="s">
        <v>92</v>
      </c>
      <c r="C283" s="5" t="s">
        <v>80</v>
      </c>
      <c r="D283" s="55" t="str">
        <f>VLOOKUP($B283,Letters!$C$56:$D$79,2,FALSE) &amp; VLOOKUP($C283,Letters!$C$56:$D$79,2,FALSE)</f>
        <v>MB</v>
      </c>
      <c r="E283" s="5" t="s">
        <v>1821</v>
      </c>
      <c r="F283" s="5" t="s">
        <v>1822</v>
      </c>
      <c r="G283" s="55">
        <f t="shared" si="25"/>
        <v>10</v>
      </c>
      <c r="H283" s="55">
        <f t="shared" si="26"/>
        <v>12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3.5">
      <c r="A284" s="60"/>
      <c r="B284" s="5" t="s">
        <v>92</v>
      </c>
      <c r="C284" s="5" t="s">
        <v>81</v>
      </c>
      <c r="D284" s="55" t="str">
        <f>VLOOKUP($B284,Letters!$C$56:$D$79,2,FALSE) &amp; VLOOKUP($C284,Letters!$C$56:$D$79,2,FALSE)</f>
        <v>MC</v>
      </c>
      <c r="E284" s="5" t="s">
        <v>1823</v>
      </c>
      <c r="F284" s="5" t="s">
        <v>1824</v>
      </c>
      <c r="G284" s="55">
        <f t="shared" si="25"/>
        <v>10</v>
      </c>
      <c r="H284" s="55">
        <f t="shared" si="26"/>
        <v>12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3.5">
      <c r="A285" s="60"/>
      <c r="B285" s="5" t="s">
        <v>92</v>
      </c>
      <c r="C285" s="5" t="s">
        <v>82</v>
      </c>
      <c r="D285" s="55" t="str">
        <f>VLOOKUP($B285,Letters!$C$56:$D$79,2,FALSE) &amp; VLOOKUP($C285,Letters!$C$56:$D$79,2,FALSE)</f>
        <v>MD</v>
      </c>
      <c r="E285" s="5" t="s">
        <v>1825</v>
      </c>
      <c r="F285" s="5" t="s">
        <v>1826</v>
      </c>
      <c r="G285" s="55">
        <f t="shared" si="25"/>
        <v>10</v>
      </c>
      <c r="H285" s="55">
        <f t="shared" si="26"/>
        <v>12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3.5">
      <c r="A286" s="54"/>
      <c r="B286" s="5" t="s">
        <v>92</v>
      </c>
      <c r="C286" s="5" t="s">
        <v>83</v>
      </c>
      <c r="D286" s="55" t="str">
        <f>VLOOKUP($B286,Letters!$C$56:$D$79,2,FALSE) &amp; VLOOKUP($C286,Letters!$C$56:$D$79,2,FALSE)</f>
        <v>ME</v>
      </c>
      <c r="E286" s="5" t="s">
        <v>1827</v>
      </c>
      <c r="F286" s="5" t="s">
        <v>1828</v>
      </c>
      <c r="G286" s="55">
        <f t="shared" si="25"/>
        <v>11</v>
      </c>
      <c r="H286" s="55">
        <f t="shared" si="26"/>
        <v>16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3.5">
      <c r="A287" s="54"/>
      <c r="B287" s="5" t="s">
        <v>92</v>
      </c>
      <c r="C287" s="5" t="s">
        <v>84</v>
      </c>
      <c r="D287" s="55" t="str">
        <f>VLOOKUP($B287,Letters!$C$56:$D$79,2,FALSE) &amp; VLOOKUP($C287,Letters!$C$56:$D$79,2,FALSE)</f>
        <v>MF</v>
      </c>
      <c r="E287" s="5" t="s">
        <v>1829</v>
      </c>
      <c r="F287" s="5" t="s">
        <v>1830</v>
      </c>
      <c r="G287" s="55">
        <f t="shared" si="25"/>
        <v>11</v>
      </c>
      <c r="H287" s="55">
        <f t="shared" si="26"/>
        <v>14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3.5">
      <c r="A288" s="54"/>
      <c r="B288" s="5" t="s">
        <v>92</v>
      </c>
      <c r="C288" s="5" t="s">
        <v>85</v>
      </c>
      <c r="D288" s="55" t="str">
        <f>VLOOKUP($B288,Letters!$C$56:$D$79,2,FALSE) &amp; VLOOKUP($C288,Letters!$C$56:$D$79,2,FALSE)</f>
        <v>MG</v>
      </c>
      <c r="E288" s="5" t="s">
        <v>1831</v>
      </c>
      <c r="F288" s="67" t="s">
        <v>1832</v>
      </c>
      <c r="G288" s="55">
        <f t="shared" si="25"/>
        <v>9</v>
      </c>
      <c r="H288" s="55">
        <f t="shared" si="26"/>
        <v>12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3.5">
      <c r="A289" s="54"/>
      <c r="B289" s="5" t="s">
        <v>92</v>
      </c>
      <c r="C289" s="5" t="s">
        <v>86</v>
      </c>
      <c r="D289" s="55" t="str">
        <f>VLOOKUP($B289,Letters!$C$56:$D$79,2,FALSE) &amp; VLOOKUP($C289,Letters!$C$56:$D$79,2,FALSE)</f>
        <v>MH</v>
      </c>
      <c r="E289" s="5" t="s">
        <v>1833</v>
      </c>
      <c r="F289" s="5" t="s">
        <v>1834</v>
      </c>
      <c r="G289" s="55">
        <f t="shared" si="25"/>
        <v>11</v>
      </c>
      <c r="H289" s="55">
        <f t="shared" si="26"/>
        <v>14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3.5">
      <c r="A290" s="54"/>
      <c r="B290" s="5" t="s">
        <v>92</v>
      </c>
      <c r="C290" s="5" t="s">
        <v>87</v>
      </c>
      <c r="D290" s="55" t="str">
        <f>VLOOKUP($B290,Letters!$C$56:$D$79,2,FALSE) &amp; VLOOKUP($C290,Letters!$C$56:$D$79,2,FALSE)</f>
        <v>MX</v>
      </c>
      <c r="E290" s="5" t="s">
        <v>1835</v>
      </c>
      <c r="F290" s="5" t="s">
        <v>1836</v>
      </c>
      <c r="G290" s="55">
        <f t="shared" si="25"/>
        <v>11</v>
      </c>
      <c r="H290" s="55">
        <f t="shared" si="26"/>
        <v>14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3.5">
      <c r="A291" s="60"/>
      <c r="B291" s="5" t="s">
        <v>92</v>
      </c>
      <c r="C291" s="5" t="s">
        <v>89</v>
      </c>
      <c r="D291" s="55" t="str">
        <f>VLOOKUP($B291,Letters!$C$56:$D$79,2,FALSE) &amp; VLOOKUP($C291,Letters!$C$56:$D$79,2,FALSE)</f>
        <v>MJ</v>
      </c>
      <c r="E291" s="5" t="s">
        <v>1837</v>
      </c>
      <c r="F291" s="5" t="s">
        <v>1838</v>
      </c>
      <c r="G291" s="55">
        <f t="shared" si="25"/>
        <v>12</v>
      </c>
      <c r="H291" s="55">
        <f t="shared" si="26"/>
        <v>14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3.5">
      <c r="A292" s="60">
        <v>1.0</v>
      </c>
      <c r="B292" s="5" t="s">
        <v>92</v>
      </c>
      <c r="C292" s="5" t="s">
        <v>90</v>
      </c>
      <c r="D292" s="55" t="str">
        <f>VLOOKUP($B292,Letters!$C$56:$D$79,2,FALSE) &amp; VLOOKUP($C292,Letters!$C$56:$D$79,2,FALSE)</f>
        <v>MK</v>
      </c>
      <c r="E292" s="5" t="s">
        <v>1839</v>
      </c>
      <c r="F292" s="5" t="s">
        <v>1840</v>
      </c>
      <c r="G292" s="55">
        <f t="shared" si="25"/>
        <v>8</v>
      </c>
      <c r="H292" s="55">
        <f t="shared" si="26"/>
        <v>10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3.5">
      <c r="A293" s="54"/>
      <c r="B293" s="5" t="s">
        <v>92</v>
      </c>
      <c r="C293" s="5" t="s">
        <v>91</v>
      </c>
      <c r="D293" s="55" t="str">
        <f>VLOOKUP($B293,Letters!$C$56:$D$79,2,FALSE) &amp; VLOOKUP($C293,Letters!$C$56:$D$79,2,FALSE)</f>
        <v>ML</v>
      </c>
      <c r="E293" s="5" t="s">
        <v>1841</v>
      </c>
      <c r="F293" s="5" t="s">
        <v>1842</v>
      </c>
      <c r="G293" s="55">
        <f t="shared" si="25"/>
        <v>12</v>
      </c>
      <c r="H293" s="55">
        <f t="shared" si="26"/>
        <v>14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3.5">
      <c r="A294" s="54"/>
      <c r="B294" s="5" t="s">
        <v>92</v>
      </c>
      <c r="C294" s="5" t="s">
        <v>93</v>
      </c>
      <c r="D294" s="55" t="str">
        <f>VLOOKUP($B294,Letters!$C$56:$D$79,2,FALSE) &amp; VLOOKUP($C294,Letters!$C$56:$D$79,2,FALSE)</f>
        <v>MN</v>
      </c>
      <c r="E294" s="5" t="s">
        <v>1843</v>
      </c>
      <c r="F294" s="5" t="s">
        <v>1844</v>
      </c>
      <c r="G294" s="55">
        <f t="shared" si="25"/>
        <v>9</v>
      </c>
      <c r="H294" s="55">
        <f t="shared" si="26"/>
        <v>10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3.5">
      <c r="A295" s="54"/>
      <c r="B295" s="5" t="s">
        <v>92</v>
      </c>
      <c r="C295" s="5" t="s">
        <v>94</v>
      </c>
      <c r="D295" s="55" t="str">
        <f>VLOOKUP($B295,Letters!$C$56:$D$79,2,FALSE) &amp; VLOOKUP($C295,Letters!$C$56:$D$79,2,FALSE)</f>
        <v>MO</v>
      </c>
      <c r="E295" s="5" t="s">
        <v>1845</v>
      </c>
      <c r="F295" s="5" t="s">
        <v>1846</v>
      </c>
      <c r="G295" s="55">
        <f t="shared" si="25"/>
        <v>8</v>
      </c>
      <c r="H295" s="55">
        <f t="shared" si="26"/>
        <v>10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3.5">
      <c r="A296" s="54"/>
      <c r="B296" s="5" t="s">
        <v>92</v>
      </c>
      <c r="C296" s="5" t="s">
        <v>95</v>
      </c>
      <c r="D296" s="55" t="str">
        <f>VLOOKUP($B296,Letters!$C$56:$D$79,2,FALSE) &amp; VLOOKUP($C296,Letters!$C$56:$D$79,2,FALSE)</f>
        <v>MP</v>
      </c>
      <c r="E296" s="5" t="s">
        <v>1847</v>
      </c>
      <c r="F296" s="5" t="s">
        <v>1848</v>
      </c>
      <c r="G296" s="55">
        <f t="shared" si="25"/>
        <v>9</v>
      </c>
      <c r="H296" s="55">
        <f t="shared" si="26"/>
        <v>10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3.5">
      <c r="A297" s="54"/>
      <c r="B297" s="5" t="s">
        <v>92</v>
      </c>
      <c r="C297" s="5" t="s">
        <v>96</v>
      </c>
      <c r="D297" s="55" t="str">
        <f>VLOOKUP($B297,Letters!$C$56:$D$79,2,FALSE) &amp; VLOOKUP($C297,Letters!$C$56:$D$79,2,FALSE)</f>
        <v>MW</v>
      </c>
      <c r="E297" s="5" t="s">
        <v>1849</v>
      </c>
      <c r="F297" s="5" t="s">
        <v>1850</v>
      </c>
      <c r="G297" s="55">
        <f t="shared" si="25"/>
        <v>8</v>
      </c>
      <c r="H297" s="55">
        <f t="shared" si="26"/>
        <v>8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3.5">
      <c r="A298" s="60"/>
      <c r="B298" s="5" t="s">
        <v>92</v>
      </c>
      <c r="C298" s="5" t="s">
        <v>97</v>
      </c>
      <c r="D298" s="55" t="str">
        <f>VLOOKUP($B298,Letters!$C$56:$D$79,2,FALSE) &amp; VLOOKUP($C298,Letters!$C$56:$D$79,2,FALSE)</f>
        <v>MR</v>
      </c>
      <c r="E298" s="5" t="s">
        <v>1851</v>
      </c>
      <c r="F298" s="5" t="s">
        <v>1852</v>
      </c>
      <c r="G298" s="55">
        <f t="shared" si="25"/>
        <v>11</v>
      </c>
      <c r="H298" s="55">
        <f t="shared" si="26"/>
        <v>12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3.5">
      <c r="A299" s="54"/>
      <c r="B299" s="5" t="s">
        <v>92</v>
      </c>
      <c r="C299" s="5" t="s">
        <v>98</v>
      </c>
      <c r="D299" s="55" t="str">
        <f>VLOOKUP($B299,Letters!$C$56:$D$79,2,FALSE) &amp; VLOOKUP($C299,Letters!$C$56:$D$79,2,FALSE)</f>
        <v>MS</v>
      </c>
      <c r="E299" s="5" t="s">
        <v>1853</v>
      </c>
      <c r="F299" s="5" t="s">
        <v>1854</v>
      </c>
      <c r="G299" s="55">
        <f t="shared" si="25"/>
        <v>9</v>
      </c>
      <c r="H299" s="55">
        <f t="shared" si="26"/>
        <v>12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3.5">
      <c r="A300" s="54"/>
      <c r="B300" s="5" t="s">
        <v>92</v>
      </c>
      <c r="C300" s="5" t="s">
        <v>99</v>
      </c>
      <c r="D300" s="55" t="str">
        <f>VLOOKUP($B300,Letters!$C$56:$D$79,2,FALSE) &amp; VLOOKUP($C300,Letters!$C$56:$D$79,2,FALSE)</f>
        <v>MT</v>
      </c>
      <c r="E300" s="5" t="s">
        <v>1855</v>
      </c>
      <c r="F300" s="5" t="s">
        <v>1856</v>
      </c>
      <c r="G300" s="55">
        <f t="shared" si="25"/>
        <v>11</v>
      </c>
      <c r="H300" s="55">
        <f t="shared" si="26"/>
        <v>12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3.5">
      <c r="A301" s="60"/>
      <c r="B301" s="5" t="s">
        <v>92</v>
      </c>
      <c r="C301" s="5" t="s">
        <v>100</v>
      </c>
      <c r="D301" s="55" t="str">
        <f>VLOOKUP($B301,Letters!$C$56:$D$79,2,FALSE) &amp; VLOOKUP($C301,Letters!$C$56:$D$79,2,FALSE)</f>
        <v>MU</v>
      </c>
      <c r="E301" s="5" t="s">
        <v>1857</v>
      </c>
      <c r="F301" s="5" t="s">
        <v>1858</v>
      </c>
      <c r="G301" s="55">
        <f t="shared" si="25"/>
        <v>10</v>
      </c>
      <c r="H301" s="55">
        <f t="shared" si="26"/>
        <v>13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3.5">
      <c r="A302" s="54"/>
      <c r="B302" s="5" t="s">
        <v>92</v>
      </c>
      <c r="C302" s="5" t="s">
        <v>101</v>
      </c>
      <c r="D302" s="55" t="str">
        <f>VLOOKUP($B302,Letters!$C$56:$D$79,2,FALSE) &amp; VLOOKUP($C302,Letters!$C$56:$D$79,2,FALSE)</f>
        <v>MV</v>
      </c>
      <c r="E302" s="5" t="s">
        <v>1859</v>
      </c>
      <c r="F302" s="5" t="s">
        <v>1860</v>
      </c>
      <c r="G302" s="55">
        <f t="shared" si="25"/>
        <v>10</v>
      </c>
      <c r="H302" s="55">
        <f t="shared" si="26"/>
        <v>11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3.5">
      <c r="A303" s="54"/>
      <c r="B303" s="5" t="s">
        <v>92</v>
      </c>
      <c r="C303" s="5" t="s">
        <v>103</v>
      </c>
      <c r="D303" s="55" t="str">
        <f>VLOOKUP($B303,Letters!$C$56:$D$79,2,FALSE) &amp; VLOOKUP($C303,Letters!$C$56:$D$79,2,FALSE)</f>
        <v>MI</v>
      </c>
      <c r="E303" s="5" t="s">
        <v>1861</v>
      </c>
      <c r="F303" s="5" t="s">
        <v>1862</v>
      </c>
      <c r="G303" s="55">
        <f t="shared" si="25"/>
        <v>13</v>
      </c>
      <c r="H303" s="55">
        <f t="shared" si="26"/>
        <v>16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60"/>
      <c r="B304" s="5"/>
      <c r="C304" s="5"/>
      <c r="D304" s="55"/>
      <c r="E304" s="5"/>
      <c r="F304" s="5"/>
      <c r="G304" s="55"/>
      <c r="H304" s="5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3.5">
      <c r="A305" s="54"/>
      <c r="B305" s="5" t="s">
        <v>93</v>
      </c>
      <c r="C305" s="5" t="s">
        <v>78</v>
      </c>
      <c r="D305" s="55" t="str">
        <f>VLOOKUP($B305,Letters!$C$56:$D$79,2,FALSE) &amp; VLOOKUP($C305,Letters!$C$56:$D$79,2,FALSE)</f>
        <v>NA</v>
      </c>
      <c r="E305" s="5" t="s">
        <v>1863</v>
      </c>
      <c r="F305" s="5" t="s">
        <v>1864</v>
      </c>
      <c r="G305" s="55">
        <f t="shared" ref="G305:G326" si="27">(len($F305)-len(SUBSTITUTE($F305,"R","")))+(len($F305)-len(SUBSTITUTE($F305,"L","")))+(len($F305)-len(SUBSTITUTE($F305,"U","")))+(len($F305)-len(SUBSTITUTE($F305,"D","")))+(len($F305)-len(SUBSTITUTE($F305,"F","")))+(len($F305)-len(SUBSTITUTE($F305,"B","")))+(len($F305)-len(SUBSTITUTE($F305,"r","")))+(len($F305)-len(SUBSTITUTE($F305,"l","")))+(len($F305)-len(SUBSTITUTE($F305,"u","")))+(len($F305)-len(SUBSTITUTE($F305,"d","")))</f>
        <v>10</v>
      </c>
      <c r="H305" s="55">
        <f t="shared" ref="H305:H326" si="28">(len($F305)-len(SUBSTITUTE($F305,"R","")))+(len($F305)-len(SUBSTITUTE($F305,"L","")))+(len($F305)-len(SUBSTITUTE($F305,"U","")))+(len($F305)-len(SUBSTITUTE($F305,"D","")))+(len($F305)-len(SUBSTITUTE($F305,"F","")))+(len($F305)-len(SUBSTITUTE($F305,"B","")))+(len($F305)-len(SUBSTITUTE($F305,"r","")))+(len($F305)-len(SUBSTITUTE($F305,"l","")))+(len($F305)-len(SUBSTITUTE($F305,"u","")))+(len($F305)-len(SUBSTITUTE($F305,"d","")))+(len($F305)-len(SUBSTITUTE($F305,"2","")))</f>
        <v>12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3.5">
      <c r="A306" s="54"/>
      <c r="B306" s="5" t="s">
        <v>93</v>
      </c>
      <c r="C306" s="5" t="s">
        <v>80</v>
      </c>
      <c r="D306" s="55" t="str">
        <f>VLOOKUP($B306,Letters!$C$56:$D$79,2,FALSE) &amp; VLOOKUP($C306,Letters!$C$56:$D$79,2,FALSE)</f>
        <v>NB</v>
      </c>
      <c r="E306" s="5" t="s">
        <v>1865</v>
      </c>
      <c r="F306" s="5" t="s">
        <v>1866</v>
      </c>
      <c r="G306" s="55">
        <f t="shared" si="27"/>
        <v>10</v>
      </c>
      <c r="H306" s="55">
        <f t="shared" si="28"/>
        <v>12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3.5">
      <c r="A307" s="54"/>
      <c r="B307" s="5" t="s">
        <v>93</v>
      </c>
      <c r="C307" s="5" t="s">
        <v>81</v>
      </c>
      <c r="D307" s="55" t="str">
        <f>VLOOKUP($B307,Letters!$C$56:$D$79,2,FALSE) &amp; VLOOKUP($C307,Letters!$C$56:$D$79,2,FALSE)</f>
        <v>NC</v>
      </c>
      <c r="E307" s="5" t="s">
        <v>1867</v>
      </c>
      <c r="F307" s="5" t="s">
        <v>1868</v>
      </c>
      <c r="G307" s="55">
        <f t="shared" si="27"/>
        <v>9</v>
      </c>
      <c r="H307" s="55">
        <f t="shared" si="28"/>
        <v>10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3.5">
      <c r="A308" s="54"/>
      <c r="B308" s="5" t="s">
        <v>93</v>
      </c>
      <c r="C308" s="5" t="s">
        <v>82</v>
      </c>
      <c r="D308" s="55" t="str">
        <f>VLOOKUP($B308,Letters!$C$56:$D$79,2,FALSE) &amp; VLOOKUP($C308,Letters!$C$56:$D$79,2,FALSE)</f>
        <v>ND</v>
      </c>
      <c r="E308" s="5" t="s">
        <v>1869</v>
      </c>
      <c r="F308" s="5" t="s">
        <v>1870</v>
      </c>
      <c r="G308" s="55">
        <f t="shared" si="27"/>
        <v>10</v>
      </c>
      <c r="H308" s="55">
        <f t="shared" si="28"/>
        <v>12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3.5">
      <c r="A309" s="54"/>
      <c r="B309" s="5" t="s">
        <v>93</v>
      </c>
      <c r="C309" s="5" t="s">
        <v>83</v>
      </c>
      <c r="D309" s="55" t="str">
        <f>VLOOKUP($B309,Letters!$C$56:$D$79,2,FALSE) &amp; VLOOKUP($C309,Letters!$C$56:$D$79,2,FALSE)</f>
        <v>NE</v>
      </c>
      <c r="E309" s="5" t="s">
        <v>1871</v>
      </c>
      <c r="F309" s="5" t="s">
        <v>1872</v>
      </c>
      <c r="G309" s="55">
        <f t="shared" si="27"/>
        <v>11</v>
      </c>
      <c r="H309" s="55">
        <f t="shared" si="28"/>
        <v>14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3.5">
      <c r="A310" s="60"/>
      <c r="B310" s="5" t="s">
        <v>93</v>
      </c>
      <c r="C310" s="5" t="s">
        <v>84</v>
      </c>
      <c r="D310" s="55" t="str">
        <f>VLOOKUP($B310,Letters!$C$56:$D$79,2,FALSE) &amp; VLOOKUP($C310,Letters!$C$56:$D$79,2,FALSE)</f>
        <v>NF</v>
      </c>
      <c r="E310" s="5" t="s">
        <v>1873</v>
      </c>
      <c r="F310" s="5" t="s">
        <v>1874</v>
      </c>
      <c r="G310" s="55">
        <f t="shared" si="27"/>
        <v>11</v>
      </c>
      <c r="H310" s="55">
        <f t="shared" si="28"/>
        <v>12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3.5">
      <c r="A311" s="54"/>
      <c r="B311" s="5" t="s">
        <v>93</v>
      </c>
      <c r="C311" s="5" t="s">
        <v>85</v>
      </c>
      <c r="D311" s="55" t="str">
        <f>VLOOKUP($B311,Letters!$C$56:$D$79,2,FALSE) &amp; VLOOKUP($C311,Letters!$C$56:$D$79,2,FALSE)</f>
        <v>NG</v>
      </c>
      <c r="E311" s="5" t="s">
        <v>1875</v>
      </c>
      <c r="F311" s="5" t="s">
        <v>1876</v>
      </c>
      <c r="G311" s="55">
        <f t="shared" si="27"/>
        <v>9</v>
      </c>
      <c r="H311" s="55">
        <f t="shared" si="28"/>
        <v>10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3.5">
      <c r="A312" s="54"/>
      <c r="B312" s="5" t="s">
        <v>93</v>
      </c>
      <c r="C312" s="5" t="s">
        <v>86</v>
      </c>
      <c r="D312" s="55" t="str">
        <f>VLOOKUP($B312,Letters!$C$56:$D$79,2,FALSE) &amp; VLOOKUP($C312,Letters!$C$56:$D$79,2,FALSE)</f>
        <v>NH</v>
      </c>
      <c r="E312" s="5" t="s">
        <v>1877</v>
      </c>
      <c r="F312" s="5" t="s">
        <v>1878</v>
      </c>
      <c r="G312" s="55">
        <f t="shared" si="27"/>
        <v>11</v>
      </c>
      <c r="H312" s="55">
        <f t="shared" si="28"/>
        <v>12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3.5">
      <c r="A313" s="54"/>
      <c r="B313" s="5" t="s">
        <v>93</v>
      </c>
      <c r="C313" s="5" t="s">
        <v>87</v>
      </c>
      <c r="D313" s="55" t="str">
        <f>VLOOKUP($B313,Letters!$C$56:$D$79,2,FALSE) &amp; VLOOKUP($C313,Letters!$C$56:$D$79,2,FALSE)</f>
        <v>NX</v>
      </c>
      <c r="E313" s="5" t="s">
        <v>1879</v>
      </c>
      <c r="F313" s="5" t="s">
        <v>1880</v>
      </c>
      <c r="G313" s="55">
        <f t="shared" si="27"/>
        <v>11</v>
      </c>
      <c r="H313" s="55">
        <f t="shared" si="28"/>
        <v>14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3.5">
      <c r="A314" s="54"/>
      <c r="B314" s="5" t="s">
        <v>93</v>
      </c>
      <c r="C314" s="5" t="s">
        <v>89</v>
      </c>
      <c r="D314" s="55" t="str">
        <f>VLOOKUP($B314,Letters!$C$56:$D$79,2,FALSE) &amp; VLOOKUP($C314,Letters!$C$56:$D$79,2,FALSE)</f>
        <v>NJ</v>
      </c>
      <c r="E314" s="5" t="s">
        <v>1881</v>
      </c>
      <c r="F314" s="5" t="s">
        <v>1882</v>
      </c>
      <c r="G314" s="55">
        <f t="shared" si="27"/>
        <v>8</v>
      </c>
      <c r="H314" s="55">
        <f t="shared" si="28"/>
        <v>8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3.5">
      <c r="A315" s="60">
        <v>1.0</v>
      </c>
      <c r="B315" s="5" t="s">
        <v>93</v>
      </c>
      <c r="C315" s="5" t="s">
        <v>90</v>
      </c>
      <c r="D315" s="55" t="str">
        <f>VLOOKUP($B315,Letters!$C$56:$D$79,2,FALSE) &amp; VLOOKUP($C315,Letters!$C$56:$D$79,2,FALSE)</f>
        <v>NK</v>
      </c>
      <c r="E315" s="5" t="s">
        <v>1883</v>
      </c>
      <c r="F315" s="5" t="s">
        <v>1884</v>
      </c>
      <c r="G315" s="55">
        <f t="shared" si="27"/>
        <v>8</v>
      </c>
      <c r="H315" s="55">
        <f t="shared" si="28"/>
        <v>8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3.5">
      <c r="A316" s="54"/>
      <c r="B316" s="5" t="s">
        <v>93</v>
      </c>
      <c r="C316" s="5" t="s">
        <v>91</v>
      </c>
      <c r="D316" s="55" t="str">
        <f>VLOOKUP($B316,Letters!$C$56:$D$79,2,FALSE) &amp; VLOOKUP($C316,Letters!$C$56:$D$79,2,FALSE)</f>
        <v>NL</v>
      </c>
      <c r="E316" s="5" t="s">
        <v>1885</v>
      </c>
      <c r="F316" s="5" t="s">
        <v>1886</v>
      </c>
      <c r="G316" s="55">
        <f t="shared" si="27"/>
        <v>11</v>
      </c>
      <c r="H316" s="55">
        <f t="shared" si="28"/>
        <v>14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3.5">
      <c r="A317" s="54"/>
      <c r="B317" s="5" t="s">
        <v>93</v>
      </c>
      <c r="C317" s="5" t="s">
        <v>92</v>
      </c>
      <c r="D317" s="55" t="str">
        <f>VLOOKUP($B317,Letters!$C$56:$D$79,2,FALSE) &amp; VLOOKUP($C317,Letters!$C$56:$D$79,2,FALSE)</f>
        <v>NM</v>
      </c>
      <c r="E317" s="5" t="s">
        <v>1887</v>
      </c>
      <c r="F317" s="5" t="s">
        <v>1888</v>
      </c>
      <c r="G317" s="55">
        <f t="shared" si="27"/>
        <v>9</v>
      </c>
      <c r="H317" s="55">
        <f t="shared" si="28"/>
        <v>10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3.5">
      <c r="A318" s="54"/>
      <c r="B318" s="5" t="s">
        <v>93</v>
      </c>
      <c r="C318" s="5" t="s">
        <v>94</v>
      </c>
      <c r="D318" s="55" t="str">
        <f>VLOOKUP($B318,Letters!$C$56:$D$79,2,FALSE) &amp; VLOOKUP($C318,Letters!$C$56:$D$79,2,FALSE)</f>
        <v>NO</v>
      </c>
      <c r="E318" s="5" t="s">
        <v>1889</v>
      </c>
      <c r="F318" s="5" t="s">
        <v>1890</v>
      </c>
      <c r="G318" s="55">
        <f t="shared" si="27"/>
        <v>8</v>
      </c>
      <c r="H318" s="55">
        <f t="shared" si="28"/>
        <v>8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3.5">
      <c r="A319" s="60"/>
      <c r="B319" s="5" t="s">
        <v>93</v>
      </c>
      <c r="C319" s="5" t="s">
        <v>95</v>
      </c>
      <c r="D319" s="55" t="str">
        <f>VLOOKUP($B319,Letters!$C$56:$D$79,2,FALSE) &amp; VLOOKUP($C319,Letters!$C$56:$D$79,2,FALSE)</f>
        <v>NP</v>
      </c>
      <c r="E319" s="5" t="s">
        <v>1891</v>
      </c>
      <c r="F319" s="5" t="s">
        <v>1892</v>
      </c>
      <c r="G319" s="55">
        <f t="shared" si="27"/>
        <v>9</v>
      </c>
      <c r="H319" s="55">
        <f t="shared" si="28"/>
        <v>10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3.5">
      <c r="A320" s="54"/>
      <c r="B320" s="5" t="s">
        <v>93</v>
      </c>
      <c r="C320" s="5" t="s">
        <v>96</v>
      </c>
      <c r="D320" s="55" t="str">
        <f>VLOOKUP($B320,Letters!$C$56:$D$79,2,FALSE) &amp; VLOOKUP($C320,Letters!$C$56:$D$79,2,FALSE)</f>
        <v>NW</v>
      </c>
      <c r="E320" s="5" t="s">
        <v>1893</v>
      </c>
      <c r="F320" s="5" t="s">
        <v>1894</v>
      </c>
      <c r="G320" s="55">
        <f t="shared" si="27"/>
        <v>8</v>
      </c>
      <c r="H320" s="55">
        <f t="shared" si="28"/>
        <v>8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3.5">
      <c r="A321" s="60"/>
      <c r="B321" s="5" t="s">
        <v>93</v>
      </c>
      <c r="C321" s="5" t="s">
        <v>97</v>
      </c>
      <c r="D321" s="55" t="str">
        <f>VLOOKUP($B321,Letters!$C$56:$D$79,2,FALSE) &amp; VLOOKUP($C321,Letters!$C$56:$D$79,2,FALSE)</f>
        <v>NR</v>
      </c>
      <c r="E321" s="5" t="s">
        <v>1895</v>
      </c>
      <c r="F321" s="5" t="s">
        <v>1896</v>
      </c>
      <c r="G321" s="55">
        <f t="shared" si="27"/>
        <v>8</v>
      </c>
      <c r="H321" s="55">
        <f t="shared" si="28"/>
        <v>8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3.5">
      <c r="A322" s="60"/>
      <c r="B322" s="5" t="s">
        <v>93</v>
      </c>
      <c r="C322" s="5" t="s">
        <v>98</v>
      </c>
      <c r="D322" s="55" t="str">
        <f>VLOOKUP($B322,Letters!$C$56:$D$79,2,FALSE) &amp; VLOOKUP($C322,Letters!$C$56:$D$79,2,FALSE)</f>
        <v>NS</v>
      </c>
      <c r="E322" s="5" t="s">
        <v>1897</v>
      </c>
      <c r="F322" s="5" t="s">
        <v>1898</v>
      </c>
      <c r="G322" s="55">
        <f t="shared" si="27"/>
        <v>9</v>
      </c>
      <c r="H322" s="55">
        <f t="shared" si="28"/>
        <v>10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3.5">
      <c r="A323" s="60"/>
      <c r="B323" s="5" t="s">
        <v>93</v>
      </c>
      <c r="C323" s="5" t="s">
        <v>99</v>
      </c>
      <c r="D323" s="55" t="str">
        <f>VLOOKUP($B323,Letters!$C$56:$D$79,2,FALSE) &amp; VLOOKUP($C323,Letters!$C$56:$D$79,2,FALSE)</f>
        <v>NT</v>
      </c>
      <c r="E323" s="5" t="s">
        <v>1899</v>
      </c>
      <c r="F323" s="5" t="s">
        <v>1900</v>
      </c>
      <c r="G323" s="55">
        <f t="shared" si="27"/>
        <v>8</v>
      </c>
      <c r="H323" s="55">
        <f t="shared" si="28"/>
        <v>8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3.5">
      <c r="A324" s="54"/>
      <c r="B324" s="5" t="s">
        <v>93</v>
      </c>
      <c r="C324" s="5" t="s">
        <v>100</v>
      </c>
      <c r="D324" s="55" t="str">
        <f>VLOOKUP($B324,Letters!$C$56:$D$79,2,FALSE) &amp; VLOOKUP($C324,Letters!$C$56:$D$79,2,FALSE)</f>
        <v>NU</v>
      </c>
      <c r="E324" s="5" t="s">
        <v>1901</v>
      </c>
      <c r="F324" s="5" t="s">
        <v>1902</v>
      </c>
      <c r="G324" s="55">
        <f t="shared" si="27"/>
        <v>9</v>
      </c>
      <c r="H324" s="55">
        <f t="shared" si="28"/>
        <v>11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3.5">
      <c r="A325" s="54"/>
      <c r="B325" s="5" t="s">
        <v>93</v>
      </c>
      <c r="C325" s="5" t="s">
        <v>101</v>
      </c>
      <c r="D325" s="55" t="str">
        <f>VLOOKUP($B325,Letters!$C$56:$D$79,2,FALSE) &amp; VLOOKUP($C325,Letters!$C$56:$D$79,2,FALSE)</f>
        <v>NV</v>
      </c>
      <c r="E325" s="5" t="s">
        <v>1903</v>
      </c>
      <c r="F325" s="5" t="s">
        <v>1904</v>
      </c>
      <c r="G325" s="55">
        <f t="shared" si="27"/>
        <v>9</v>
      </c>
      <c r="H325" s="55">
        <f t="shared" si="28"/>
        <v>9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3.5">
      <c r="A326" s="54"/>
      <c r="B326" s="5" t="s">
        <v>93</v>
      </c>
      <c r="C326" s="5" t="s">
        <v>103</v>
      </c>
      <c r="D326" s="55" t="str">
        <f>VLOOKUP($B326,Letters!$C$56:$D$79,2,FALSE) &amp; VLOOKUP($C326,Letters!$C$56:$D$79,2,FALSE)</f>
        <v>NI</v>
      </c>
      <c r="E326" s="5" t="s">
        <v>1905</v>
      </c>
      <c r="F326" s="5" t="s">
        <v>1906</v>
      </c>
      <c r="G326" s="55">
        <f t="shared" si="27"/>
        <v>13</v>
      </c>
      <c r="H326" s="55">
        <f t="shared" si="28"/>
        <v>14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4"/>
      <c r="B327" s="5"/>
      <c r="C327" s="5"/>
      <c r="D327" s="55"/>
      <c r="E327" s="5"/>
      <c r="F327" s="5"/>
      <c r="G327" s="55"/>
      <c r="H327" s="5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3.5">
      <c r="A328" s="54"/>
      <c r="B328" s="5" t="s">
        <v>94</v>
      </c>
      <c r="C328" s="5" t="s">
        <v>78</v>
      </c>
      <c r="D328" s="55" t="str">
        <f>VLOOKUP($B328,Letters!$C$56:$D$79,2,FALSE) &amp; VLOOKUP($C328,Letters!$C$56:$D$79,2,FALSE)</f>
        <v>OA</v>
      </c>
      <c r="E328" s="5" t="s">
        <v>1907</v>
      </c>
      <c r="F328" s="5" t="s">
        <v>1908</v>
      </c>
      <c r="G328" s="55">
        <f t="shared" ref="G328:G349" si="29">(len($F328)-len(SUBSTITUTE($F328,"R","")))+(len($F328)-len(SUBSTITUTE($F328,"L","")))+(len($F328)-len(SUBSTITUTE($F328,"U","")))+(len($F328)-len(SUBSTITUTE($F328,"D","")))+(len($F328)-len(SUBSTITUTE($F328,"F","")))+(len($F328)-len(SUBSTITUTE($F328,"B","")))+(len($F328)-len(SUBSTITUTE($F328,"r","")))+(len($F328)-len(SUBSTITUTE($F328,"l","")))+(len($F328)-len(SUBSTITUTE($F328,"u","")))+(len($F328)-len(SUBSTITUTE($F328,"d","")))</f>
        <v>13</v>
      </c>
      <c r="H328" s="55">
        <f t="shared" ref="H328:H349" si="30">(len($F328)-len(SUBSTITUTE($F328,"R","")))+(len($F328)-len(SUBSTITUTE($F328,"L","")))+(len($F328)-len(SUBSTITUTE($F328,"U","")))+(len($F328)-len(SUBSTITUTE($F328,"D","")))+(len($F328)-len(SUBSTITUTE($F328,"F","")))+(len($F328)-len(SUBSTITUTE($F328,"B","")))+(len($F328)-len(SUBSTITUTE($F328,"r","")))+(len($F328)-len(SUBSTITUTE($F328,"l","")))+(len($F328)-len(SUBSTITUTE($F328,"u","")))+(len($F328)-len(SUBSTITUTE($F328,"d","")))+(len($F328)-len(SUBSTITUTE($F328,"2","")))</f>
        <v>13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3.5">
      <c r="A329" s="60"/>
      <c r="B329" s="5" t="s">
        <v>94</v>
      </c>
      <c r="C329" s="5" t="s">
        <v>80</v>
      </c>
      <c r="D329" s="55" t="str">
        <f>VLOOKUP($B329,Letters!$C$56:$D$79,2,FALSE) &amp; VLOOKUP($C329,Letters!$C$56:$D$79,2,FALSE)</f>
        <v>OB</v>
      </c>
      <c r="E329" s="5" t="s">
        <v>1909</v>
      </c>
      <c r="F329" s="5" t="s">
        <v>1910</v>
      </c>
      <c r="G329" s="55">
        <f t="shared" si="29"/>
        <v>10</v>
      </c>
      <c r="H329" s="55">
        <f t="shared" si="30"/>
        <v>12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3.5">
      <c r="A330" s="54"/>
      <c r="B330" s="5" t="s">
        <v>94</v>
      </c>
      <c r="C330" s="5" t="s">
        <v>81</v>
      </c>
      <c r="D330" s="55" t="str">
        <f>VLOOKUP($B330,Letters!$C$56:$D$79,2,FALSE) &amp; VLOOKUP($C330,Letters!$C$56:$D$79,2,FALSE)</f>
        <v>OC</v>
      </c>
      <c r="E330" s="5" t="s">
        <v>1911</v>
      </c>
      <c r="F330" s="5" t="s">
        <v>1912</v>
      </c>
      <c r="G330" s="55">
        <f t="shared" si="29"/>
        <v>10</v>
      </c>
      <c r="H330" s="55">
        <f t="shared" si="30"/>
        <v>12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3.5">
      <c r="A331" s="54"/>
      <c r="B331" s="5" t="s">
        <v>94</v>
      </c>
      <c r="C331" s="5" t="s">
        <v>82</v>
      </c>
      <c r="D331" s="55" t="str">
        <f>VLOOKUP($B331,Letters!$C$56:$D$79,2,FALSE) &amp; VLOOKUP($C331,Letters!$C$56:$D$79,2,FALSE)</f>
        <v>OD</v>
      </c>
      <c r="E331" s="5" t="s">
        <v>1913</v>
      </c>
      <c r="F331" s="5" t="s">
        <v>1914</v>
      </c>
      <c r="G331" s="55">
        <f t="shared" si="29"/>
        <v>13</v>
      </c>
      <c r="H331" s="55">
        <f t="shared" si="30"/>
        <v>18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3.5">
      <c r="A332" s="54"/>
      <c r="B332" s="5" t="s">
        <v>94</v>
      </c>
      <c r="C332" s="5" t="s">
        <v>83</v>
      </c>
      <c r="D332" s="55" t="str">
        <f>VLOOKUP($B332,Letters!$C$56:$D$79,2,FALSE) &amp; VLOOKUP($C332,Letters!$C$56:$D$79,2,FALSE)</f>
        <v>OE</v>
      </c>
      <c r="E332" s="5" t="s">
        <v>1915</v>
      </c>
      <c r="F332" s="5" t="s">
        <v>1916</v>
      </c>
      <c r="G332" s="55">
        <f t="shared" si="29"/>
        <v>9</v>
      </c>
      <c r="H332" s="55">
        <f t="shared" si="30"/>
        <v>12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3.5">
      <c r="A333" s="54"/>
      <c r="B333" s="5" t="s">
        <v>94</v>
      </c>
      <c r="C333" s="5" t="s">
        <v>84</v>
      </c>
      <c r="D333" s="55" t="str">
        <f>VLOOKUP($B333,Letters!$C$56:$D$79,2,FALSE) &amp; VLOOKUP($C333,Letters!$C$56:$D$79,2,FALSE)</f>
        <v>OF</v>
      </c>
      <c r="E333" s="5" t="s">
        <v>1917</v>
      </c>
      <c r="F333" s="5" t="s">
        <v>1918</v>
      </c>
      <c r="G333" s="55">
        <f t="shared" si="29"/>
        <v>9</v>
      </c>
      <c r="H333" s="55">
        <f t="shared" si="30"/>
        <v>10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3.5">
      <c r="A334" s="54"/>
      <c r="B334" s="5" t="s">
        <v>94</v>
      </c>
      <c r="C334" s="5" t="s">
        <v>85</v>
      </c>
      <c r="D334" s="55" t="str">
        <f>VLOOKUP($B334,Letters!$C$56:$D$79,2,FALSE) &amp; VLOOKUP($C334,Letters!$C$56:$D$79,2,FALSE)</f>
        <v>OG</v>
      </c>
      <c r="E334" s="5" t="s">
        <v>1919</v>
      </c>
      <c r="F334" s="5" t="s">
        <v>1920</v>
      </c>
      <c r="G334" s="55">
        <f t="shared" si="29"/>
        <v>11</v>
      </c>
      <c r="H334" s="55">
        <f t="shared" si="30"/>
        <v>12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3.5">
      <c r="A335" s="54"/>
      <c r="B335" s="5" t="s">
        <v>94</v>
      </c>
      <c r="C335" s="5" t="s">
        <v>86</v>
      </c>
      <c r="D335" s="55" t="str">
        <f>VLOOKUP($B335,Letters!$C$56:$D$79,2,FALSE) &amp; VLOOKUP($C335,Letters!$C$56:$D$79,2,FALSE)</f>
        <v>OH</v>
      </c>
      <c r="E335" s="5" t="s">
        <v>1921</v>
      </c>
      <c r="F335" s="5" t="s">
        <v>1922</v>
      </c>
      <c r="G335" s="55">
        <f t="shared" si="29"/>
        <v>9</v>
      </c>
      <c r="H335" s="55">
        <f t="shared" si="30"/>
        <v>10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3.5">
      <c r="A336" s="54"/>
      <c r="B336" s="5" t="s">
        <v>94</v>
      </c>
      <c r="C336" s="5" t="s">
        <v>87</v>
      </c>
      <c r="D336" s="55" t="str">
        <f>VLOOKUP($B336,Letters!$C$56:$D$79,2,FALSE) &amp; VLOOKUP($C336,Letters!$C$56:$D$79,2,FALSE)</f>
        <v>OX</v>
      </c>
      <c r="E336" s="5" t="s">
        <v>1923</v>
      </c>
      <c r="F336" s="5" t="s">
        <v>1924</v>
      </c>
      <c r="G336" s="55">
        <f t="shared" si="29"/>
        <v>11</v>
      </c>
      <c r="H336" s="55">
        <f t="shared" si="30"/>
        <v>14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3.5">
      <c r="A337" s="54"/>
      <c r="B337" s="5" t="s">
        <v>94</v>
      </c>
      <c r="C337" s="5" t="s">
        <v>89</v>
      </c>
      <c r="D337" s="55" t="str">
        <f>VLOOKUP($B337,Letters!$C$56:$D$79,2,FALSE) &amp; VLOOKUP($C337,Letters!$C$56:$D$79,2,FALSE)</f>
        <v>OJ</v>
      </c>
      <c r="E337" s="5" t="s">
        <v>1925</v>
      </c>
      <c r="F337" s="5" t="s">
        <v>1926</v>
      </c>
      <c r="G337" s="55">
        <f t="shared" si="29"/>
        <v>10</v>
      </c>
      <c r="H337" s="55">
        <f t="shared" si="30"/>
        <v>10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3.5">
      <c r="A338" s="60">
        <v>1.0</v>
      </c>
      <c r="B338" s="5" t="s">
        <v>94</v>
      </c>
      <c r="C338" s="5" t="s">
        <v>90</v>
      </c>
      <c r="D338" s="55" t="str">
        <f>VLOOKUP($B338,Letters!$C$56:$D$79,2,FALSE) &amp; VLOOKUP($C338,Letters!$C$56:$D$79,2,FALSE)</f>
        <v>OK</v>
      </c>
      <c r="E338" s="5" t="s">
        <v>1927</v>
      </c>
      <c r="F338" s="5" t="s">
        <v>1928</v>
      </c>
      <c r="G338" s="55">
        <f t="shared" si="29"/>
        <v>9</v>
      </c>
      <c r="H338" s="55">
        <f t="shared" si="30"/>
        <v>9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3.5">
      <c r="A339" s="60"/>
      <c r="B339" s="5" t="s">
        <v>94</v>
      </c>
      <c r="C339" s="5" t="s">
        <v>91</v>
      </c>
      <c r="D339" s="55" t="str">
        <f>VLOOKUP($B339,Letters!$C$56:$D$79,2,FALSE) &amp; VLOOKUP($C339,Letters!$C$56:$D$79,2,FALSE)</f>
        <v>OL</v>
      </c>
      <c r="E339" s="5" t="s">
        <v>1929</v>
      </c>
      <c r="F339" s="5" t="s">
        <v>1930</v>
      </c>
      <c r="G339" s="55">
        <f t="shared" si="29"/>
        <v>11</v>
      </c>
      <c r="H339" s="55">
        <f t="shared" si="30"/>
        <v>12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3.5">
      <c r="A340" s="60">
        <v>1.0</v>
      </c>
      <c r="B340" s="5" t="s">
        <v>94</v>
      </c>
      <c r="C340" s="5" t="s">
        <v>92</v>
      </c>
      <c r="D340" s="55" t="str">
        <f>VLOOKUP($B340,Letters!$C$56:$D$79,2,FALSE) &amp; VLOOKUP($C340,Letters!$C$56:$D$79,2,FALSE)</f>
        <v>OM</v>
      </c>
      <c r="E340" s="5" t="s">
        <v>1931</v>
      </c>
      <c r="F340" s="5" t="s">
        <v>1932</v>
      </c>
      <c r="G340" s="55">
        <f t="shared" si="29"/>
        <v>8</v>
      </c>
      <c r="H340" s="55">
        <f t="shared" si="30"/>
        <v>10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3.5">
      <c r="A341" s="60">
        <v>1.0</v>
      </c>
      <c r="B341" s="5" t="s">
        <v>94</v>
      </c>
      <c r="C341" s="5" t="s">
        <v>93</v>
      </c>
      <c r="D341" s="55" t="str">
        <f>VLOOKUP($B341,Letters!$C$56:$D$79,2,FALSE) &amp; VLOOKUP($C341,Letters!$C$56:$D$79,2,FALSE)</f>
        <v>ON</v>
      </c>
      <c r="E341" s="5" t="s">
        <v>1933</v>
      </c>
      <c r="F341" s="5" t="s">
        <v>1934</v>
      </c>
      <c r="G341" s="55">
        <f t="shared" si="29"/>
        <v>8</v>
      </c>
      <c r="H341" s="55">
        <f t="shared" si="30"/>
        <v>8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3.5">
      <c r="A342" s="60">
        <v>1.0</v>
      </c>
      <c r="B342" s="5" t="s">
        <v>94</v>
      </c>
      <c r="C342" s="5" t="s">
        <v>95</v>
      </c>
      <c r="D342" s="55" t="str">
        <f>VLOOKUP($B342,Letters!$C$56:$D$79,2,FALSE) &amp; VLOOKUP($C342,Letters!$C$56:$D$79,2,FALSE)</f>
        <v>OP</v>
      </c>
      <c r="E342" s="5" t="s">
        <v>1935</v>
      </c>
      <c r="F342" s="5" t="s">
        <v>1936</v>
      </c>
      <c r="G342" s="55">
        <f t="shared" si="29"/>
        <v>8</v>
      </c>
      <c r="H342" s="55">
        <f t="shared" si="30"/>
        <v>8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3.5">
      <c r="A343" s="54"/>
      <c r="B343" s="5" t="s">
        <v>94</v>
      </c>
      <c r="C343" s="5" t="s">
        <v>96</v>
      </c>
      <c r="D343" s="55" t="str">
        <f>VLOOKUP($B343,Letters!$C$56:$D$79,2,FALSE) &amp; VLOOKUP($C343,Letters!$C$56:$D$79,2,FALSE)</f>
        <v>OW</v>
      </c>
      <c r="E343" s="5" t="s">
        <v>1937</v>
      </c>
      <c r="F343" s="5" t="s">
        <v>1938</v>
      </c>
      <c r="G343" s="55">
        <f t="shared" si="29"/>
        <v>10</v>
      </c>
      <c r="H343" s="55">
        <f t="shared" si="30"/>
        <v>11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3.5">
      <c r="A344" s="54"/>
      <c r="B344" s="5" t="s">
        <v>94</v>
      </c>
      <c r="C344" s="5" t="s">
        <v>97</v>
      </c>
      <c r="D344" s="55" t="str">
        <f>VLOOKUP($B344,Letters!$C$56:$D$79,2,FALSE) &amp; VLOOKUP($C344,Letters!$C$56:$D$79,2,FALSE)</f>
        <v>OR</v>
      </c>
      <c r="E344" s="5" t="s">
        <v>1939</v>
      </c>
      <c r="F344" s="5" t="s">
        <v>1940</v>
      </c>
      <c r="G344" s="55">
        <f t="shared" si="29"/>
        <v>10</v>
      </c>
      <c r="H344" s="55">
        <f t="shared" si="30"/>
        <v>10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3.5">
      <c r="A345" s="54"/>
      <c r="B345" s="5" t="s">
        <v>94</v>
      </c>
      <c r="C345" s="5" t="s">
        <v>98</v>
      </c>
      <c r="D345" s="55" t="str">
        <f>VLOOKUP($B345,Letters!$C$56:$D$79,2,FALSE) &amp; VLOOKUP($C345,Letters!$C$56:$D$79,2,FALSE)</f>
        <v>OS</v>
      </c>
      <c r="E345" s="5" t="s">
        <v>1941</v>
      </c>
      <c r="F345" s="5" t="s">
        <v>1942</v>
      </c>
      <c r="G345" s="55">
        <f t="shared" si="29"/>
        <v>8</v>
      </c>
      <c r="H345" s="55">
        <f t="shared" si="30"/>
        <v>10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3.5">
      <c r="A346" s="54"/>
      <c r="B346" s="5" t="s">
        <v>94</v>
      </c>
      <c r="C346" s="5" t="s">
        <v>99</v>
      </c>
      <c r="D346" s="55" t="str">
        <f>VLOOKUP($B346,Letters!$C$56:$D$79,2,FALSE) &amp; VLOOKUP($C346,Letters!$C$56:$D$79,2,FALSE)</f>
        <v>OT</v>
      </c>
      <c r="E346" s="5" t="s">
        <v>1943</v>
      </c>
      <c r="F346" s="5" t="s">
        <v>1944</v>
      </c>
      <c r="G346" s="55">
        <f t="shared" si="29"/>
        <v>10</v>
      </c>
      <c r="H346" s="55">
        <f t="shared" si="30"/>
        <v>10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3.5">
      <c r="A347" s="54"/>
      <c r="B347" s="5" t="s">
        <v>94</v>
      </c>
      <c r="C347" s="5" t="s">
        <v>100</v>
      </c>
      <c r="D347" s="55" t="str">
        <f>VLOOKUP($B347,Letters!$C$56:$D$79,2,FALSE) &amp; VLOOKUP($C347,Letters!$C$56:$D$79,2,FALSE)</f>
        <v>OU</v>
      </c>
      <c r="E347" s="5" t="s">
        <v>1945</v>
      </c>
      <c r="F347" s="5" t="s">
        <v>1946</v>
      </c>
      <c r="G347" s="55">
        <f t="shared" si="29"/>
        <v>8</v>
      </c>
      <c r="H347" s="55">
        <f t="shared" si="30"/>
        <v>10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3.5">
      <c r="A348" s="60"/>
      <c r="B348" s="5" t="s">
        <v>94</v>
      </c>
      <c r="C348" s="5" t="s">
        <v>101</v>
      </c>
      <c r="D348" s="55" t="str">
        <f>VLOOKUP($B348,Letters!$C$56:$D$79,2,FALSE) &amp; VLOOKUP($C348,Letters!$C$56:$D$79,2,FALSE)</f>
        <v>OV</v>
      </c>
      <c r="E348" s="69" t="s">
        <v>1947</v>
      </c>
      <c r="F348" s="5" t="s">
        <v>1948</v>
      </c>
      <c r="G348" s="55">
        <f t="shared" si="29"/>
        <v>8</v>
      </c>
      <c r="H348" s="55">
        <f t="shared" si="30"/>
        <v>8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3.5">
      <c r="A349" s="54"/>
      <c r="B349" s="5" t="s">
        <v>94</v>
      </c>
      <c r="C349" s="5" t="s">
        <v>103</v>
      </c>
      <c r="D349" s="55" t="str">
        <f>VLOOKUP($B349,Letters!$C$56:$D$79,2,FALSE) &amp; VLOOKUP($C349,Letters!$C$56:$D$79,2,FALSE)</f>
        <v>OI</v>
      </c>
      <c r="E349" s="5" t="s">
        <v>1949</v>
      </c>
      <c r="F349" s="5" t="s">
        <v>1950</v>
      </c>
      <c r="G349" s="55">
        <f t="shared" si="29"/>
        <v>8</v>
      </c>
      <c r="H349" s="55">
        <f t="shared" si="30"/>
        <v>8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4"/>
      <c r="B350" s="5"/>
      <c r="C350" s="5"/>
      <c r="D350" s="55"/>
      <c r="E350" s="5"/>
      <c r="F350" s="5"/>
      <c r="G350" s="55"/>
      <c r="H350" s="5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3.5">
      <c r="A351" s="54"/>
      <c r="B351" s="5" t="s">
        <v>95</v>
      </c>
      <c r="C351" s="5" t="s">
        <v>78</v>
      </c>
      <c r="D351" s="55" t="str">
        <f>VLOOKUP($B351,Letters!$C$56:$D$79,2,FALSE) &amp; VLOOKUP($C351,Letters!$C$56:$D$79,2,FALSE)</f>
        <v>PA</v>
      </c>
      <c r="E351" s="5" t="s">
        <v>1951</v>
      </c>
      <c r="F351" s="5" t="s">
        <v>1952</v>
      </c>
      <c r="G351" s="55">
        <f t="shared" ref="G351:G372" si="31">(len($F351)-len(SUBSTITUTE($F351,"R","")))+(len($F351)-len(SUBSTITUTE($F351,"L","")))+(len($F351)-len(SUBSTITUTE($F351,"U","")))+(len($F351)-len(SUBSTITUTE($F351,"D","")))+(len($F351)-len(SUBSTITUTE($F351,"F","")))+(len($F351)-len(SUBSTITUTE($F351,"B","")))+(len($F351)-len(SUBSTITUTE($F351,"r","")))+(len($F351)-len(SUBSTITUTE($F351,"l","")))+(len($F351)-len(SUBSTITUTE($F351,"u","")))+(len($F351)-len(SUBSTITUTE($F351,"d","")))</f>
        <v>11</v>
      </c>
      <c r="H351" s="55">
        <f t="shared" ref="H351:H372" si="32">(len($F351)-len(SUBSTITUTE($F351,"R","")))+(len($F351)-len(SUBSTITUTE($F351,"L","")))+(len($F351)-len(SUBSTITUTE($F351,"U","")))+(len($F351)-len(SUBSTITUTE($F351,"D","")))+(len($F351)-len(SUBSTITUTE($F351,"F","")))+(len($F351)-len(SUBSTITUTE($F351,"B","")))+(len($F351)-len(SUBSTITUTE($F351,"r","")))+(len($F351)-len(SUBSTITUTE($F351,"l","")))+(len($F351)-len(SUBSTITUTE($F351,"u","")))+(len($F351)-len(SUBSTITUTE($F351,"d","")))+(len($F351)-len(SUBSTITUTE($F351,"2","")))</f>
        <v>12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3.5">
      <c r="A352" s="54"/>
      <c r="B352" s="5" t="s">
        <v>95</v>
      </c>
      <c r="C352" s="5" t="s">
        <v>80</v>
      </c>
      <c r="D352" s="55" t="str">
        <f>VLOOKUP($B352,Letters!$C$56:$D$79,2,FALSE) &amp; VLOOKUP($C352,Letters!$C$56:$D$79,2,FALSE)</f>
        <v>PB</v>
      </c>
      <c r="E352" s="5" t="s">
        <v>1953</v>
      </c>
      <c r="F352" s="5" t="s">
        <v>1954</v>
      </c>
      <c r="G352" s="55">
        <f t="shared" si="31"/>
        <v>10</v>
      </c>
      <c r="H352" s="55">
        <f t="shared" si="32"/>
        <v>12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3.5">
      <c r="A353" s="54"/>
      <c r="B353" s="5" t="s">
        <v>95</v>
      </c>
      <c r="C353" s="5" t="s">
        <v>81</v>
      </c>
      <c r="D353" s="55" t="str">
        <f>VLOOKUP($B353,Letters!$C$56:$D$79,2,FALSE) &amp; VLOOKUP($C353,Letters!$C$56:$D$79,2,FALSE)</f>
        <v>PC</v>
      </c>
      <c r="E353" s="5" t="s">
        <v>1955</v>
      </c>
      <c r="F353" s="5" t="s">
        <v>1956</v>
      </c>
      <c r="G353" s="55">
        <f t="shared" si="31"/>
        <v>9</v>
      </c>
      <c r="H353" s="55">
        <f t="shared" si="32"/>
        <v>10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3.5">
      <c r="A354" s="54"/>
      <c r="B354" s="5" t="s">
        <v>95</v>
      </c>
      <c r="C354" s="5" t="s">
        <v>82</v>
      </c>
      <c r="D354" s="55" t="str">
        <f>VLOOKUP($B354,Letters!$C$56:$D$79,2,FALSE) &amp; VLOOKUP($C354,Letters!$C$56:$D$79,2,FALSE)</f>
        <v>PD</v>
      </c>
      <c r="E354" s="5" t="s">
        <v>1957</v>
      </c>
      <c r="F354" s="5" t="s">
        <v>1958</v>
      </c>
      <c r="G354" s="55">
        <f t="shared" si="31"/>
        <v>11</v>
      </c>
      <c r="H354" s="55">
        <f t="shared" si="32"/>
        <v>12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3.5">
      <c r="A355" s="54"/>
      <c r="B355" s="5" t="s">
        <v>95</v>
      </c>
      <c r="C355" s="5" t="s">
        <v>83</v>
      </c>
      <c r="D355" s="55" t="str">
        <f>VLOOKUP($B355,Letters!$C$56:$D$79,2,FALSE) &amp; VLOOKUP($C355,Letters!$C$56:$D$79,2,FALSE)</f>
        <v>PE</v>
      </c>
      <c r="E355" s="5" t="s">
        <v>1959</v>
      </c>
      <c r="F355" s="5" t="s">
        <v>1960</v>
      </c>
      <c r="G355" s="55">
        <f t="shared" si="31"/>
        <v>11</v>
      </c>
      <c r="H355" s="55">
        <f t="shared" si="32"/>
        <v>14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3.5">
      <c r="A356" s="54"/>
      <c r="B356" s="5" t="s">
        <v>95</v>
      </c>
      <c r="C356" s="5" t="s">
        <v>84</v>
      </c>
      <c r="D356" s="55" t="str">
        <f>VLOOKUP($B356,Letters!$C$56:$D$79,2,FALSE) &amp; VLOOKUP($C356,Letters!$C$56:$D$79,2,FALSE)</f>
        <v>PF</v>
      </c>
      <c r="E356" s="5" t="s">
        <v>1961</v>
      </c>
      <c r="F356" s="5" t="s">
        <v>1962</v>
      </c>
      <c r="G356" s="55">
        <f t="shared" si="31"/>
        <v>11</v>
      </c>
      <c r="H356" s="55">
        <f t="shared" si="32"/>
        <v>12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3.5">
      <c r="A357" s="60">
        <v>1.0</v>
      </c>
      <c r="B357" s="5" t="s">
        <v>95</v>
      </c>
      <c r="C357" s="5" t="s">
        <v>85</v>
      </c>
      <c r="D357" s="55" t="str">
        <f>VLOOKUP($B357,Letters!$C$56:$D$79,2,FALSE) &amp; VLOOKUP($C357,Letters!$C$56:$D$79,2,FALSE)</f>
        <v>PG</v>
      </c>
      <c r="E357" s="5" t="s">
        <v>1963</v>
      </c>
      <c r="F357" s="5" t="s">
        <v>1964</v>
      </c>
      <c r="G357" s="55">
        <f t="shared" si="31"/>
        <v>9</v>
      </c>
      <c r="H357" s="55">
        <f t="shared" si="32"/>
        <v>10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3.5">
      <c r="A358" s="60"/>
      <c r="B358" s="5" t="s">
        <v>95</v>
      </c>
      <c r="C358" s="5" t="s">
        <v>86</v>
      </c>
      <c r="D358" s="55" t="str">
        <f>VLOOKUP($B358,Letters!$C$56:$D$79,2,FALSE) &amp; VLOOKUP($C358,Letters!$C$56:$D$79,2,FALSE)</f>
        <v>PH</v>
      </c>
      <c r="E358" s="5" t="s">
        <v>1965</v>
      </c>
      <c r="F358" s="5" t="s">
        <v>1966</v>
      </c>
      <c r="G358" s="55">
        <f t="shared" si="31"/>
        <v>11</v>
      </c>
      <c r="H358" s="55">
        <f t="shared" si="32"/>
        <v>12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3.5">
      <c r="A359" s="54"/>
      <c r="B359" s="5" t="s">
        <v>95</v>
      </c>
      <c r="C359" s="5" t="s">
        <v>87</v>
      </c>
      <c r="D359" s="55" t="str">
        <f>VLOOKUP($B359,Letters!$C$56:$D$79,2,FALSE) &amp; VLOOKUP($C359,Letters!$C$56:$D$79,2,FALSE)</f>
        <v>PX</v>
      </c>
      <c r="E359" s="5" t="s">
        <v>1967</v>
      </c>
      <c r="F359" s="5" t="s">
        <v>1968</v>
      </c>
      <c r="G359" s="55">
        <f t="shared" si="31"/>
        <v>11</v>
      </c>
      <c r="H359" s="55">
        <f t="shared" si="32"/>
        <v>16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3.5">
      <c r="A360" s="54"/>
      <c r="B360" s="5" t="s">
        <v>95</v>
      </c>
      <c r="C360" s="5" t="s">
        <v>89</v>
      </c>
      <c r="D360" s="55" t="str">
        <f>VLOOKUP($B360,Letters!$C$56:$D$79,2,FALSE) &amp; VLOOKUP($C360,Letters!$C$56:$D$79,2,FALSE)</f>
        <v>PJ</v>
      </c>
      <c r="E360" s="5" t="s">
        <v>1969</v>
      </c>
      <c r="F360" s="5" t="s">
        <v>1970</v>
      </c>
      <c r="G360" s="55">
        <f t="shared" si="31"/>
        <v>12</v>
      </c>
      <c r="H360" s="55">
        <f t="shared" si="32"/>
        <v>12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3.5">
      <c r="A361" s="60">
        <v>1.0</v>
      </c>
      <c r="B361" s="5" t="s">
        <v>95</v>
      </c>
      <c r="C361" s="5" t="s">
        <v>90</v>
      </c>
      <c r="D361" s="55" t="str">
        <f>VLOOKUP($B361,Letters!$C$56:$D$79,2,FALSE) &amp; VLOOKUP($C361,Letters!$C$56:$D$79,2,FALSE)</f>
        <v>PK</v>
      </c>
      <c r="E361" s="5" t="s">
        <v>1971</v>
      </c>
      <c r="F361" s="5" t="s">
        <v>1972</v>
      </c>
      <c r="G361" s="55">
        <f t="shared" si="31"/>
        <v>8</v>
      </c>
      <c r="H361" s="55">
        <f t="shared" si="32"/>
        <v>8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3.5">
      <c r="A362" s="54"/>
      <c r="B362" s="5" t="s">
        <v>95</v>
      </c>
      <c r="C362" s="5" t="s">
        <v>91</v>
      </c>
      <c r="D362" s="55" t="str">
        <f>VLOOKUP($B362,Letters!$C$56:$D$79,2,FALSE) &amp; VLOOKUP($C362,Letters!$C$56:$D$79,2,FALSE)</f>
        <v>PL</v>
      </c>
      <c r="E362" s="5" t="s">
        <v>1973</v>
      </c>
      <c r="F362" s="5" t="s">
        <v>1974</v>
      </c>
      <c r="G362" s="55">
        <f t="shared" si="31"/>
        <v>8</v>
      </c>
      <c r="H362" s="55">
        <f t="shared" si="32"/>
        <v>8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3.5">
      <c r="A363" s="60">
        <v>1.0</v>
      </c>
      <c r="B363" s="5" t="s">
        <v>95</v>
      </c>
      <c r="C363" s="5" t="s">
        <v>92</v>
      </c>
      <c r="D363" s="55" t="str">
        <f>VLOOKUP($B363,Letters!$C$56:$D$79,2,FALSE) &amp; VLOOKUP($C363,Letters!$C$56:$D$79,2,FALSE)</f>
        <v>PM</v>
      </c>
      <c r="E363" s="5" t="s">
        <v>1975</v>
      </c>
      <c r="F363" s="5" t="s">
        <v>1976</v>
      </c>
      <c r="G363" s="55">
        <f t="shared" si="31"/>
        <v>9</v>
      </c>
      <c r="H363" s="55">
        <f t="shared" si="32"/>
        <v>10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3.5">
      <c r="A364" s="60">
        <v>1.0</v>
      </c>
      <c r="B364" s="5" t="s">
        <v>95</v>
      </c>
      <c r="C364" s="5" t="s">
        <v>93</v>
      </c>
      <c r="D364" s="55" t="str">
        <f>VLOOKUP($B364,Letters!$C$56:$D$79,2,FALSE) &amp; VLOOKUP($C364,Letters!$C$56:$D$79,2,FALSE)</f>
        <v>PN</v>
      </c>
      <c r="E364" s="5" t="s">
        <v>1977</v>
      </c>
      <c r="F364" s="5" t="s">
        <v>1978</v>
      </c>
      <c r="G364" s="55">
        <f t="shared" si="31"/>
        <v>9</v>
      </c>
      <c r="H364" s="55">
        <f t="shared" si="32"/>
        <v>10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3.5">
      <c r="A365" s="60">
        <v>1.0</v>
      </c>
      <c r="B365" s="5" t="s">
        <v>95</v>
      </c>
      <c r="C365" s="5" t="s">
        <v>94</v>
      </c>
      <c r="D365" s="55" t="str">
        <f>VLOOKUP($B365,Letters!$C$56:$D$79,2,FALSE) &amp; VLOOKUP($C365,Letters!$C$56:$D$79,2,FALSE)</f>
        <v>PO</v>
      </c>
      <c r="E365" s="5" t="s">
        <v>1979</v>
      </c>
      <c r="F365" s="5" t="s">
        <v>1980</v>
      </c>
      <c r="G365" s="55">
        <f t="shared" si="31"/>
        <v>8</v>
      </c>
      <c r="H365" s="55">
        <f t="shared" si="32"/>
        <v>8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3.5">
      <c r="A366" s="54"/>
      <c r="B366" s="5" t="s">
        <v>95</v>
      </c>
      <c r="C366" s="5" t="s">
        <v>96</v>
      </c>
      <c r="D366" s="55" t="str">
        <f>VLOOKUP($B366,Letters!$C$56:$D$79,2,FALSE) &amp; VLOOKUP($C366,Letters!$C$56:$D$79,2,FALSE)</f>
        <v>PW</v>
      </c>
      <c r="E366" s="5" t="s">
        <v>1981</v>
      </c>
      <c r="F366" s="5" t="s">
        <v>1982</v>
      </c>
      <c r="G366" s="55">
        <f t="shared" si="31"/>
        <v>8</v>
      </c>
      <c r="H366" s="55">
        <f t="shared" si="32"/>
        <v>8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3.5">
      <c r="A367" s="60"/>
      <c r="B367" s="5" t="s">
        <v>95</v>
      </c>
      <c r="C367" s="5" t="s">
        <v>97</v>
      </c>
      <c r="D367" s="55" t="str">
        <f>VLOOKUP($B367,Letters!$C$56:$D$79,2,FALSE) &amp; VLOOKUP($C367,Letters!$C$56:$D$79,2,FALSE)</f>
        <v>PR</v>
      </c>
      <c r="E367" s="5" t="s">
        <v>1983</v>
      </c>
      <c r="F367" s="5" t="s">
        <v>1984</v>
      </c>
      <c r="G367" s="55">
        <f t="shared" si="31"/>
        <v>11</v>
      </c>
      <c r="H367" s="55">
        <f t="shared" si="32"/>
        <v>12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3.5">
      <c r="A368" s="60">
        <v>1.0</v>
      </c>
      <c r="B368" s="5" t="s">
        <v>95</v>
      </c>
      <c r="C368" s="5" t="s">
        <v>98</v>
      </c>
      <c r="D368" s="55" t="str">
        <f>VLOOKUP($B368,Letters!$C$56:$D$79,2,FALSE) &amp; VLOOKUP($C368,Letters!$C$56:$D$79,2,FALSE)</f>
        <v>PS</v>
      </c>
      <c r="E368" s="5" t="s">
        <v>1985</v>
      </c>
      <c r="F368" s="5" t="s">
        <v>1986</v>
      </c>
      <c r="G368" s="55">
        <f t="shared" si="31"/>
        <v>9</v>
      </c>
      <c r="H368" s="55">
        <f t="shared" si="32"/>
        <v>10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3.5">
      <c r="A369" s="54"/>
      <c r="B369" s="5" t="s">
        <v>95</v>
      </c>
      <c r="C369" s="5" t="s">
        <v>99</v>
      </c>
      <c r="D369" s="55" t="str">
        <f>VLOOKUP($B369,Letters!$C$56:$D$79,2,FALSE) &amp; VLOOKUP($C369,Letters!$C$56:$D$79,2,FALSE)</f>
        <v>PT</v>
      </c>
      <c r="E369" s="5" t="s">
        <v>1987</v>
      </c>
      <c r="F369" s="5" t="s">
        <v>1988</v>
      </c>
      <c r="G369" s="55">
        <f t="shared" si="31"/>
        <v>8</v>
      </c>
      <c r="H369" s="55">
        <f t="shared" si="32"/>
        <v>8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3.5">
      <c r="A370" s="54"/>
      <c r="B370" s="5" t="s">
        <v>95</v>
      </c>
      <c r="C370" s="5" t="s">
        <v>100</v>
      </c>
      <c r="D370" s="55" t="str">
        <f>VLOOKUP($B370,Letters!$C$56:$D$79,2,FALSE) &amp; VLOOKUP($C370,Letters!$C$56:$D$79,2,FALSE)</f>
        <v>PU</v>
      </c>
      <c r="E370" s="5" t="s">
        <v>1989</v>
      </c>
      <c r="F370" s="5" t="s">
        <v>1990</v>
      </c>
      <c r="G370" s="55">
        <f t="shared" si="31"/>
        <v>10</v>
      </c>
      <c r="H370" s="55">
        <f t="shared" si="32"/>
        <v>13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3.5">
      <c r="A371" s="54"/>
      <c r="B371" s="5" t="s">
        <v>95</v>
      </c>
      <c r="C371" s="5" t="s">
        <v>101</v>
      </c>
      <c r="D371" s="55" t="str">
        <f>VLOOKUP($B371,Letters!$C$56:$D$79,2,FALSE) &amp; VLOOKUP($C371,Letters!$C$56:$D$79,2,FALSE)</f>
        <v>PV</v>
      </c>
      <c r="E371" s="5" t="s">
        <v>1991</v>
      </c>
      <c r="F371" s="5" t="s">
        <v>1992</v>
      </c>
      <c r="G371" s="55">
        <f t="shared" si="31"/>
        <v>10</v>
      </c>
      <c r="H371" s="55">
        <f t="shared" si="32"/>
        <v>11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3.5">
      <c r="A372" s="54"/>
      <c r="B372" s="5" t="s">
        <v>95</v>
      </c>
      <c r="C372" s="5" t="s">
        <v>103</v>
      </c>
      <c r="D372" s="55" t="str">
        <f>VLOOKUP($B372,Letters!$C$56:$D$79,2,FALSE) &amp; VLOOKUP($C372,Letters!$C$56:$D$79,2,FALSE)</f>
        <v>PI</v>
      </c>
      <c r="E372" s="5" t="s">
        <v>1993</v>
      </c>
      <c r="F372" s="5" t="s">
        <v>1994</v>
      </c>
      <c r="G372" s="55">
        <f t="shared" si="31"/>
        <v>12</v>
      </c>
      <c r="H372" s="55">
        <f t="shared" si="32"/>
        <v>12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4"/>
      <c r="B373" s="5"/>
      <c r="C373" s="5"/>
      <c r="D373" s="55"/>
      <c r="E373" s="5"/>
      <c r="F373" s="5"/>
      <c r="G373" s="55"/>
      <c r="H373" s="5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3.5">
      <c r="A374" s="54"/>
      <c r="B374" s="5" t="s">
        <v>96</v>
      </c>
      <c r="C374" s="5" t="s">
        <v>78</v>
      </c>
      <c r="D374" s="55" t="str">
        <f>VLOOKUP($B374,Letters!$C$56:$D$79,2,FALSE) &amp; VLOOKUP($C374,Letters!$C$56:$D$79,2,FALSE)</f>
        <v>WA</v>
      </c>
      <c r="E374" s="5" t="s">
        <v>1995</v>
      </c>
      <c r="F374" s="5" t="s">
        <v>1996</v>
      </c>
      <c r="G374" s="55">
        <f t="shared" ref="G374:G395" si="33">(len($F374)-len(SUBSTITUTE($F374,"R","")))+(len($F374)-len(SUBSTITUTE($F374,"L","")))+(len($F374)-len(SUBSTITUTE($F374,"U","")))+(len($F374)-len(SUBSTITUTE($F374,"D","")))+(len($F374)-len(SUBSTITUTE($F374,"F","")))+(len($F374)-len(SUBSTITUTE($F374,"B","")))+(len($F374)-len(SUBSTITUTE($F374,"r","")))+(len($F374)-len(SUBSTITUTE($F374,"l","")))+(len($F374)-len(SUBSTITUTE($F374,"u","")))+(len($F374)-len(SUBSTITUTE($F374,"d","")))</f>
        <v>12</v>
      </c>
      <c r="H374" s="55">
        <f t="shared" ref="H374:H395" si="34">(len($F374)-len(SUBSTITUTE($F374,"R","")))+(len($F374)-len(SUBSTITUTE($F374,"L","")))+(len($F374)-len(SUBSTITUTE($F374,"U","")))+(len($F374)-len(SUBSTITUTE($F374,"D","")))+(len($F374)-len(SUBSTITUTE($F374,"F","")))+(len($F374)-len(SUBSTITUTE($F374,"B","")))+(len($F374)-len(SUBSTITUTE($F374,"r","")))+(len($F374)-len(SUBSTITUTE($F374,"l","")))+(len($F374)-len(SUBSTITUTE($F374,"u","")))+(len($F374)-len(SUBSTITUTE($F374,"d","")))+(len($F374)-len(SUBSTITUTE($F374,"2","")))</f>
        <v>13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3.5">
      <c r="A375" s="54"/>
      <c r="B375" s="5" t="s">
        <v>96</v>
      </c>
      <c r="C375" s="5" t="s">
        <v>80</v>
      </c>
      <c r="D375" s="55" t="str">
        <f>VLOOKUP($B375,Letters!$C$56:$D$79,2,FALSE) &amp; VLOOKUP($C375,Letters!$C$56:$D$79,2,FALSE)</f>
        <v>WB</v>
      </c>
      <c r="E375" s="5" t="s">
        <v>1997</v>
      </c>
      <c r="F375" s="5" t="s">
        <v>1998</v>
      </c>
      <c r="G375" s="55">
        <f t="shared" si="33"/>
        <v>8</v>
      </c>
      <c r="H375" s="55">
        <f t="shared" si="34"/>
        <v>10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3.5">
      <c r="A376" s="54"/>
      <c r="B376" s="5" t="s">
        <v>96</v>
      </c>
      <c r="C376" s="5" t="s">
        <v>81</v>
      </c>
      <c r="D376" s="55" t="str">
        <f>VLOOKUP($B376,Letters!$C$56:$D$79,2,FALSE) &amp; VLOOKUP($C376,Letters!$C$56:$D$79,2,FALSE)</f>
        <v>WC</v>
      </c>
      <c r="E376" s="5" t="s">
        <v>1999</v>
      </c>
      <c r="F376" s="5" t="s">
        <v>2000</v>
      </c>
      <c r="G376" s="55">
        <f t="shared" si="33"/>
        <v>12</v>
      </c>
      <c r="H376" s="55">
        <f t="shared" si="34"/>
        <v>13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3.5">
      <c r="A377" s="54"/>
      <c r="B377" s="5" t="s">
        <v>96</v>
      </c>
      <c r="C377" s="5" t="s">
        <v>82</v>
      </c>
      <c r="D377" s="55" t="str">
        <f>VLOOKUP($B377,Letters!$C$56:$D$79,2,FALSE) &amp; VLOOKUP($C377,Letters!$C$56:$D$79,2,FALSE)</f>
        <v>WD</v>
      </c>
      <c r="E377" s="5" t="s">
        <v>2001</v>
      </c>
      <c r="F377" s="5" t="s">
        <v>2002</v>
      </c>
      <c r="G377" s="55">
        <f t="shared" si="33"/>
        <v>8</v>
      </c>
      <c r="H377" s="55">
        <f t="shared" si="34"/>
        <v>10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3.5">
      <c r="A378" s="60"/>
      <c r="B378" s="5" t="s">
        <v>96</v>
      </c>
      <c r="C378" s="5" t="s">
        <v>83</v>
      </c>
      <c r="D378" s="55" t="str">
        <f>VLOOKUP($B378,Letters!$C$56:$D$79,2,FALSE) &amp; VLOOKUP($C378,Letters!$C$56:$D$79,2,FALSE)</f>
        <v>WE</v>
      </c>
      <c r="E378" s="5" t="s">
        <v>2003</v>
      </c>
      <c r="F378" s="5" t="s">
        <v>2004</v>
      </c>
      <c r="G378" s="55">
        <f t="shared" si="33"/>
        <v>8</v>
      </c>
      <c r="H378" s="55">
        <f t="shared" si="34"/>
        <v>8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3.5">
      <c r="A379" s="54"/>
      <c r="B379" s="5" t="s">
        <v>96</v>
      </c>
      <c r="C379" s="5" t="s">
        <v>84</v>
      </c>
      <c r="D379" s="55" t="str">
        <f>VLOOKUP($B379,Letters!$C$56:$D$79,2,FALSE) &amp; VLOOKUP($C379,Letters!$C$56:$D$79,2,FALSE)</f>
        <v>WF</v>
      </c>
      <c r="E379" s="5" t="s">
        <v>2005</v>
      </c>
      <c r="F379" s="5" t="s">
        <v>2006</v>
      </c>
      <c r="G379" s="55">
        <f t="shared" si="33"/>
        <v>8</v>
      </c>
      <c r="H379" s="55">
        <f t="shared" si="34"/>
        <v>8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3.5">
      <c r="A380" s="54"/>
      <c r="B380" s="5" t="s">
        <v>96</v>
      </c>
      <c r="C380" s="5" t="s">
        <v>85</v>
      </c>
      <c r="D380" s="55" t="str">
        <f>VLOOKUP($B380,Letters!$C$56:$D$79,2,FALSE) &amp; VLOOKUP($C380,Letters!$C$56:$D$79,2,FALSE)</f>
        <v>WG</v>
      </c>
      <c r="E380" s="5" t="s">
        <v>2007</v>
      </c>
      <c r="F380" s="5" t="s">
        <v>2008</v>
      </c>
      <c r="G380" s="55">
        <f t="shared" si="33"/>
        <v>8</v>
      </c>
      <c r="H380" s="55">
        <f t="shared" si="34"/>
        <v>10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3.5">
      <c r="A381" s="54"/>
      <c r="B381" s="5" t="s">
        <v>96</v>
      </c>
      <c r="C381" s="5" t="s">
        <v>86</v>
      </c>
      <c r="D381" s="55" t="str">
        <f>VLOOKUP($B381,Letters!$C$56:$D$79,2,FALSE) &amp; VLOOKUP($C381,Letters!$C$56:$D$79,2,FALSE)</f>
        <v>WH</v>
      </c>
      <c r="E381" s="5" t="s">
        <v>2009</v>
      </c>
      <c r="F381" s="5" t="s">
        <v>2010</v>
      </c>
      <c r="G381" s="55">
        <f t="shared" si="33"/>
        <v>8</v>
      </c>
      <c r="H381" s="55">
        <f t="shared" si="34"/>
        <v>8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3.5">
      <c r="A382" s="54"/>
      <c r="B382" s="5" t="s">
        <v>96</v>
      </c>
      <c r="C382" s="5" t="s">
        <v>87</v>
      </c>
      <c r="D382" s="55" t="str">
        <f>VLOOKUP($B382,Letters!$C$56:$D$79,2,FALSE) &amp; VLOOKUP($C382,Letters!$C$56:$D$79,2,FALSE)</f>
        <v>WX</v>
      </c>
      <c r="E382" s="5" t="s">
        <v>2011</v>
      </c>
      <c r="F382" s="5" t="s">
        <v>2012</v>
      </c>
      <c r="G382" s="55">
        <f t="shared" si="33"/>
        <v>10</v>
      </c>
      <c r="H382" s="55">
        <f t="shared" si="34"/>
        <v>14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3.5">
      <c r="A383" s="54"/>
      <c r="B383" s="5" t="s">
        <v>96</v>
      </c>
      <c r="C383" s="5" t="s">
        <v>89</v>
      </c>
      <c r="D383" s="55" t="str">
        <f>VLOOKUP($B383,Letters!$C$56:$D$79,2,FALSE) &amp; VLOOKUP($C383,Letters!$C$56:$D$79,2,FALSE)</f>
        <v>WJ</v>
      </c>
      <c r="E383" s="5" t="s">
        <v>2013</v>
      </c>
      <c r="F383" s="5" t="s">
        <v>2014</v>
      </c>
      <c r="G383" s="55">
        <f t="shared" si="33"/>
        <v>8</v>
      </c>
      <c r="H383" s="55">
        <f t="shared" si="34"/>
        <v>8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3.5">
      <c r="A384" s="54"/>
      <c r="B384" s="5" t="s">
        <v>96</v>
      </c>
      <c r="C384" s="5" t="s">
        <v>90</v>
      </c>
      <c r="D384" s="55" t="str">
        <f>VLOOKUP($B384,Letters!$C$56:$D$79,2,FALSE) &amp; VLOOKUP($C384,Letters!$C$56:$D$79,2,FALSE)</f>
        <v>WK</v>
      </c>
      <c r="E384" s="5" t="s">
        <v>2015</v>
      </c>
      <c r="F384" s="5" t="s">
        <v>2016</v>
      </c>
      <c r="G384" s="55">
        <f t="shared" si="33"/>
        <v>12</v>
      </c>
      <c r="H384" s="55">
        <f t="shared" si="34"/>
        <v>13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3.5">
      <c r="A385" s="54"/>
      <c r="B385" s="5" t="s">
        <v>96</v>
      </c>
      <c r="C385" s="5" t="s">
        <v>91</v>
      </c>
      <c r="D385" s="55" t="str">
        <f>VLOOKUP($B385,Letters!$C$56:$D$79,2,FALSE) &amp; VLOOKUP($C385,Letters!$C$56:$D$79,2,FALSE)</f>
        <v>WL</v>
      </c>
      <c r="E385" s="5" t="s">
        <v>2017</v>
      </c>
      <c r="F385" s="5" t="s">
        <v>2018</v>
      </c>
      <c r="G385" s="55">
        <f t="shared" si="33"/>
        <v>8</v>
      </c>
      <c r="H385" s="55">
        <f t="shared" si="34"/>
        <v>8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3.5">
      <c r="A386" s="60"/>
      <c r="B386" s="5" t="s">
        <v>96</v>
      </c>
      <c r="C386" s="5" t="s">
        <v>92</v>
      </c>
      <c r="D386" s="55" t="str">
        <f>VLOOKUP($B386,Letters!$C$56:$D$79,2,FALSE) &amp; VLOOKUP($C386,Letters!$C$56:$D$79,2,FALSE)</f>
        <v>WM</v>
      </c>
      <c r="E386" s="5" t="s">
        <v>2019</v>
      </c>
      <c r="F386" s="5" t="s">
        <v>2020</v>
      </c>
      <c r="G386" s="55">
        <f t="shared" si="33"/>
        <v>8</v>
      </c>
      <c r="H386" s="55">
        <f t="shared" si="34"/>
        <v>8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3.5">
      <c r="A387" s="54"/>
      <c r="B387" s="5" t="s">
        <v>96</v>
      </c>
      <c r="C387" s="5" t="s">
        <v>93</v>
      </c>
      <c r="D387" s="55" t="str">
        <f>VLOOKUP($B387,Letters!$C$56:$D$79,2,FALSE) &amp; VLOOKUP($C387,Letters!$C$56:$D$79,2,FALSE)</f>
        <v>WN</v>
      </c>
      <c r="E387" s="5" t="s">
        <v>2021</v>
      </c>
      <c r="F387" s="5" t="s">
        <v>2022</v>
      </c>
      <c r="G387" s="55">
        <f t="shared" si="33"/>
        <v>8</v>
      </c>
      <c r="H387" s="55">
        <f t="shared" si="34"/>
        <v>8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3.5">
      <c r="A388" s="54"/>
      <c r="B388" s="5" t="s">
        <v>96</v>
      </c>
      <c r="C388" s="5" t="s">
        <v>94</v>
      </c>
      <c r="D388" s="55" t="str">
        <f>VLOOKUP($B388,Letters!$C$56:$D$79,2,FALSE) &amp; VLOOKUP($C388,Letters!$C$56:$D$79,2,FALSE)</f>
        <v>WO</v>
      </c>
      <c r="E388" s="5" t="s">
        <v>2023</v>
      </c>
      <c r="F388" s="5" t="s">
        <v>2024</v>
      </c>
      <c r="G388" s="55">
        <f t="shared" si="33"/>
        <v>10</v>
      </c>
      <c r="H388" s="55">
        <f t="shared" si="34"/>
        <v>11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3.5">
      <c r="A389" s="54"/>
      <c r="B389" s="5" t="s">
        <v>96</v>
      </c>
      <c r="C389" s="5" t="s">
        <v>95</v>
      </c>
      <c r="D389" s="55" t="str">
        <f>VLOOKUP($B389,Letters!$C$56:$D$79,2,FALSE) &amp; VLOOKUP($C389,Letters!$C$56:$D$79,2,FALSE)</f>
        <v>WP</v>
      </c>
      <c r="E389" s="5" t="s">
        <v>2025</v>
      </c>
      <c r="F389" s="5" t="s">
        <v>2026</v>
      </c>
      <c r="G389" s="55">
        <f t="shared" si="33"/>
        <v>8</v>
      </c>
      <c r="H389" s="55">
        <f t="shared" si="34"/>
        <v>8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3.5">
      <c r="A390" s="60">
        <v>1.0</v>
      </c>
      <c r="B390" s="5" t="s">
        <v>96</v>
      </c>
      <c r="C390" s="5" t="s">
        <v>97</v>
      </c>
      <c r="D390" s="55" t="str">
        <f>VLOOKUP($B390,Letters!$C$56:$D$79,2,FALSE) &amp; VLOOKUP($C390,Letters!$C$56:$D$79,2,FALSE)</f>
        <v>WR</v>
      </c>
      <c r="E390" s="5" t="s">
        <v>2027</v>
      </c>
      <c r="F390" s="5" t="s">
        <v>2028</v>
      </c>
      <c r="G390" s="55">
        <f t="shared" si="33"/>
        <v>9</v>
      </c>
      <c r="H390" s="55">
        <f t="shared" si="34"/>
        <v>10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3.5">
      <c r="A391" s="54"/>
      <c r="B391" s="5" t="s">
        <v>96</v>
      </c>
      <c r="C391" s="5" t="s">
        <v>98</v>
      </c>
      <c r="D391" s="55" t="str">
        <f>VLOOKUP($B391,Letters!$C$56:$D$79,2,FALSE) &amp; VLOOKUP($C391,Letters!$C$56:$D$79,2,FALSE)</f>
        <v>WS</v>
      </c>
      <c r="E391" s="5" t="s">
        <v>2029</v>
      </c>
      <c r="F391" s="5" t="s">
        <v>2030</v>
      </c>
      <c r="G391" s="55">
        <f t="shared" si="33"/>
        <v>10</v>
      </c>
      <c r="H391" s="55">
        <f t="shared" si="34"/>
        <v>12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3.5">
      <c r="A392" s="60">
        <v>1.0</v>
      </c>
      <c r="B392" s="5" t="s">
        <v>96</v>
      </c>
      <c r="C392" s="5" t="s">
        <v>99</v>
      </c>
      <c r="D392" s="55" t="str">
        <f>VLOOKUP($B392,Letters!$C$56:$D$79,2,FALSE) &amp; VLOOKUP($C392,Letters!$C$56:$D$79,2,FALSE)</f>
        <v>WT</v>
      </c>
      <c r="E392" s="5" t="s">
        <v>2031</v>
      </c>
      <c r="F392" s="5" t="s">
        <v>2032</v>
      </c>
      <c r="G392" s="55">
        <f t="shared" si="33"/>
        <v>9</v>
      </c>
      <c r="H392" s="55">
        <f t="shared" si="34"/>
        <v>10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3.5">
      <c r="A393" s="54"/>
      <c r="B393" s="5" t="s">
        <v>96</v>
      </c>
      <c r="C393" s="5" t="s">
        <v>100</v>
      </c>
      <c r="D393" s="55" t="str">
        <f>VLOOKUP($B393,Letters!$C$56:$D$79,2,FALSE) &amp; VLOOKUP($C393,Letters!$C$56:$D$79,2,FALSE)</f>
        <v>WU</v>
      </c>
      <c r="E393" s="5" t="s">
        <v>2033</v>
      </c>
      <c r="F393" s="5" t="s">
        <v>2034</v>
      </c>
      <c r="G393" s="55">
        <f t="shared" si="33"/>
        <v>10</v>
      </c>
      <c r="H393" s="55">
        <f t="shared" si="34"/>
        <v>14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3.5">
      <c r="A394" s="60">
        <v>1.0</v>
      </c>
      <c r="B394" s="5" t="s">
        <v>96</v>
      </c>
      <c r="C394" s="5" t="s">
        <v>101</v>
      </c>
      <c r="D394" s="55" t="str">
        <f>VLOOKUP($B394,Letters!$C$56:$D$79,2,FALSE) &amp; VLOOKUP($C394,Letters!$C$56:$D$79,2,FALSE)</f>
        <v>WV</v>
      </c>
      <c r="E394" s="5" t="s">
        <v>2035</v>
      </c>
      <c r="F394" s="5" t="s">
        <v>2036</v>
      </c>
      <c r="G394" s="55">
        <f t="shared" si="33"/>
        <v>9</v>
      </c>
      <c r="H394" s="55">
        <f t="shared" si="34"/>
        <v>12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3.5">
      <c r="A395" s="60">
        <v>1.0</v>
      </c>
      <c r="B395" s="5" t="s">
        <v>96</v>
      </c>
      <c r="C395" s="5" t="s">
        <v>103</v>
      </c>
      <c r="D395" s="55" t="str">
        <f>VLOOKUP($B395,Letters!$C$56:$D$79,2,FALSE) &amp; VLOOKUP($C395,Letters!$C$56:$D$79,2,FALSE)</f>
        <v>WI</v>
      </c>
      <c r="E395" s="5" t="s">
        <v>2037</v>
      </c>
      <c r="F395" s="5" t="s">
        <v>2038</v>
      </c>
      <c r="G395" s="55">
        <f t="shared" si="33"/>
        <v>9</v>
      </c>
      <c r="H395" s="55">
        <f t="shared" si="34"/>
        <v>12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60"/>
      <c r="B396" s="5"/>
      <c r="C396" s="5"/>
      <c r="D396" s="55"/>
      <c r="E396" s="5"/>
      <c r="F396" s="5"/>
      <c r="G396" s="55"/>
      <c r="H396" s="5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3.5">
      <c r="A397" s="60">
        <v>1.0</v>
      </c>
      <c r="B397" s="5" t="s">
        <v>97</v>
      </c>
      <c r="C397" s="5" t="s">
        <v>78</v>
      </c>
      <c r="D397" s="55" t="str">
        <f>VLOOKUP($B397,Letters!$C$56:$D$79,2,FALSE) &amp; VLOOKUP($C397,Letters!$C$56:$D$79,2,FALSE)</f>
        <v>RA</v>
      </c>
      <c r="E397" s="5" t="s">
        <v>2039</v>
      </c>
      <c r="F397" s="5" t="s">
        <v>2040</v>
      </c>
      <c r="G397" s="55">
        <f t="shared" ref="G397:G418" si="35">(len($F397)-len(SUBSTITUTE($F397,"R","")))+(len($F397)-len(SUBSTITUTE($F397,"L","")))+(len($F397)-len(SUBSTITUTE($F397,"U","")))+(len($F397)-len(SUBSTITUTE($F397,"D","")))+(len($F397)-len(SUBSTITUTE($F397,"F","")))+(len($F397)-len(SUBSTITUTE($F397,"B","")))+(len($F397)-len(SUBSTITUTE($F397,"r","")))+(len($F397)-len(SUBSTITUTE($F397,"l","")))+(len($F397)-len(SUBSTITUTE($F397,"u","")))+(len($F397)-len(SUBSTITUTE($F397,"d","")))</f>
        <v>9</v>
      </c>
      <c r="H397" s="55">
        <f t="shared" ref="H397:H418" si="36">(len($F397)-len(SUBSTITUTE($F397,"R","")))+(len($F397)-len(SUBSTITUTE($F397,"L","")))+(len($F397)-len(SUBSTITUTE($F397,"U","")))+(len($F397)-len(SUBSTITUTE($F397,"D","")))+(len($F397)-len(SUBSTITUTE($F397,"F","")))+(len($F397)-len(SUBSTITUTE($F397,"B","")))+(len($F397)-len(SUBSTITUTE($F397,"r","")))+(len($F397)-len(SUBSTITUTE($F397,"l","")))+(len($F397)-len(SUBSTITUTE($F397,"u","")))+(len($F397)-len(SUBSTITUTE($F397,"d","")))+(len($F397)-len(SUBSTITUTE($F397,"2","")))</f>
        <v>12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3.5">
      <c r="A398" s="60">
        <v>1.0</v>
      </c>
      <c r="B398" s="5" t="s">
        <v>97</v>
      </c>
      <c r="C398" s="5" t="s">
        <v>80</v>
      </c>
      <c r="D398" s="55" t="str">
        <f>VLOOKUP($B398,Letters!$C$56:$D$79,2,FALSE) &amp; VLOOKUP($C398,Letters!$C$56:$D$79,2,FALSE)</f>
        <v>RB</v>
      </c>
      <c r="E398" s="5" t="s">
        <v>2041</v>
      </c>
      <c r="F398" s="5" t="s">
        <v>2042</v>
      </c>
      <c r="G398" s="55">
        <f t="shared" si="35"/>
        <v>9</v>
      </c>
      <c r="H398" s="55">
        <f t="shared" si="36"/>
        <v>12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3.5">
      <c r="A399" s="60">
        <v>1.0</v>
      </c>
      <c r="B399" s="5" t="s">
        <v>97</v>
      </c>
      <c r="C399" s="5" t="s">
        <v>81</v>
      </c>
      <c r="D399" s="55" t="str">
        <f>VLOOKUP($B399,Letters!$C$56:$D$79,2,FALSE) &amp; VLOOKUP($C399,Letters!$C$56:$D$79,2,FALSE)</f>
        <v>RC</v>
      </c>
      <c r="E399" s="5" t="s">
        <v>2043</v>
      </c>
      <c r="F399" s="5" t="s">
        <v>2044</v>
      </c>
      <c r="G399" s="55">
        <f t="shared" si="35"/>
        <v>8</v>
      </c>
      <c r="H399" s="55">
        <f t="shared" si="36"/>
        <v>10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3.5">
      <c r="A400" s="60">
        <v>1.0</v>
      </c>
      <c r="B400" s="5" t="s">
        <v>97</v>
      </c>
      <c r="C400" s="5" t="s">
        <v>82</v>
      </c>
      <c r="D400" s="55" t="str">
        <f>VLOOKUP($B400,Letters!$C$56:$D$79,2,FALSE) &amp; VLOOKUP($C400,Letters!$C$56:$D$79,2,FALSE)</f>
        <v>RD</v>
      </c>
      <c r="E400" s="5" t="s">
        <v>2045</v>
      </c>
      <c r="F400" s="5" t="s">
        <v>2046</v>
      </c>
      <c r="G400" s="55">
        <f t="shared" si="35"/>
        <v>8</v>
      </c>
      <c r="H400" s="55">
        <f t="shared" si="36"/>
        <v>10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3.5">
      <c r="A401" s="54"/>
      <c r="B401" s="5" t="s">
        <v>97</v>
      </c>
      <c r="C401" s="5" t="s">
        <v>83</v>
      </c>
      <c r="D401" s="55" t="str">
        <f>VLOOKUP($B401,Letters!$C$56:$D$79,2,FALSE) &amp; VLOOKUP($C401,Letters!$C$56:$D$79,2,FALSE)</f>
        <v>RE</v>
      </c>
      <c r="E401" s="5" t="s">
        <v>2047</v>
      </c>
      <c r="F401" s="5" t="s">
        <v>2048</v>
      </c>
      <c r="G401" s="55">
        <f t="shared" si="35"/>
        <v>10</v>
      </c>
      <c r="H401" s="55">
        <f t="shared" si="36"/>
        <v>11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3.5">
      <c r="A402" s="54"/>
      <c r="B402" s="5" t="s">
        <v>97</v>
      </c>
      <c r="C402" s="5" t="s">
        <v>84</v>
      </c>
      <c r="D402" s="55" t="str">
        <f>VLOOKUP($B402,Letters!$C$56:$D$79,2,FALSE) &amp; VLOOKUP($C402,Letters!$C$56:$D$79,2,FALSE)</f>
        <v>RF</v>
      </c>
      <c r="E402" s="5" t="s">
        <v>2049</v>
      </c>
      <c r="F402" s="5" t="s">
        <v>2050</v>
      </c>
      <c r="G402" s="55">
        <f t="shared" si="35"/>
        <v>8</v>
      </c>
      <c r="H402" s="55">
        <f t="shared" si="36"/>
        <v>8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3.5">
      <c r="A403" s="54"/>
      <c r="B403" s="5" t="s">
        <v>97</v>
      </c>
      <c r="C403" s="5" t="s">
        <v>85</v>
      </c>
      <c r="D403" s="55" t="str">
        <f>VLOOKUP($B403,Letters!$C$56:$D$79,2,FALSE) &amp; VLOOKUP($C403,Letters!$C$56:$D$79,2,FALSE)</f>
        <v>RG</v>
      </c>
      <c r="E403" s="5" t="s">
        <v>2051</v>
      </c>
      <c r="F403" s="5" t="s">
        <v>2052</v>
      </c>
      <c r="G403" s="55">
        <f t="shared" si="35"/>
        <v>10</v>
      </c>
      <c r="H403" s="55">
        <f t="shared" si="36"/>
        <v>10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3.5">
      <c r="A404" s="54"/>
      <c r="B404" s="5" t="s">
        <v>97</v>
      </c>
      <c r="C404" s="5" t="s">
        <v>86</v>
      </c>
      <c r="D404" s="55" t="str">
        <f>VLOOKUP($B404,Letters!$C$56:$D$79,2,FALSE) &amp; VLOOKUP($C404,Letters!$C$56:$D$79,2,FALSE)</f>
        <v>RH</v>
      </c>
      <c r="E404" s="5" t="s">
        <v>2053</v>
      </c>
      <c r="F404" s="5" t="s">
        <v>2054</v>
      </c>
      <c r="G404" s="55">
        <f t="shared" si="35"/>
        <v>8</v>
      </c>
      <c r="H404" s="55">
        <f t="shared" si="36"/>
        <v>8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3.5">
      <c r="A405" s="54"/>
      <c r="B405" s="5" t="s">
        <v>97</v>
      </c>
      <c r="C405" s="5" t="s">
        <v>87</v>
      </c>
      <c r="D405" s="55" t="str">
        <f>VLOOKUP($B405,Letters!$C$56:$D$79,2,FALSE) &amp; VLOOKUP($C405,Letters!$C$56:$D$79,2,FALSE)</f>
        <v>RX</v>
      </c>
      <c r="E405" s="5" t="s">
        <v>2057</v>
      </c>
      <c r="F405" s="5" t="s">
        <v>2058</v>
      </c>
      <c r="G405" s="55">
        <f t="shared" si="35"/>
        <v>10</v>
      </c>
      <c r="H405" s="55">
        <f t="shared" si="36"/>
        <v>13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3.5">
      <c r="A406" s="54"/>
      <c r="B406" s="5" t="s">
        <v>97</v>
      </c>
      <c r="C406" s="5" t="s">
        <v>89</v>
      </c>
      <c r="D406" s="55" t="str">
        <f>VLOOKUP($B406,Letters!$C$56:$D$79,2,FALSE) &amp; VLOOKUP($C406,Letters!$C$56:$D$79,2,FALSE)</f>
        <v>RJ</v>
      </c>
      <c r="E406" s="5" t="s">
        <v>2059</v>
      </c>
      <c r="F406" s="5" t="s">
        <v>2060</v>
      </c>
      <c r="G406" s="55">
        <f t="shared" si="35"/>
        <v>8</v>
      </c>
      <c r="H406" s="55">
        <f t="shared" si="36"/>
        <v>10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3.5">
      <c r="A407" s="60">
        <v>1.0</v>
      </c>
      <c r="B407" s="5" t="s">
        <v>97</v>
      </c>
      <c r="C407" s="5" t="s">
        <v>90</v>
      </c>
      <c r="D407" s="55" t="str">
        <f>VLOOKUP($B407,Letters!$C$56:$D$79,2,FALSE) &amp; VLOOKUP($C407,Letters!$C$56:$D$79,2,FALSE)</f>
        <v>RK</v>
      </c>
      <c r="E407" s="5" t="s">
        <v>2061</v>
      </c>
      <c r="F407" s="5" t="s">
        <v>2062</v>
      </c>
      <c r="G407" s="55">
        <f t="shared" si="35"/>
        <v>9</v>
      </c>
      <c r="H407" s="55">
        <f t="shared" si="36"/>
        <v>10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3.5">
      <c r="A408" s="54"/>
      <c r="B408" s="5" t="s">
        <v>97</v>
      </c>
      <c r="C408" s="5" t="s">
        <v>91</v>
      </c>
      <c r="D408" s="55" t="str">
        <f>VLOOKUP($B408,Letters!$C$56:$D$79,2,FALSE) &amp; VLOOKUP($C408,Letters!$C$56:$D$79,2,FALSE)</f>
        <v>RL</v>
      </c>
      <c r="E408" s="5" t="s">
        <v>2063</v>
      </c>
      <c r="F408" s="5" t="s">
        <v>2064</v>
      </c>
      <c r="G408" s="55">
        <f t="shared" si="35"/>
        <v>10</v>
      </c>
      <c r="H408" s="55">
        <f t="shared" si="36"/>
        <v>12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3.5">
      <c r="A409" s="54"/>
      <c r="B409" s="5" t="s">
        <v>97</v>
      </c>
      <c r="C409" s="5" t="s">
        <v>92</v>
      </c>
      <c r="D409" s="55" t="str">
        <f>VLOOKUP($B409,Letters!$C$56:$D$79,2,FALSE) &amp; VLOOKUP($C409,Letters!$C$56:$D$79,2,FALSE)</f>
        <v>RM</v>
      </c>
      <c r="E409" s="5" t="s">
        <v>2067</v>
      </c>
      <c r="F409" s="5" t="s">
        <v>2068</v>
      </c>
      <c r="G409" s="55">
        <f t="shared" si="35"/>
        <v>11</v>
      </c>
      <c r="H409" s="55">
        <f t="shared" si="36"/>
        <v>12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3.5">
      <c r="A410" s="54"/>
      <c r="B410" s="5" t="s">
        <v>97</v>
      </c>
      <c r="C410" s="5" t="s">
        <v>93</v>
      </c>
      <c r="D410" s="55" t="str">
        <f>VLOOKUP($B410,Letters!$C$56:$D$79,2,FALSE) &amp; VLOOKUP($C410,Letters!$C$56:$D$79,2,FALSE)</f>
        <v>RN</v>
      </c>
      <c r="E410" s="5" t="s">
        <v>2071</v>
      </c>
      <c r="F410" s="5" t="s">
        <v>2072</v>
      </c>
      <c r="G410" s="55">
        <f t="shared" si="35"/>
        <v>8</v>
      </c>
      <c r="H410" s="55">
        <f t="shared" si="36"/>
        <v>8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3.5">
      <c r="A411" s="54"/>
      <c r="B411" s="5" t="s">
        <v>97</v>
      </c>
      <c r="C411" s="5" t="s">
        <v>94</v>
      </c>
      <c r="D411" s="55" t="str">
        <f>VLOOKUP($B411,Letters!$C$56:$D$79,2,FALSE) &amp; VLOOKUP($C411,Letters!$C$56:$D$79,2,FALSE)</f>
        <v>RO</v>
      </c>
      <c r="E411" s="5" t="s">
        <v>2075</v>
      </c>
      <c r="F411" s="5" t="s">
        <v>2076</v>
      </c>
      <c r="G411" s="55">
        <f t="shared" si="35"/>
        <v>10</v>
      </c>
      <c r="H411" s="55">
        <f t="shared" si="36"/>
        <v>10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3.5">
      <c r="A412" s="54"/>
      <c r="B412" s="5" t="s">
        <v>97</v>
      </c>
      <c r="C412" s="5" t="s">
        <v>95</v>
      </c>
      <c r="D412" s="55" t="str">
        <f>VLOOKUP($B412,Letters!$C$56:$D$79,2,FALSE) &amp; VLOOKUP($C412,Letters!$C$56:$D$79,2,FALSE)</f>
        <v>RP</v>
      </c>
      <c r="E412" s="5" t="s">
        <v>2081</v>
      </c>
      <c r="F412" s="5" t="s">
        <v>2082</v>
      </c>
      <c r="G412" s="55">
        <f t="shared" si="35"/>
        <v>11</v>
      </c>
      <c r="H412" s="55">
        <f t="shared" si="36"/>
        <v>12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3.5">
      <c r="A413" s="60">
        <v>1.0</v>
      </c>
      <c r="B413" s="5" t="s">
        <v>97</v>
      </c>
      <c r="C413" s="5" t="s">
        <v>96</v>
      </c>
      <c r="D413" s="55" t="str">
        <f>VLOOKUP($B413,Letters!$C$56:$D$79,2,FALSE) &amp; VLOOKUP($C413,Letters!$C$56:$D$79,2,FALSE)</f>
        <v>RW</v>
      </c>
      <c r="E413" s="5" t="s">
        <v>2086</v>
      </c>
      <c r="F413" s="5" t="s">
        <v>2088</v>
      </c>
      <c r="G413" s="55">
        <f t="shared" si="35"/>
        <v>9</v>
      </c>
      <c r="H413" s="55">
        <f t="shared" si="36"/>
        <v>10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3.5">
      <c r="A414" s="54"/>
      <c r="B414" s="5" t="s">
        <v>97</v>
      </c>
      <c r="C414" s="5" t="s">
        <v>98</v>
      </c>
      <c r="D414" s="55" t="str">
        <f>VLOOKUP($B414,Letters!$C$56:$D$79,2,FALSE) &amp; VLOOKUP($C414,Letters!$C$56:$D$79,2,FALSE)</f>
        <v>RS</v>
      </c>
      <c r="E414" s="5" t="s">
        <v>2091</v>
      </c>
      <c r="F414" s="5" t="s">
        <v>2092</v>
      </c>
      <c r="G414" s="55">
        <f t="shared" si="35"/>
        <v>10</v>
      </c>
      <c r="H414" s="55">
        <f t="shared" si="36"/>
        <v>10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3.5">
      <c r="A415" s="54"/>
      <c r="B415" s="5" t="s">
        <v>97</v>
      </c>
      <c r="C415" s="5" t="s">
        <v>99</v>
      </c>
      <c r="D415" s="55" t="str">
        <f>VLOOKUP($B415,Letters!$C$56:$D$79,2,FALSE) &amp; VLOOKUP($C415,Letters!$C$56:$D$79,2,FALSE)</f>
        <v>RT</v>
      </c>
      <c r="E415" s="5" t="s">
        <v>2095</v>
      </c>
      <c r="F415" s="5" t="s">
        <v>2096</v>
      </c>
      <c r="G415" s="55">
        <f t="shared" si="35"/>
        <v>11</v>
      </c>
      <c r="H415" s="55">
        <f t="shared" si="36"/>
        <v>12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3.5">
      <c r="A416" s="54"/>
      <c r="B416" s="5" t="s">
        <v>97</v>
      </c>
      <c r="C416" s="5" t="s">
        <v>100</v>
      </c>
      <c r="D416" s="55" t="str">
        <f>VLOOKUP($B416,Letters!$C$56:$D$79,2,FALSE) &amp; VLOOKUP($C416,Letters!$C$56:$D$79,2,FALSE)</f>
        <v>RU</v>
      </c>
      <c r="E416" s="5" t="s">
        <v>2099</v>
      </c>
      <c r="F416" s="5" t="s">
        <v>2100</v>
      </c>
      <c r="G416" s="55">
        <f t="shared" si="35"/>
        <v>10</v>
      </c>
      <c r="H416" s="55">
        <f t="shared" si="36"/>
        <v>12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3.5">
      <c r="A417" s="54"/>
      <c r="B417" s="5" t="s">
        <v>97</v>
      </c>
      <c r="C417" s="5" t="s">
        <v>101</v>
      </c>
      <c r="D417" s="55" t="str">
        <f>VLOOKUP($B417,Letters!$C$56:$D$79,2,FALSE) &amp; VLOOKUP($C417,Letters!$C$56:$D$79,2,FALSE)</f>
        <v>RV</v>
      </c>
      <c r="E417" s="5" t="s">
        <v>2105</v>
      </c>
      <c r="F417" s="5" t="s">
        <v>2106</v>
      </c>
      <c r="G417" s="55">
        <f t="shared" si="35"/>
        <v>8</v>
      </c>
      <c r="H417" s="55">
        <f t="shared" si="36"/>
        <v>10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3.5">
      <c r="A418" s="54"/>
      <c r="B418" s="5" t="s">
        <v>97</v>
      </c>
      <c r="C418" s="5" t="s">
        <v>103</v>
      </c>
      <c r="D418" s="55" t="str">
        <f>VLOOKUP($B418,Letters!$C$56:$D$79,2,FALSE) &amp; VLOOKUP($C418,Letters!$C$56:$D$79,2,FALSE)</f>
        <v>RI</v>
      </c>
      <c r="E418" s="5" t="s">
        <v>2111</v>
      </c>
      <c r="F418" s="5" t="s">
        <v>2112</v>
      </c>
      <c r="G418" s="55">
        <f t="shared" si="35"/>
        <v>10</v>
      </c>
      <c r="H418" s="55">
        <f t="shared" si="36"/>
        <v>10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4"/>
      <c r="B419" s="5"/>
      <c r="C419" s="5"/>
      <c r="D419" s="55"/>
      <c r="E419" s="5"/>
      <c r="F419" s="5"/>
      <c r="G419" s="55"/>
      <c r="H419" s="5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3.5">
      <c r="A420" s="54"/>
      <c r="B420" s="5" t="s">
        <v>98</v>
      </c>
      <c r="C420" s="5" t="s">
        <v>78</v>
      </c>
      <c r="D420" s="55" t="str">
        <f>VLOOKUP($B420,Letters!$C$56:$D$79,2,FALSE) &amp; VLOOKUP($C420,Letters!$C$56:$D$79,2,FALSE)</f>
        <v>SA</v>
      </c>
      <c r="E420" s="5" t="s">
        <v>2117</v>
      </c>
      <c r="F420" s="5" t="s">
        <v>2118</v>
      </c>
      <c r="G420" s="55">
        <f t="shared" ref="G420:G441" si="37">(len($F420)-len(SUBSTITUTE($F420,"R","")))+(len($F420)-len(SUBSTITUTE($F420,"L","")))+(len($F420)-len(SUBSTITUTE($F420,"U","")))+(len($F420)-len(SUBSTITUTE($F420,"D","")))+(len($F420)-len(SUBSTITUTE($F420,"F","")))+(len($F420)-len(SUBSTITUTE($F420,"B","")))+(len($F420)-len(SUBSTITUTE($F420,"r","")))+(len($F420)-len(SUBSTITUTE($F420,"l","")))+(len($F420)-len(SUBSTITUTE($F420,"u","")))+(len($F420)-len(SUBSTITUTE($F420,"d","")))</f>
        <v>10</v>
      </c>
      <c r="H420" s="55">
        <f t="shared" ref="H420:H441" si="38">(len($F420)-len(SUBSTITUTE($F420,"R","")))+(len($F420)-len(SUBSTITUTE($F420,"L","")))+(len($F420)-len(SUBSTITUTE($F420,"U","")))+(len($F420)-len(SUBSTITUTE($F420,"D","")))+(len($F420)-len(SUBSTITUTE($F420,"F","")))+(len($F420)-len(SUBSTITUTE($F420,"B","")))+(len($F420)-len(SUBSTITUTE($F420,"r","")))+(len($F420)-len(SUBSTITUTE($F420,"l","")))+(len($F420)-len(SUBSTITUTE($F420,"u","")))+(len($F420)-len(SUBSTITUTE($F420,"d","")))+(len($F420)-len(SUBSTITUTE($F420,"2","")))</f>
        <v>12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3.5">
      <c r="A421" s="54"/>
      <c r="B421" s="5" t="s">
        <v>98</v>
      </c>
      <c r="C421" s="5" t="s">
        <v>80</v>
      </c>
      <c r="D421" s="55" t="str">
        <f>VLOOKUP($B421,Letters!$C$56:$D$79,2,FALSE) &amp; VLOOKUP($C421,Letters!$C$56:$D$79,2,FALSE)</f>
        <v>SB</v>
      </c>
      <c r="E421" s="5" t="s">
        <v>2133</v>
      </c>
      <c r="F421" s="5" t="s">
        <v>2134</v>
      </c>
      <c r="G421" s="55">
        <f t="shared" si="37"/>
        <v>12</v>
      </c>
      <c r="H421" s="55">
        <f t="shared" si="38"/>
        <v>15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3.5">
      <c r="A422" s="54"/>
      <c r="B422" s="5" t="s">
        <v>98</v>
      </c>
      <c r="C422" s="5" t="s">
        <v>81</v>
      </c>
      <c r="D422" s="55" t="str">
        <f>VLOOKUP($B422,Letters!$C$56:$D$79,2,FALSE) &amp; VLOOKUP($C422,Letters!$C$56:$D$79,2,FALSE)</f>
        <v>SC</v>
      </c>
      <c r="E422" s="5" t="s">
        <v>2141</v>
      </c>
      <c r="F422" s="5" t="s">
        <v>2142</v>
      </c>
      <c r="G422" s="55">
        <f t="shared" si="37"/>
        <v>12</v>
      </c>
      <c r="H422" s="55">
        <f t="shared" si="38"/>
        <v>18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3.5">
      <c r="A423" s="54"/>
      <c r="B423" s="5" t="s">
        <v>98</v>
      </c>
      <c r="C423" s="5" t="s">
        <v>82</v>
      </c>
      <c r="D423" s="55" t="str">
        <f>VLOOKUP($B423,Letters!$C$56:$D$79,2,FALSE) &amp; VLOOKUP($C423,Letters!$C$56:$D$79,2,FALSE)</f>
        <v>SD</v>
      </c>
      <c r="E423" s="5" t="s">
        <v>2149</v>
      </c>
      <c r="F423" s="5" t="s">
        <v>2150</v>
      </c>
      <c r="G423" s="55">
        <f t="shared" si="37"/>
        <v>10</v>
      </c>
      <c r="H423" s="55">
        <f t="shared" si="38"/>
        <v>13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3.5">
      <c r="A424" s="60">
        <v>1.0</v>
      </c>
      <c r="B424" s="5" t="s">
        <v>98</v>
      </c>
      <c r="C424" s="5" t="s">
        <v>83</v>
      </c>
      <c r="D424" s="55" t="str">
        <f>VLOOKUP($B424,Letters!$C$56:$D$79,2,FALSE) &amp; VLOOKUP($C424,Letters!$C$56:$D$79,2,FALSE)</f>
        <v>SE</v>
      </c>
      <c r="E424" s="5" t="s">
        <v>2155</v>
      </c>
      <c r="F424" s="5" t="s">
        <v>2156</v>
      </c>
      <c r="G424" s="55">
        <f t="shared" si="37"/>
        <v>9</v>
      </c>
      <c r="H424" s="55">
        <f t="shared" si="38"/>
        <v>12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3.5">
      <c r="A425" s="60">
        <v>1.0</v>
      </c>
      <c r="B425" s="5" t="s">
        <v>98</v>
      </c>
      <c r="C425" s="5" t="s">
        <v>84</v>
      </c>
      <c r="D425" s="55" t="str">
        <f>VLOOKUP($B425,Letters!$C$56:$D$79,2,FALSE) &amp; VLOOKUP($C425,Letters!$C$56:$D$79,2,FALSE)</f>
        <v>SF</v>
      </c>
      <c r="E425" s="5" t="s">
        <v>2161</v>
      </c>
      <c r="F425" s="5" t="s">
        <v>2162</v>
      </c>
      <c r="G425" s="55">
        <f t="shared" si="37"/>
        <v>9</v>
      </c>
      <c r="H425" s="55">
        <f t="shared" si="38"/>
        <v>10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3.5">
      <c r="A426" s="54"/>
      <c r="B426" s="5" t="s">
        <v>98</v>
      </c>
      <c r="C426" s="5" t="s">
        <v>85</v>
      </c>
      <c r="D426" s="55" t="str">
        <f>VLOOKUP($B426,Letters!$C$56:$D$79,2,FALSE) &amp; VLOOKUP($C426,Letters!$C$56:$D$79,2,FALSE)</f>
        <v>SG</v>
      </c>
      <c r="E426" s="5" t="s">
        <v>2169</v>
      </c>
      <c r="F426" s="5" t="s">
        <v>2170</v>
      </c>
      <c r="G426" s="55">
        <f t="shared" si="37"/>
        <v>8</v>
      </c>
      <c r="H426" s="55">
        <f t="shared" si="38"/>
        <v>10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3.5">
      <c r="A427" s="60">
        <v>1.0</v>
      </c>
      <c r="B427" s="5" t="s">
        <v>98</v>
      </c>
      <c r="C427" s="5" t="s">
        <v>86</v>
      </c>
      <c r="D427" s="55" t="str">
        <f>VLOOKUP($B427,Letters!$C$56:$D$79,2,FALSE) &amp; VLOOKUP($C427,Letters!$C$56:$D$79,2,FALSE)</f>
        <v>SH</v>
      </c>
      <c r="E427" s="5" t="s">
        <v>2176</v>
      </c>
      <c r="F427" s="5" t="s">
        <v>2178</v>
      </c>
      <c r="G427" s="55">
        <f t="shared" si="37"/>
        <v>9</v>
      </c>
      <c r="H427" s="55">
        <f t="shared" si="38"/>
        <v>10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3.5">
      <c r="A428" s="54"/>
      <c r="B428" s="5" t="s">
        <v>98</v>
      </c>
      <c r="C428" s="5" t="s">
        <v>87</v>
      </c>
      <c r="D428" s="55" t="str">
        <f>VLOOKUP($B428,Letters!$C$56:$D$79,2,FALSE) &amp; VLOOKUP($C428,Letters!$C$56:$D$79,2,FALSE)</f>
        <v>SX</v>
      </c>
      <c r="E428" s="5" t="s">
        <v>2183</v>
      </c>
      <c r="F428" s="5" t="s">
        <v>2184</v>
      </c>
      <c r="G428" s="55">
        <f t="shared" si="37"/>
        <v>12</v>
      </c>
      <c r="H428" s="55">
        <f t="shared" si="38"/>
        <v>14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3.5">
      <c r="A429" s="54"/>
      <c r="B429" s="5" t="s">
        <v>98</v>
      </c>
      <c r="C429" s="5" t="s">
        <v>89</v>
      </c>
      <c r="D429" s="55" t="str">
        <f>VLOOKUP($B429,Letters!$C$56:$D$79,2,FALSE) &amp; VLOOKUP($C429,Letters!$C$56:$D$79,2,FALSE)</f>
        <v>SJ</v>
      </c>
      <c r="E429" s="5" t="s">
        <v>2191</v>
      </c>
      <c r="F429" s="5" t="s">
        <v>2192</v>
      </c>
      <c r="G429" s="55">
        <f t="shared" si="37"/>
        <v>10</v>
      </c>
      <c r="H429" s="55">
        <f t="shared" si="38"/>
        <v>12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3.5">
      <c r="A430" s="54"/>
      <c r="B430" s="5" t="s">
        <v>98</v>
      </c>
      <c r="C430" s="5" t="s">
        <v>90</v>
      </c>
      <c r="D430" s="55" t="str">
        <f>VLOOKUP($B430,Letters!$C$56:$D$79,2,FALSE) &amp; VLOOKUP($C430,Letters!$C$56:$D$79,2,FALSE)</f>
        <v>SK</v>
      </c>
      <c r="E430" s="5" t="s">
        <v>2199</v>
      </c>
      <c r="F430" s="5" t="s">
        <v>2200</v>
      </c>
      <c r="G430" s="55">
        <f t="shared" si="37"/>
        <v>8</v>
      </c>
      <c r="H430" s="55">
        <f t="shared" si="38"/>
        <v>12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3.5">
      <c r="A431" s="54"/>
      <c r="B431" s="5" t="s">
        <v>98</v>
      </c>
      <c r="C431" s="5" t="s">
        <v>91</v>
      </c>
      <c r="D431" s="55" t="str">
        <f>VLOOKUP($B431,Letters!$C$56:$D$79,2,FALSE) &amp; VLOOKUP($C431,Letters!$C$56:$D$79,2,FALSE)</f>
        <v>SL</v>
      </c>
      <c r="E431" s="5" t="s">
        <v>2209</v>
      </c>
      <c r="F431" s="5" t="s">
        <v>2210</v>
      </c>
      <c r="G431" s="55">
        <f t="shared" si="37"/>
        <v>12</v>
      </c>
      <c r="H431" s="55">
        <f t="shared" si="38"/>
        <v>12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3.5">
      <c r="A432" s="60">
        <v>1.0</v>
      </c>
      <c r="B432" s="5" t="s">
        <v>98</v>
      </c>
      <c r="C432" s="5" t="s">
        <v>92</v>
      </c>
      <c r="D432" s="55" t="str">
        <f>VLOOKUP($B432,Letters!$C$56:$D$79,2,FALSE) &amp; VLOOKUP($C432,Letters!$C$56:$D$79,2,FALSE)</f>
        <v>SM</v>
      </c>
      <c r="E432" s="5" t="s">
        <v>2215</v>
      </c>
      <c r="F432" s="5" t="s">
        <v>2216</v>
      </c>
      <c r="G432" s="55">
        <f t="shared" si="37"/>
        <v>9</v>
      </c>
      <c r="H432" s="55">
        <f t="shared" si="38"/>
        <v>12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3.5">
      <c r="A433" s="60">
        <v>1.0</v>
      </c>
      <c r="B433" s="5" t="s">
        <v>98</v>
      </c>
      <c r="C433" s="5" t="s">
        <v>93</v>
      </c>
      <c r="D433" s="55" t="str">
        <f>VLOOKUP($B433,Letters!$C$56:$D$79,2,FALSE) &amp; VLOOKUP($C433,Letters!$C$56:$D$79,2,FALSE)</f>
        <v>SN</v>
      </c>
      <c r="E433" s="5" t="s">
        <v>2219</v>
      </c>
      <c r="F433" s="5" t="s">
        <v>2220</v>
      </c>
      <c r="G433" s="55">
        <f t="shared" si="37"/>
        <v>9</v>
      </c>
      <c r="H433" s="55">
        <f t="shared" si="38"/>
        <v>10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3.5">
      <c r="A434" s="54"/>
      <c r="B434" s="5" t="s">
        <v>98</v>
      </c>
      <c r="C434" s="5" t="s">
        <v>94</v>
      </c>
      <c r="D434" s="55" t="str">
        <f>VLOOKUP($B434,Letters!$C$56:$D$79,2,FALSE) &amp; VLOOKUP($C434,Letters!$C$56:$D$79,2,FALSE)</f>
        <v>SO</v>
      </c>
      <c r="E434" s="5" t="s">
        <v>2223</v>
      </c>
      <c r="F434" s="5" t="s">
        <v>2224</v>
      </c>
      <c r="G434" s="55">
        <f t="shared" si="37"/>
        <v>8</v>
      </c>
      <c r="H434" s="55">
        <f t="shared" si="38"/>
        <v>10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3.5">
      <c r="A435" s="60">
        <v>1.0</v>
      </c>
      <c r="B435" s="5" t="s">
        <v>98</v>
      </c>
      <c r="C435" s="5" t="s">
        <v>95</v>
      </c>
      <c r="D435" s="55" t="str">
        <f>VLOOKUP($B435,Letters!$C$56:$D$79,2,FALSE) &amp; VLOOKUP($C435,Letters!$C$56:$D$79,2,FALSE)</f>
        <v>SP</v>
      </c>
      <c r="E435" s="5" t="s">
        <v>2227</v>
      </c>
      <c r="F435" s="5" t="s">
        <v>2228</v>
      </c>
      <c r="G435" s="55">
        <f t="shared" si="37"/>
        <v>9</v>
      </c>
      <c r="H435" s="55">
        <f t="shared" si="38"/>
        <v>10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3.5">
      <c r="A436" s="54"/>
      <c r="B436" s="5" t="s">
        <v>98</v>
      </c>
      <c r="C436" s="5" t="s">
        <v>96</v>
      </c>
      <c r="D436" s="55" t="str">
        <f>VLOOKUP($B436,Letters!$C$56:$D$79,2,FALSE) &amp; VLOOKUP($C436,Letters!$C$56:$D$79,2,FALSE)</f>
        <v>SW</v>
      </c>
      <c r="E436" s="5" t="s">
        <v>2229</v>
      </c>
      <c r="F436" s="5" t="s">
        <v>2230</v>
      </c>
      <c r="G436" s="55">
        <f t="shared" si="37"/>
        <v>10</v>
      </c>
      <c r="H436" s="55">
        <f t="shared" si="38"/>
        <v>12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3.5">
      <c r="A437" s="54"/>
      <c r="B437" s="5" t="s">
        <v>98</v>
      </c>
      <c r="C437" s="5" t="s">
        <v>97</v>
      </c>
      <c r="D437" s="55" t="str">
        <f>VLOOKUP($B437,Letters!$C$56:$D$79,2,FALSE) &amp; VLOOKUP($C437,Letters!$C$56:$D$79,2,FALSE)</f>
        <v>SR</v>
      </c>
      <c r="E437" s="5" t="s">
        <v>2235</v>
      </c>
      <c r="F437" s="5" t="s">
        <v>2236</v>
      </c>
      <c r="G437" s="55">
        <f t="shared" si="37"/>
        <v>10</v>
      </c>
      <c r="H437" s="55">
        <f t="shared" si="38"/>
        <v>10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3.5">
      <c r="A438" s="54"/>
      <c r="B438" s="5" t="s">
        <v>98</v>
      </c>
      <c r="C438" s="5" t="s">
        <v>99</v>
      </c>
      <c r="D438" s="55" t="str">
        <f>VLOOKUP($B438,Letters!$C$56:$D$79,2,FALSE) &amp; VLOOKUP($C438,Letters!$C$56:$D$79,2,FALSE)</f>
        <v>ST</v>
      </c>
      <c r="E438" s="5" t="s">
        <v>2239</v>
      </c>
      <c r="F438" s="5" t="s">
        <v>2240</v>
      </c>
      <c r="G438" s="55">
        <f t="shared" si="37"/>
        <v>12</v>
      </c>
      <c r="H438" s="55">
        <f t="shared" si="38"/>
        <v>12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3.5">
      <c r="A439" s="54"/>
      <c r="B439" s="5" t="s">
        <v>98</v>
      </c>
      <c r="C439" s="5" t="s">
        <v>100</v>
      </c>
      <c r="D439" s="55" t="str">
        <f>VLOOKUP($B439,Letters!$C$56:$D$79,2,FALSE) &amp; VLOOKUP($C439,Letters!$C$56:$D$79,2,FALSE)</f>
        <v>SU</v>
      </c>
      <c r="E439" s="5" t="s">
        <v>2245</v>
      </c>
      <c r="F439" s="5" t="s">
        <v>2246</v>
      </c>
      <c r="G439" s="55">
        <f t="shared" si="37"/>
        <v>8</v>
      </c>
      <c r="H439" s="55">
        <f t="shared" si="38"/>
        <v>12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3.5">
      <c r="A440" s="54"/>
      <c r="B440" s="5" t="s">
        <v>98</v>
      </c>
      <c r="C440" s="5" t="s">
        <v>101</v>
      </c>
      <c r="D440" s="55" t="str">
        <f>VLOOKUP($B440,Letters!$C$56:$D$79,2,FALSE) &amp; VLOOKUP($C440,Letters!$C$56:$D$79,2,FALSE)</f>
        <v>SV</v>
      </c>
      <c r="E440" s="5" t="s">
        <v>2251</v>
      </c>
      <c r="F440" s="5" t="s">
        <v>2252</v>
      </c>
      <c r="G440" s="55">
        <f t="shared" si="37"/>
        <v>8</v>
      </c>
      <c r="H440" s="55">
        <f t="shared" si="38"/>
        <v>10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3.5">
      <c r="A441" s="54"/>
      <c r="B441" s="5" t="s">
        <v>98</v>
      </c>
      <c r="C441" s="5" t="s">
        <v>103</v>
      </c>
      <c r="D441" s="55" t="str">
        <f>VLOOKUP($B441,Letters!$C$56:$D$79,2,FALSE) &amp; VLOOKUP($C441,Letters!$C$56:$D$79,2,FALSE)</f>
        <v>SI</v>
      </c>
      <c r="E441" s="5" t="s">
        <v>2253</v>
      </c>
      <c r="F441" s="5" t="s">
        <v>2255</v>
      </c>
      <c r="G441" s="55">
        <f t="shared" si="37"/>
        <v>8</v>
      </c>
      <c r="H441" s="55">
        <f t="shared" si="38"/>
        <v>10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4"/>
      <c r="B442" s="5"/>
      <c r="C442" s="5"/>
      <c r="D442" s="55"/>
      <c r="E442" s="5"/>
      <c r="F442" s="5"/>
      <c r="G442" s="55"/>
      <c r="H442" s="5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3.5">
      <c r="A443" s="60">
        <v>1.0</v>
      </c>
      <c r="B443" s="5" t="s">
        <v>99</v>
      </c>
      <c r="C443" s="5" t="s">
        <v>78</v>
      </c>
      <c r="D443" s="55" t="str">
        <f>VLOOKUP($B443,Letters!$C$56:$D$79,2,FALSE) &amp; VLOOKUP($C443,Letters!$C$56:$D$79,2,FALSE)</f>
        <v>TA</v>
      </c>
      <c r="E443" s="5" t="s">
        <v>2259</v>
      </c>
      <c r="F443" s="5" t="s">
        <v>2260</v>
      </c>
      <c r="G443" s="55">
        <f t="shared" ref="G443:G464" si="39">(len($F443)-len(SUBSTITUTE($F443,"R","")))+(len($F443)-len(SUBSTITUTE($F443,"L","")))+(len($F443)-len(SUBSTITUTE($F443,"U","")))+(len($F443)-len(SUBSTITUTE($F443,"D","")))+(len($F443)-len(SUBSTITUTE($F443,"F","")))+(len($F443)-len(SUBSTITUTE($F443,"B","")))+(len($F443)-len(SUBSTITUTE($F443,"r","")))+(len($F443)-len(SUBSTITUTE($F443,"l","")))+(len($F443)-len(SUBSTITUTE($F443,"u","")))+(len($F443)-len(SUBSTITUTE($F443,"d","")))</f>
        <v>9</v>
      </c>
      <c r="H443" s="55">
        <f t="shared" ref="H443:H464" si="40">(len($F443)-len(SUBSTITUTE($F443,"R","")))+(len($F443)-len(SUBSTITUTE($F443,"L","")))+(len($F443)-len(SUBSTITUTE($F443,"U","")))+(len($F443)-len(SUBSTITUTE($F443,"D","")))+(len($F443)-len(SUBSTITUTE($F443,"F","")))+(len($F443)-len(SUBSTITUTE($F443,"B","")))+(len($F443)-len(SUBSTITUTE($F443,"r","")))+(len($F443)-len(SUBSTITUTE($F443,"l","")))+(len($F443)-len(SUBSTITUTE($F443,"u","")))+(len($F443)-len(SUBSTITUTE($F443,"d","")))+(len($F443)-len(SUBSTITUTE($F443,"2","")))</f>
        <v>12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3.5">
      <c r="A444" s="60">
        <v>1.0</v>
      </c>
      <c r="B444" s="5" t="s">
        <v>99</v>
      </c>
      <c r="C444" s="5" t="s">
        <v>80</v>
      </c>
      <c r="D444" s="55" t="str">
        <f>VLOOKUP($B444,Letters!$C$56:$D$79,2,FALSE) &amp; VLOOKUP($C444,Letters!$C$56:$D$79,2,FALSE)</f>
        <v>TB</v>
      </c>
      <c r="E444" s="5" t="s">
        <v>2269</v>
      </c>
      <c r="F444" s="5" t="s">
        <v>2270</v>
      </c>
      <c r="G444" s="55">
        <f t="shared" si="39"/>
        <v>8</v>
      </c>
      <c r="H444" s="55">
        <f t="shared" si="40"/>
        <v>10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3.5">
      <c r="A445" s="60">
        <v>1.0</v>
      </c>
      <c r="B445" s="5" t="s">
        <v>99</v>
      </c>
      <c r="C445" s="5" t="s">
        <v>81</v>
      </c>
      <c r="D445" s="55" t="str">
        <f>VLOOKUP($B445,Letters!$C$56:$D$79,2,FALSE) &amp; VLOOKUP($C445,Letters!$C$56:$D$79,2,FALSE)</f>
        <v>TC</v>
      </c>
      <c r="E445" s="5" t="s">
        <v>2277</v>
      </c>
      <c r="F445" s="5" t="s">
        <v>2278</v>
      </c>
      <c r="G445" s="55">
        <f t="shared" si="39"/>
        <v>8</v>
      </c>
      <c r="H445" s="55">
        <f t="shared" si="40"/>
        <v>10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3.5">
      <c r="A446" s="60">
        <v>1.0</v>
      </c>
      <c r="B446" s="5" t="s">
        <v>99</v>
      </c>
      <c r="C446" s="5" t="s">
        <v>82</v>
      </c>
      <c r="D446" s="55" t="str">
        <f>VLOOKUP($B446,Letters!$C$56:$D$79,2,FALSE) &amp; VLOOKUP($C446,Letters!$C$56:$D$79,2,FALSE)</f>
        <v>TD</v>
      </c>
      <c r="E446" s="5" t="s">
        <v>2281</v>
      </c>
      <c r="F446" s="5" t="s">
        <v>2282</v>
      </c>
      <c r="G446" s="55">
        <f t="shared" si="39"/>
        <v>9</v>
      </c>
      <c r="H446" s="55">
        <f t="shared" si="40"/>
        <v>12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3.5">
      <c r="A447" s="54"/>
      <c r="B447" s="5" t="s">
        <v>99</v>
      </c>
      <c r="C447" s="5" t="s">
        <v>83</v>
      </c>
      <c r="D447" s="55" t="str">
        <f>VLOOKUP($B447,Letters!$C$56:$D$79,2,FALSE) &amp; VLOOKUP($C447,Letters!$C$56:$D$79,2,FALSE)</f>
        <v>TE</v>
      </c>
      <c r="E447" s="5" t="s">
        <v>2287</v>
      </c>
      <c r="F447" s="5" t="s">
        <v>2288</v>
      </c>
      <c r="G447" s="55">
        <f t="shared" si="39"/>
        <v>11</v>
      </c>
      <c r="H447" s="55">
        <f t="shared" si="40"/>
        <v>12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3.5">
      <c r="A448" s="54"/>
      <c r="B448" s="5" t="s">
        <v>99</v>
      </c>
      <c r="C448" s="5" t="s">
        <v>84</v>
      </c>
      <c r="D448" s="55" t="str">
        <f>VLOOKUP($B448,Letters!$C$56:$D$79,2,FALSE) &amp; VLOOKUP($C448,Letters!$C$56:$D$79,2,FALSE)</f>
        <v>TF</v>
      </c>
      <c r="E448" s="5" t="s">
        <v>2291</v>
      </c>
      <c r="F448" s="5" t="s">
        <v>2292</v>
      </c>
      <c r="G448" s="55">
        <f t="shared" si="39"/>
        <v>11</v>
      </c>
      <c r="H448" s="55">
        <f t="shared" si="40"/>
        <v>14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3.5">
      <c r="A449" s="54"/>
      <c r="B449" s="5" t="s">
        <v>99</v>
      </c>
      <c r="C449" s="5" t="s">
        <v>85</v>
      </c>
      <c r="D449" s="55" t="str">
        <f>VLOOKUP($B449,Letters!$C$56:$D$79,2,FALSE) &amp; VLOOKUP($C449,Letters!$C$56:$D$79,2,FALSE)</f>
        <v>TG</v>
      </c>
      <c r="E449" s="5" t="s">
        <v>2297</v>
      </c>
      <c r="F449" s="5" t="s">
        <v>2298</v>
      </c>
      <c r="G449" s="55">
        <f t="shared" si="39"/>
        <v>10</v>
      </c>
      <c r="H449" s="55">
        <f t="shared" si="40"/>
        <v>10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3.5">
      <c r="A450" s="54"/>
      <c r="B450" s="5" t="s">
        <v>99</v>
      </c>
      <c r="C450" s="5" t="s">
        <v>86</v>
      </c>
      <c r="D450" s="55" t="str">
        <f>VLOOKUP($B450,Letters!$C$56:$D$79,2,FALSE) &amp; VLOOKUP($C450,Letters!$C$56:$D$79,2,FALSE)</f>
        <v>TH</v>
      </c>
      <c r="E450" s="5" t="s">
        <v>2305</v>
      </c>
      <c r="F450" s="5" t="s">
        <v>2306</v>
      </c>
      <c r="G450" s="55">
        <f t="shared" si="39"/>
        <v>8</v>
      </c>
      <c r="H450" s="55">
        <f t="shared" si="40"/>
        <v>8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3.5">
      <c r="A451" s="54"/>
      <c r="B451" s="5" t="s">
        <v>99</v>
      </c>
      <c r="C451" s="5" t="s">
        <v>87</v>
      </c>
      <c r="D451" s="55" t="str">
        <f>VLOOKUP($B451,Letters!$C$56:$D$79,2,FALSE) &amp; VLOOKUP($C451,Letters!$C$56:$D$79,2,FALSE)</f>
        <v>TX</v>
      </c>
      <c r="E451" s="5" t="s">
        <v>2315</v>
      </c>
      <c r="F451" s="5" t="s">
        <v>2316</v>
      </c>
      <c r="G451" s="55">
        <f t="shared" si="39"/>
        <v>11</v>
      </c>
      <c r="H451" s="55">
        <f t="shared" si="40"/>
        <v>16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3.5">
      <c r="A452" s="54"/>
      <c r="B452" s="5" t="s">
        <v>99</v>
      </c>
      <c r="C452" s="5" t="s">
        <v>89</v>
      </c>
      <c r="D452" s="55" t="str">
        <f>VLOOKUP($B452,Letters!$C$56:$D$79,2,FALSE) &amp; VLOOKUP($C452,Letters!$C$56:$D$79,2,FALSE)</f>
        <v>TJ</v>
      </c>
      <c r="E452" s="5" t="s">
        <v>2324</v>
      </c>
      <c r="F452" s="5" t="s">
        <v>2325</v>
      </c>
      <c r="G452" s="55">
        <f t="shared" si="39"/>
        <v>9</v>
      </c>
      <c r="H452" s="55">
        <f t="shared" si="40"/>
        <v>12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3.5">
      <c r="A453" s="54"/>
      <c r="B453" s="5" t="s">
        <v>99</v>
      </c>
      <c r="C453" s="5" t="s">
        <v>90</v>
      </c>
      <c r="D453" s="55" t="str">
        <f>VLOOKUP($B453,Letters!$C$56:$D$79,2,FALSE) &amp; VLOOKUP($C453,Letters!$C$56:$D$79,2,FALSE)</f>
        <v>TK</v>
      </c>
      <c r="E453" s="5" t="s">
        <v>2333</v>
      </c>
      <c r="F453" s="5" t="s">
        <v>2335</v>
      </c>
      <c r="G453" s="55">
        <f t="shared" si="39"/>
        <v>8</v>
      </c>
      <c r="H453" s="55">
        <f t="shared" si="40"/>
        <v>8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3.5">
      <c r="A454" s="54"/>
      <c r="B454" s="5" t="s">
        <v>99</v>
      </c>
      <c r="C454" s="5" t="s">
        <v>91</v>
      </c>
      <c r="D454" s="55" t="str">
        <f>VLOOKUP($B454,Letters!$C$56:$D$79,2,FALSE) &amp; VLOOKUP($C454,Letters!$C$56:$D$79,2,FALSE)</f>
        <v>TL</v>
      </c>
      <c r="E454" s="5" t="s">
        <v>2338</v>
      </c>
      <c r="F454" s="5" t="s">
        <v>2340</v>
      </c>
      <c r="G454" s="55">
        <f t="shared" si="39"/>
        <v>8</v>
      </c>
      <c r="H454" s="55">
        <f t="shared" si="40"/>
        <v>10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3.5">
      <c r="A455" s="54"/>
      <c r="B455" s="5" t="s">
        <v>99</v>
      </c>
      <c r="C455" s="5" t="s">
        <v>92</v>
      </c>
      <c r="D455" s="55" t="str">
        <f>VLOOKUP($B455,Letters!$C$56:$D$79,2,FALSE) &amp; VLOOKUP($C455,Letters!$C$56:$D$79,2,FALSE)</f>
        <v>TM</v>
      </c>
      <c r="E455" s="5" t="s">
        <v>2346</v>
      </c>
      <c r="F455" s="5" t="s">
        <v>2347</v>
      </c>
      <c r="G455" s="55">
        <f t="shared" si="39"/>
        <v>11</v>
      </c>
      <c r="H455" s="55">
        <f t="shared" si="40"/>
        <v>12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3.5">
      <c r="A456" s="54"/>
      <c r="B456" s="5" t="s">
        <v>99</v>
      </c>
      <c r="C456" s="5" t="s">
        <v>93</v>
      </c>
      <c r="D456" s="55" t="str">
        <f>VLOOKUP($B456,Letters!$C$56:$D$79,2,FALSE) &amp; VLOOKUP($C456,Letters!$C$56:$D$79,2,FALSE)</f>
        <v>TN</v>
      </c>
      <c r="E456" s="5" t="s">
        <v>2352</v>
      </c>
      <c r="F456" s="5" t="s">
        <v>2353</v>
      </c>
      <c r="G456" s="55">
        <f t="shared" si="39"/>
        <v>8</v>
      </c>
      <c r="H456" s="55">
        <f t="shared" si="40"/>
        <v>8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3.5">
      <c r="A457" s="54"/>
      <c r="B457" s="5" t="s">
        <v>99</v>
      </c>
      <c r="C457" s="5" t="s">
        <v>94</v>
      </c>
      <c r="D457" s="55" t="str">
        <f>VLOOKUP($B457,Letters!$C$56:$D$79,2,FALSE) &amp; VLOOKUP($C457,Letters!$C$56:$D$79,2,FALSE)</f>
        <v>TO</v>
      </c>
      <c r="E457" s="5" t="s">
        <v>2356</v>
      </c>
      <c r="F457" s="5" t="s">
        <v>2357</v>
      </c>
      <c r="G457" s="55">
        <f t="shared" si="39"/>
        <v>10</v>
      </c>
      <c r="H457" s="55">
        <f t="shared" si="40"/>
        <v>10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3.5">
      <c r="A458" s="54"/>
      <c r="B458" s="5" t="s">
        <v>99</v>
      </c>
      <c r="C458" s="5" t="s">
        <v>95</v>
      </c>
      <c r="D458" s="55" t="str">
        <f>VLOOKUP($B458,Letters!$C$56:$D$79,2,FALSE) &amp; VLOOKUP($C458,Letters!$C$56:$D$79,2,FALSE)</f>
        <v>TP</v>
      </c>
      <c r="E458" s="5" t="s">
        <v>2360</v>
      </c>
      <c r="F458" s="5" t="s">
        <v>2361</v>
      </c>
      <c r="G458" s="55">
        <f t="shared" si="39"/>
        <v>8</v>
      </c>
      <c r="H458" s="55">
        <f t="shared" si="40"/>
        <v>8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3.5">
      <c r="A459" s="60">
        <v>1.0</v>
      </c>
      <c r="B459" s="5" t="s">
        <v>99</v>
      </c>
      <c r="C459" s="5" t="s">
        <v>96</v>
      </c>
      <c r="D459" s="55" t="str">
        <f>VLOOKUP($B459,Letters!$C$56:$D$79,2,FALSE) &amp; VLOOKUP($C459,Letters!$C$56:$D$79,2,FALSE)</f>
        <v>TW</v>
      </c>
      <c r="E459" s="5" t="s">
        <v>2362</v>
      </c>
      <c r="F459" s="5" t="s">
        <v>2363</v>
      </c>
      <c r="G459" s="55">
        <f t="shared" si="39"/>
        <v>9</v>
      </c>
      <c r="H459" s="55">
        <f t="shared" si="40"/>
        <v>10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3.5">
      <c r="A460" s="54"/>
      <c r="B460" s="5" t="s">
        <v>99</v>
      </c>
      <c r="C460" s="5" t="s">
        <v>97</v>
      </c>
      <c r="D460" s="55" t="str">
        <f>VLOOKUP($B460,Letters!$C$56:$D$79,2,FALSE) &amp; VLOOKUP($C460,Letters!$C$56:$D$79,2,FALSE)</f>
        <v>TR</v>
      </c>
      <c r="E460" s="5" t="s">
        <v>2364</v>
      </c>
      <c r="F460" s="5" t="s">
        <v>2365</v>
      </c>
      <c r="G460" s="55">
        <f t="shared" si="39"/>
        <v>11</v>
      </c>
      <c r="H460" s="55">
        <f t="shared" si="40"/>
        <v>12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3.5">
      <c r="A461" s="54"/>
      <c r="B461" s="5" t="s">
        <v>99</v>
      </c>
      <c r="C461" s="5" t="s">
        <v>98</v>
      </c>
      <c r="D461" s="55" t="str">
        <f>VLOOKUP($B461,Letters!$C$56:$D$79,2,FALSE) &amp; VLOOKUP($C461,Letters!$C$56:$D$79,2,FALSE)</f>
        <v>TS</v>
      </c>
      <c r="E461" s="5" t="s">
        <v>2368</v>
      </c>
      <c r="F461" s="5" t="s">
        <v>2369</v>
      </c>
      <c r="G461" s="55">
        <f t="shared" si="39"/>
        <v>12</v>
      </c>
      <c r="H461" s="55">
        <f t="shared" si="40"/>
        <v>12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3.5">
      <c r="A462" s="54"/>
      <c r="B462" s="5" t="s">
        <v>99</v>
      </c>
      <c r="C462" s="5" t="s">
        <v>100</v>
      </c>
      <c r="D462" s="55" t="str">
        <f>VLOOKUP($B462,Letters!$C$56:$D$79,2,FALSE) &amp; VLOOKUP($C462,Letters!$C$56:$D$79,2,FALSE)</f>
        <v>TU</v>
      </c>
      <c r="E462" s="73" t="s">
        <v>2372</v>
      </c>
      <c r="F462" s="5" t="s">
        <v>2373</v>
      </c>
      <c r="G462" s="55">
        <f t="shared" si="39"/>
        <v>11</v>
      </c>
      <c r="H462" s="55">
        <f t="shared" si="40"/>
        <v>16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3.5">
      <c r="A463" s="75"/>
      <c r="B463" s="5" t="s">
        <v>99</v>
      </c>
      <c r="C463" s="5" t="s">
        <v>101</v>
      </c>
      <c r="D463" s="55" t="str">
        <f>VLOOKUP($B463,Letters!$C$56:$D$79,2,FALSE) &amp; VLOOKUP($C463,Letters!$C$56:$D$79,2,FALSE)</f>
        <v>TV</v>
      </c>
      <c r="E463" s="5" t="s">
        <v>2382</v>
      </c>
      <c r="F463" s="5" t="s">
        <v>2383</v>
      </c>
      <c r="G463" s="55">
        <f t="shared" si="39"/>
        <v>9</v>
      </c>
      <c r="H463" s="55">
        <f t="shared" si="40"/>
        <v>12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3.5">
      <c r="A464" s="75"/>
      <c r="B464" s="5" t="s">
        <v>99</v>
      </c>
      <c r="C464" s="5" t="s">
        <v>103</v>
      </c>
      <c r="D464" s="55" t="str">
        <f>VLOOKUP($B464,Letters!$C$56:$D$79,2,FALSE) &amp; VLOOKUP($C464,Letters!$C$56:$D$79,2,FALSE)</f>
        <v>TI</v>
      </c>
      <c r="E464" s="5" t="s">
        <v>2388</v>
      </c>
      <c r="F464" s="5" t="s">
        <v>2389</v>
      </c>
      <c r="G464" s="55">
        <f t="shared" si="39"/>
        <v>8</v>
      </c>
      <c r="H464" s="55">
        <f t="shared" si="40"/>
        <v>10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65"/>
      <c r="B465" s="5"/>
      <c r="C465" s="5"/>
      <c r="D465" s="55"/>
      <c r="E465" s="5"/>
      <c r="F465" s="5"/>
      <c r="G465" s="55"/>
      <c r="H465" s="5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3.5">
      <c r="A466" s="65"/>
      <c r="B466" s="5" t="s">
        <v>100</v>
      </c>
      <c r="C466" s="5" t="s">
        <v>78</v>
      </c>
      <c r="D466" s="55" t="str">
        <f>VLOOKUP($B466,Letters!$C$56:$D$79,2,FALSE) &amp; VLOOKUP($C466,Letters!$C$56:$D$79,2,FALSE)</f>
        <v>UA</v>
      </c>
      <c r="E466" s="5" t="s">
        <v>2394</v>
      </c>
      <c r="F466" s="5" t="s">
        <v>2395</v>
      </c>
      <c r="G466" s="55">
        <f t="shared" ref="G466:G487" si="41">(len($F466)-len(SUBSTITUTE($F466,"R","")))+(len($F466)-len(SUBSTITUTE($F466,"L","")))+(len($F466)-len(SUBSTITUTE($F466,"U","")))+(len($F466)-len(SUBSTITUTE($F466,"D","")))+(len($F466)-len(SUBSTITUTE($F466,"F","")))+(len($F466)-len(SUBSTITUTE($F466,"B","")))+(len($F466)-len(SUBSTITUTE($F466,"r","")))+(len($F466)-len(SUBSTITUTE($F466,"l","")))+(len($F466)-len(SUBSTITUTE($F466,"u","")))+(len($F466)-len(SUBSTITUTE($F466,"d","")))</f>
        <v>14</v>
      </c>
      <c r="H466" s="55">
        <f t="shared" ref="H466:H487" si="42">(len($F466)-len(SUBSTITUTE($F466,"R","")))+(len($F466)-len(SUBSTITUTE($F466,"L","")))+(len($F466)-len(SUBSTITUTE($F466,"U","")))+(len($F466)-len(SUBSTITUTE($F466,"D","")))+(len($F466)-len(SUBSTITUTE($F466,"F","")))+(len($F466)-len(SUBSTITUTE($F466,"B","")))+(len($F466)-len(SUBSTITUTE($F466,"r","")))+(len($F466)-len(SUBSTITUTE($F466,"l","")))+(len($F466)-len(SUBSTITUTE($F466,"u","")))+(len($F466)-len(SUBSTITUTE($F466,"d","")))+(len($F466)-len(SUBSTITUTE($F466,"2","")))</f>
        <v>16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3.5">
      <c r="A467" s="65"/>
      <c r="B467" s="5" t="s">
        <v>100</v>
      </c>
      <c r="C467" s="5" t="s">
        <v>80</v>
      </c>
      <c r="D467" s="55" t="str">
        <f>VLOOKUP($B467,Letters!$C$56:$D$79,2,FALSE) &amp; VLOOKUP($C467,Letters!$C$56:$D$79,2,FALSE)</f>
        <v>UB</v>
      </c>
      <c r="E467" s="5" t="s">
        <v>2408</v>
      </c>
      <c r="F467" s="5" t="s">
        <v>2410</v>
      </c>
      <c r="G467" s="55">
        <f t="shared" si="41"/>
        <v>12</v>
      </c>
      <c r="H467" s="55">
        <f t="shared" si="42"/>
        <v>14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3.5">
      <c r="A468" s="65"/>
      <c r="B468" s="5" t="s">
        <v>100</v>
      </c>
      <c r="C468" s="5" t="s">
        <v>81</v>
      </c>
      <c r="D468" s="55" t="str">
        <f>VLOOKUP($B468,Letters!$C$56:$D$79,2,FALSE) &amp; VLOOKUP($C468,Letters!$C$56:$D$79,2,FALSE)</f>
        <v>UC</v>
      </c>
      <c r="E468" s="5" t="s">
        <v>2416</v>
      </c>
      <c r="F468" s="5" t="s">
        <v>2417</v>
      </c>
      <c r="G468" s="55">
        <f t="shared" si="41"/>
        <v>14</v>
      </c>
      <c r="H468" s="55">
        <f t="shared" si="42"/>
        <v>16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3.5">
      <c r="A469" s="65"/>
      <c r="B469" s="5" t="s">
        <v>100</v>
      </c>
      <c r="C469" s="5" t="s">
        <v>82</v>
      </c>
      <c r="D469" s="55" t="str">
        <f>VLOOKUP($B469,Letters!$C$56:$D$79,2,FALSE) &amp; VLOOKUP($C469,Letters!$C$56:$D$79,2,FALSE)</f>
        <v>UD</v>
      </c>
      <c r="E469" s="5" t="s">
        <v>2422</v>
      </c>
      <c r="F469" s="5" t="s">
        <v>2423</v>
      </c>
      <c r="G469" s="55">
        <f t="shared" si="41"/>
        <v>12</v>
      </c>
      <c r="H469" s="55">
        <f t="shared" si="42"/>
        <v>18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3.5">
      <c r="A470" s="65"/>
      <c r="B470" s="5" t="s">
        <v>100</v>
      </c>
      <c r="C470" s="5" t="s">
        <v>83</v>
      </c>
      <c r="D470" s="55" t="str">
        <f>VLOOKUP($B470,Letters!$C$56:$D$79,2,FALSE) &amp; VLOOKUP($C470,Letters!$C$56:$D$79,2,FALSE)</f>
        <v>UE</v>
      </c>
      <c r="E470" s="5" t="s">
        <v>2428</v>
      </c>
      <c r="F470" s="5" t="s">
        <v>2429</v>
      </c>
      <c r="G470" s="55">
        <f t="shared" si="41"/>
        <v>10</v>
      </c>
      <c r="H470" s="55">
        <f t="shared" si="42"/>
        <v>14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3.5">
      <c r="A471" s="65"/>
      <c r="B471" s="5" t="s">
        <v>100</v>
      </c>
      <c r="C471" s="5" t="s">
        <v>84</v>
      </c>
      <c r="D471" s="55" t="str">
        <f>VLOOKUP($B471,Letters!$C$56:$D$79,2,FALSE) &amp; VLOOKUP($C471,Letters!$C$56:$D$79,2,FALSE)</f>
        <v>UF</v>
      </c>
      <c r="E471" s="5" t="s">
        <v>2434</v>
      </c>
      <c r="F471" s="5" t="s">
        <v>2435</v>
      </c>
      <c r="G471" s="55">
        <f t="shared" si="41"/>
        <v>10</v>
      </c>
      <c r="H471" s="55">
        <f t="shared" si="42"/>
        <v>12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3.5">
      <c r="A472" s="65"/>
      <c r="B472" s="5" t="s">
        <v>100</v>
      </c>
      <c r="C472" s="5" t="s">
        <v>85</v>
      </c>
      <c r="D472" s="55" t="str">
        <f>VLOOKUP($B472,Letters!$C$56:$D$79,2,FALSE) &amp; VLOOKUP($C472,Letters!$C$56:$D$79,2,FALSE)</f>
        <v>UG</v>
      </c>
      <c r="E472" s="5" t="s">
        <v>2439</v>
      </c>
      <c r="F472" s="5" t="s">
        <v>2441</v>
      </c>
      <c r="G472" s="55">
        <f t="shared" si="41"/>
        <v>8</v>
      </c>
      <c r="H472" s="55">
        <f t="shared" si="42"/>
        <v>10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3.5">
      <c r="A473" s="65"/>
      <c r="B473" s="5" t="s">
        <v>100</v>
      </c>
      <c r="C473" s="5" t="s">
        <v>86</v>
      </c>
      <c r="D473" s="55" t="str">
        <f>VLOOKUP($B473,Letters!$C$56:$D$79,2,FALSE) &amp; VLOOKUP($C473,Letters!$C$56:$D$79,2,FALSE)</f>
        <v>UH</v>
      </c>
      <c r="E473" s="5" t="s">
        <v>2444</v>
      </c>
      <c r="F473" s="5" t="s">
        <v>2445</v>
      </c>
      <c r="G473" s="55">
        <f t="shared" si="41"/>
        <v>10</v>
      </c>
      <c r="H473" s="55">
        <f t="shared" si="42"/>
        <v>12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3.5">
      <c r="A474" s="65"/>
      <c r="B474" s="5" t="s">
        <v>100</v>
      </c>
      <c r="C474" s="5" t="s">
        <v>87</v>
      </c>
      <c r="D474" s="55" t="str">
        <f>VLOOKUP($B474,Letters!$C$56:$D$79,2,FALSE) &amp; VLOOKUP($C474,Letters!$C$56:$D$79,2,FALSE)</f>
        <v>UX</v>
      </c>
      <c r="E474" s="5" t="s">
        <v>2450</v>
      </c>
      <c r="F474" s="5" t="s">
        <v>2451</v>
      </c>
      <c r="G474" s="55">
        <f t="shared" si="41"/>
        <v>10</v>
      </c>
      <c r="H474" s="55">
        <f t="shared" si="42"/>
        <v>14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3.5">
      <c r="A475" s="65"/>
      <c r="B475" s="5" t="s">
        <v>100</v>
      </c>
      <c r="C475" s="5" t="s">
        <v>89</v>
      </c>
      <c r="D475" s="55" t="str">
        <f>VLOOKUP($B475,Letters!$C$56:$D$79,2,FALSE) &amp; VLOOKUP($C475,Letters!$C$56:$D$79,2,FALSE)</f>
        <v>UJ</v>
      </c>
      <c r="E475" s="5" t="s">
        <v>2454</v>
      </c>
      <c r="F475" s="5" t="s">
        <v>2455</v>
      </c>
      <c r="G475" s="55">
        <f t="shared" si="41"/>
        <v>10</v>
      </c>
      <c r="H475" s="55">
        <f t="shared" si="42"/>
        <v>12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3.5">
      <c r="A476" s="65"/>
      <c r="B476" s="5" t="s">
        <v>100</v>
      </c>
      <c r="C476" s="5" t="s">
        <v>90</v>
      </c>
      <c r="D476" s="55" t="str">
        <f>VLOOKUP($B476,Letters!$C$56:$D$79,2,FALSE) &amp; VLOOKUP($C476,Letters!$C$56:$D$79,2,FALSE)</f>
        <v>UK</v>
      </c>
      <c r="E476" s="5" t="s">
        <v>2458</v>
      </c>
      <c r="F476" s="5" t="s">
        <v>2459</v>
      </c>
      <c r="G476" s="55">
        <f t="shared" si="41"/>
        <v>8</v>
      </c>
      <c r="H476" s="55">
        <f t="shared" si="42"/>
        <v>12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3.5">
      <c r="A477" s="65"/>
      <c r="B477" s="5" t="s">
        <v>100</v>
      </c>
      <c r="C477" s="5" t="s">
        <v>91</v>
      </c>
      <c r="D477" s="55" t="str">
        <f>VLOOKUP($B477,Letters!$C$56:$D$79,2,FALSE) &amp; VLOOKUP($C477,Letters!$C$56:$D$79,2,FALSE)</f>
        <v>UL</v>
      </c>
      <c r="E477" s="5" t="s">
        <v>2462</v>
      </c>
      <c r="F477" s="5" t="s">
        <v>2463</v>
      </c>
      <c r="G477" s="55">
        <f t="shared" si="41"/>
        <v>11</v>
      </c>
      <c r="H477" s="55">
        <f t="shared" si="42"/>
        <v>16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3.5">
      <c r="A478" s="65"/>
      <c r="B478" s="5" t="s">
        <v>100</v>
      </c>
      <c r="C478" s="5" t="s">
        <v>92</v>
      </c>
      <c r="D478" s="55" t="str">
        <f>VLOOKUP($B478,Letters!$C$56:$D$79,2,FALSE) &amp; VLOOKUP($C478,Letters!$C$56:$D$79,2,FALSE)</f>
        <v>UM</v>
      </c>
      <c r="E478" s="5" t="s">
        <v>2466</v>
      </c>
      <c r="F478" s="5" t="s">
        <v>2467</v>
      </c>
      <c r="G478" s="55">
        <f t="shared" si="41"/>
        <v>10</v>
      </c>
      <c r="H478" s="55">
        <f t="shared" si="42"/>
        <v>13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3.5">
      <c r="A479" s="65"/>
      <c r="B479" s="5" t="s">
        <v>100</v>
      </c>
      <c r="C479" s="5" t="s">
        <v>93</v>
      </c>
      <c r="D479" s="55" t="str">
        <f>VLOOKUP($B479,Letters!$C$56:$D$79,2,FALSE) &amp; VLOOKUP($C479,Letters!$C$56:$D$79,2,FALSE)</f>
        <v>UN</v>
      </c>
      <c r="E479" s="5" t="s">
        <v>2469</v>
      </c>
      <c r="F479" s="5" t="s">
        <v>2470</v>
      </c>
      <c r="G479" s="55">
        <f t="shared" si="41"/>
        <v>9</v>
      </c>
      <c r="H479" s="55">
        <f t="shared" si="42"/>
        <v>11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3.5">
      <c r="A480" s="65"/>
      <c r="B480" s="5" t="s">
        <v>100</v>
      </c>
      <c r="C480" s="5" t="s">
        <v>94</v>
      </c>
      <c r="D480" s="55" t="str">
        <f>VLOOKUP($B480,Letters!$C$56:$D$79,2,FALSE) &amp; VLOOKUP($C480,Letters!$C$56:$D$79,2,FALSE)</f>
        <v>UO</v>
      </c>
      <c r="E480" s="5" t="s">
        <v>2474</v>
      </c>
      <c r="F480" s="5" t="s">
        <v>2475</v>
      </c>
      <c r="G480" s="55">
        <f t="shared" si="41"/>
        <v>8</v>
      </c>
      <c r="H480" s="55">
        <f t="shared" si="42"/>
        <v>10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3.5">
      <c r="A481" s="65"/>
      <c r="B481" s="5" t="s">
        <v>100</v>
      </c>
      <c r="C481" s="5" t="s">
        <v>95</v>
      </c>
      <c r="D481" s="55" t="str">
        <f>VLOOKUP($B481,Letters!$C$56:$D$79,2,FALSE) &amp; VLOOKUP($C481,Letters!$C$56:$D$79,2,FALSE)</f>
        <v>UP</v>
      </c>
      <c r="E481" s="5" t="s">
        <v>2478</v>
      </c>
      <c r="F481" s="5" t="s">
        <v>2479</v>
      </c>
      <c r="G481" s="55">
        <f t="shared" si="41"/>
        <v>10</v>
      </c>
      <c r="H481" s="55">
        <f t="shared" si="42"/>
        <v>13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3.5">
      <c r="A482" s="65"/>
      <c r="B482" s="5" t="s">
        <v>100</v>
      </c>
      <c r="C482" s="5" t="s">
        <v>96</v>
      </c>
      <c r="D482" s="55" t="str">
        <f>VLOOKUP($B482,Letters!$C$56:$D$79,2,FALSE) &amp; VLOOKUP($C482,Letters!$C$56:$D$79,2,FALSE)</f>
        <v>UW</v>
      </c>
      <c r="E482" s="5" t="s">
        <v>2482</v>
      </c>
      <c r="F482" s="5" t="s">
        <v>2483</v>
      </c>
      <c r="G482" s="55">
        <f t="shared" si="41"/>
        <v>10</v>
      </c>
      <c r="H482" s="55">
        <f t="shared" si="42"/>
        <v>14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3.5">
      <c r="A483" s="65"/>
      <c r="B483" s="5" t="s">
        <v>100</v>
      </c>
      <c r="C483" s="5" t="s">
        <v>97</v>
      </c>
      <c r="D483" s="55" t="str">
        <f>VLOOKUP($B483,Letters!$C$56:$D$79,2,FALSE) &amp; VLOOKUP($C483,Letters!$C$56:$D$79,2,FALSE)</f>
        <v>UR</v>
      </c>
      <c r="E483" s="5" t="s">
        <v>2488</v>
      </c>
      <c r="F483" s="5" t="s">
        <v>2489</v>
      </c>
      <c r="G483" s="55">
        <f t="shared" si="41"/>
        <v>10</v>
      </c>
      <c r="H483" s="55">
        <f t="shared" si="42"/>
        <v>12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3.5">
      <c r="A484" s="65"/>
      <c r="B484" s="5" t="s">
        <v>100</v>
      </c>
      <c r="C484" s="5" t="s">
        <v>98</v>
      </c>
      <c r="D484" s="55" t="str">
        <f>VLOOKUP($B484,Letters!$C$56:$D$79,2,FALSE) &amp; VLOOKUP($C484,Letters!$C$56:$D$79,2,FALSE)</f>
        <v>US</v>
      </c>
      <c r="E484" s="5" t="s">
        <v>2490</v>
      </c>
      <c r="F484" s="5" t="s">
        <v>2491</v>
      </c>
      <c r="G484" s="55">
        <f t="shared" si="41"/>
        <v>8</v>
      </c>
      <c r="H484" s="55">
        <f t="shared" si="42"/>
        <v>12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3.5">
      <c r="A485" s="65"/>
      <c r="B485" s="5" t="s">
        <v>100</v>
      </c>
      <c r="C485" s="5" t="s">
        <v>99</v>
      </c>
      <c r="D485" s="55" t="str">
        <f>VLOOKUP($B485,Letters!$C$56:$D$79,2,FALSE) &amp; VLOOKUP($C485,Letters!$C$56:$D$79,2,FALSE)</f>
        <v>UT</v>
      </c>
      <c r="E485" s="5" t="s">
        <v>2494</v>
      </c>
      <c r="F485" s="5" t="s">
        <v>2495</v>
      </c>
      <c r="G485" s="55">
        <f t="shared" si="41"/>
        <v>11</v>
      </c>
      <c r="H485" s="55">
        <f t="shared" si="42"/>
        <v>16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3.5">
      <c r="A486" s="65"/>
      <c r="B486" s="5" t="s">
        <v>100</v>
      </c>
      <c r="C486" s="5" t="s">
        <v>101</v>
      </c>
      <c r="D486" s="55" t="str">
        <f>VLOOKUP($B486,Letters!$C$56:$D$79,2,FALSE) &amp; VLOOKUP($C486,Letters!$C$56:$D$79,2,FALSE)</f>
        <v>UV</v>
      </c>
      <c r="E486" s="5" t="s">
        <v>2500</v>
      </c>
      <c r="F486" s="5" t="s">
        <v>2501</v>
      </c>
      <c r="G486" s="55">
        <f t="shared" si="41"/>
        <v>12</v>
      </c>
      <c r="H486" s="55">
        <f t="shared" si="42"/>
        <v>12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3.5">
      <c r="A487" s="65"/>
      <c r="B487" s="5" t="s">
        <v>100</v>
      </c>
      <c r="C487" s="5" t="s">
        <v>103</v>
      </c>
      <c r="D487" s="55" t="str">
        <f>VLOOKUP($B487,Letters!$C$56:$D$79,2,FALSE) &amp; VLOOKUP($C487,Letters!$C$56:$D$79,2,FALSE)</f>
        <v>UI</v>
      </c>
      <c r="E487" s="5" t="s">
        <v>2506</v>
      </c>
      <c r="F487" s="5" t="s">
        <v>2507</v>
      </c>
      <c r="G487" s="55">
        <f t="shared" si="41"/>
        <v>10</v>
      </c>
      <c r="H487" s="55">
        <f t="shared" si="42"/>
        <v>12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65"/>
      <c r="B488" s="5"/>
      <c r="C488" s="5"/>
      <c r="D488" s="55"/>
      <c r="E488" s="5"/>
      <c r="F488" s="5"/>
      <c r="G488" s="55"/>
      <c r="H488" s="5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3.5">
      <c r="A489" s="75">
        <v>1.0</v>
      </c>
      <c r="B489" s="5" t="s">
        <v>101</v>
      </c>
      <c r="C489" s="5" t="s">
        <v>78</v>
      </c>
      <c r="D489" s="55" t="str">
        <f>VLOOKUP($B489,Letters!$C$56:$D$79,2,FALSE) &amp; VLOOKUP($C489,Letters!$C$56:$D$79,2,FALSE)</f>
        <v>VA</v>
      </c>
      <c r="E489" s="5" t="s">
        <v>2512</v>
      </c>
      <c r="F489" s="5" t="s">
        <v>2513</v>
      </c>
      <c r="G489" s="55">
        <f t="shared" ref="G489:G510" si="43">(len($F489)-len(SUBSTITUTE($F489,"R","")))+(len($F489)-len(SUBSTITUTE($F489,"L","")))+(len($F489)-len(SUBSTITUTE($F489,"U","")))+(len($F489)-len(SUBSTITUTE($F489,"D","")))+(len($F489)-len(SUBSTITUTE($F489,"F","")))+(len($F489)-len(SUBSTITUTE($F489,"B","")))+(len($F489)-len(SUBSTITUTE($F489,"r","")))+(len($F489)-len(SUBSTITUTE($F489,"l","")))+(len($F489)-len(SUBSTITUTE($F489,"u","")))+(len($F489)-len(SUBSTITUTE($F489,"d","")))</f>
        <v>9</v>
      </c>
      <c r="H489" s="55">
        <f t="shared" ref="H489:H510" si="44">(len($F489)-len(SUBSTITUTE($F489,"R","")))+(len($F489)-len(SUBSTITUTE($F489,"L","")))+(len($F489)-len(SUBSTITUTE($F489,"U","")))+(len($F489)-len(SUBSTITUTE($F489,"D","")))+(len($F489)-len(SUBSTITUTE($F489,"F","")))+(len($F489)-len(SUBSTITUTE($F489,"B","")))+(len($F489)-len(SUBSTITUTE($F489,"r","")))+(len($F489)-len(SUBSTITUTE($F489,"l","")))+(len($F489)-len(SUBSTITUTE($F489,"u","")))+(len($F489)-len(SUBSTITUTE($F489,"d","")))+(len($F489)-len(SUBSTITUTE($F489,"2","")))</f>
        <v>14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3.5">
      <c r="A490" s="75">
        <v>1.0</v>
      </c>
      <c r="B490" s="5" t="s">
        <v>101</v>
      </c>
      <c r="C490" s="5" t="s">
        <v>80</v>
      </c>
      <c r="D490" s="55" t="str">
        <f>VLOOKUP($B490,Letters!$C$56:$D$79,2,FALSE) &amp; VLOOKUP($C490,Letters!$C$56:$D$79,2,FALSE)</f>
        <v>VB</v>
      </c>
      <c r="E490" s="5" t="s">
        <v>2532</v>
      </c>
      <c r="F490" s="5" t="s">
        <v>2534</v>
      </c>
      <c r="G490" s="55">
        <f t="shared" si="43"/>
        <v>8</v>
      </c>
      <c r="H490" s="55">
        <f t="shared" si="44"/>
        <v>12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3.5">
      <c r="A491" s="75">
        <v>1.0</v>
      </c>
      <c r="B491" s="5" t="s">
        <v>101</v>
      </c>
      <c r="C491" s="5" t="s">
        <v>81</v>
      </c>
      <c r="D491" s="55" t="str">
        <f>VLOOKUP($B491,Letters!$C$56:$D$79,2,FALSE) &amp; VLOOKUP($C491,Letters!$C$56:$D$79,2,FALSE)</f>
        <v>VC</v>
      </c>
      <c r="E491" s="5" t="s">
        <v>2542</v>
      </c>
      <c r="F491" s="5" t="s">
        <v>2543</v>
      </c>
      <c r="G491" s="55">
        <f t="shared" si="43"/>
        <v>8</v>
      </c>
      <c r="H491" s="55">
        <f t="shared" si="44"/>
        <v>12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3.5">
      <c r="A492" s="75">
        <v>1.0</v>
      </c>
      <c r="B492" s="5" t="s">
        <v>101</v>
      </c>
      <c r="C492" s="5" t="s">
        <v>82</v>
      </c>
      <c r="D492" s="55" t="str">
        <f>VLOOKUP($B492,Letters!$C$56:$D$79,2,FALSE) &amp; VLOOKUP($C492,Letters!$C$56:$D$79,2,FALSE)</f>
        <v>VD</v>
      </c>
      <c r="E492" s="69" t="s">
        <v>2548</v>
      </c>
      <c r="F492" s="5" t="s">
        <v>2549</v>
      </c>
      <c r="G492" s="55">
        <f t="shared" si="43"/>
        <v>9</v>
      </c>
      <c r="H492" s="55">
        <f t="shared" si="44"/>
        <v>14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3.5">
      <c r="A493" s="65"/>
      <c r="B493" s="5" t="s">
        <v>101</v>
      </c>
      <c r="C493" s="5" t="s">
        <v>83</v>
      </c>
      <c r="D493" s="55" t="str">
        <f>VLOOKUP($B493,Letters!$C$56:$D$79,2,FALSE) &amp; VLOOKUP($C493,Letters!$C$56:$D$79,2,FALSE)</f>
        <v>VE</v>
      </c>
      <c r="E493" s="5" t="s">
        <v>2554</v>
      </c>
      <c r="F493" s="5" t="s">
        <v>2555</v>
      </c>
      <c r="G493" s="55">
        <f t="shared" si="43"/>
        <v>13</v>
      </c>
      <c r="H493" s="55">
        <f t="shared" si="44"/>
        <v>14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3.5">
      <c r="A494" s="65"/>
      <c r="B494" s="5" t="s">
        <v>101</v>
      </c>
      <c r="C494" s="5" t="s">
        <v>84</v>
      </c>
      <c r="D494" s="55" t="str">
        <f>VLOOKUP($B494,Letters!$C$56:$D$79,2,FALSE) &amp; VLOOKUP($C494,Letters!$C$56:$D$79,2,FALSE)</f>
        <v>VF</v>
      </c>
      <c r="E494" s="5" t="s">
        <v>2560</v>
      </c>
      <c r="F494" s="5" t="s">
        <v>2561</v>
      </c>
      <c r="G494" s="55">
        <f t="shared" si="43"/>
        <v>11</v>
      </c>
      <c r="H494" s="55">
        <f t="shared" si="44"/>
        <v>14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3.5">
      <c r="A495" s="65"/>
      <c r="B495" s="5" t="s">
        <v>101</v>
      </c>
      <c r="C495" s="5" t="s">
        <v>85</v>
      </c>
      <c r="D495" s="55" t="str">
        <f>VLOOKUP($B495,Letters!$C$56:$D$79,2,FALSE) &amp; VLOOKUP($C495,Letters!$C$56:$D$79,2,FALSE)</f>
        <v>VG</v>
      </c>
      <c r="E495" s="5" t="s">
        <v>2566</v>
      </c>
      <c r="F495" s="5" t="s">
        <v>2567</v>
      </c>
      <c r="G495" s="55">
        <f t="shared" si="43"/>
        <v>8</v>
      </c>
      <c r="H495" s="55">
        <f t="shared" si="44"/>
        <v>8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3.5">
      <c r="A496" s="65"/>
      <c r="B496" s="5" t="s">
        <v>101</v>
      </c>
      <c r="C496" s="5" t="s">
        <v>86</v>
      </c>
      <c r="D496" s="55" t="str">
        <f>VLOOKUP($B496,Letters!$C$56:$D$79,2,FALSE) &amp; VLOOKUP($C496,Letters!$C$56:$D$79,2,FALSE)</f>
        <v>VH</v>
      </c>
      <c r="E496" s="5" t="s">
        <v>2574</v>
      </c>
      <c r="F496" s="5" t="s">
        <v>2575</v>
      </c>
      <c r="G496" s="55">
        <f t="shared" si="43"/>
        <v>12</v>
      </c>
      <c r="H496" s="55">
        <f t="shared" si="44"/>
        <v>12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3.5">
      <c r="A497" s="65"/>
      <c r="B497" s="5" t="s">
        <v>101</v>
      </c>
      <c r="C497" s="5" t="s">
        <v>87</v>
      </c>
      <c r="D497" s="55" t="str">
        <f>VLOOKUP($B497,Letters!$C$56:$D$79,2,FALSE) &amp; VLOOKUP($C497,Letters!$C$56:$D$79,2,FALSE)</f>
        <v>VX</v>
      </c>
      <c r="E497" s="5" t="s">
        <v>2578</v>
      </c>
      <c r="F497" s="5" t="s">
        <v>2579</v>
      </c>
      <c r="G497" s="55">
        <f t="shared" si="43"/>
        <v>11</v>
      </c>
      <c r="H497" s="55">
        <f t="shared" si="44"/>
        <v>14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3.5">
      <c r="A498" s="65"/>
      <c r="B498" s="5" t="s">
        <v>101</v>
      </c>
      <c r="C498" s="5" t="s">
        <v>89</v>
      </c>
      <c r="D498" s="55" t="str">
        <f>VLOOKUP($B498,Letters!$C$56:$D$79,2,FALSE) &amp; VLOOKUP($C498,Letters!$C$56:$D$79,2,FALSE)</f>
        <v>VJ</v>
      </c>
      <c r="E498" s="5" t="s">
        <v>2584</v>
      </c>
      <c r="F498" s="5" t="s">
        <v>2585</v>
      </c>
      <c r="G498" s="55">
        <f t="shared" si="43"/>
        <v>9</v>
      </c>
      <c r="H498" s="55">
        <f t="shared" si="44"/>
        <v>12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3.5">
      <c r="A499" s="65"/>
      <c r="B499" s="5" t="s">
        <v>101</v>
      </c>
      <c r="C499" s="5" t="s">
        <v>90</v>
      </c>
      <c r="D499" s="55" t="str">
        <f>VLOOKUP($B499,Letters!$C$56:$D$79,2,FALSE) &amp; VLOOKUP($C499,Letters!$C$56:$D$79,2,FALSE)</f>
        <v>VK</v>
      </c>
      <c r="E499" s="5" t="s">
        <v>2589</v>
      </c>
      <c r="F499" s="5" t="s">
        <v>2591</v>
      </c>
      <c r="G499" s="55">
        <f t="shared" si="43"/>
        <v>8</v>
      </c>
      <c r="H499" s="55">
        <f t="shared" si="44"/>
        <v>8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3.5">
      <c r="A500" s="65"/>
      <c r="B500" s="5" t="s">
        <v>101</v>
      </c>
      <c r="C500" s="5" t="s">
        <v>91</v>
      </c>
      <c r="D500" s="55" t="str">
        <f>VLOOKUP($B500,Letters!$C$56:$D$79,2,FALSE) &amp; VLOOKUP($C500,Letters!$C$56:$D$79,2,FALSE)</f>
        <v>VL</v>
      </c>
      <c r="E500" s="5" t="s">
        <v>2596</v>
      </c>
      <c r="F500" s="5" t="s">
        <v>2597</v>
      </c>
      <c r="G500" s="55">
        <f t="shared" si="43"/>
        <v>11</v>
      </c>
      <c r="H500" s="55">
        <f t="shared" si="44"/>
        <v>16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3.5">
      <c r="A501" s="65"/>
      <c r="B501" s="5" t="s">
        <v>101</v>
      </c>
      <c r="C501" s="5" t="s">
        <v>92</v>
      </c>
      <c r="D501" s="55" t="str">
        <f>VLOOKUP($B501,Letters!$C$56:$D$79,2,FALSE) &amp; VLOOKUP($C501,Letters!$C$56:$D$79,2,FALSE)</f>
        <v>VM</v>
      </c>
      <c r="E501" s="5" t="s">
        <v>2602</v>
      </c>
      <c r="F501" s="5" t="s">
        <v>2603</v>
      </c>
      <c r="G501" s="55">
        <f t="shared" si="43"/>
        <v>10</v>
      </c>
      <c r="H501" s="55">
        <f t="shared" si="44"/>
        <v>11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3.5">
      <c r="A502" s="65"/>
      <c r="B502" s="5" t="s">
        <v>101</v>
      </c>
      <c r="C502" s="5" t="s">
        <v>93</v>
      </c>
      <c r="D502" s="55" t="str">
        <f>VLOOKUP($B502,Letters!$C$56:$D$79,2,FALSE) &amp; VLOOKUP($C502,Letters!$C$56:$D$79,2,FALSE)</f>
        <v>VN</v>
      </c>
      <c r="E502" s="5" t="s">
        <v>2606</v>
      </c>
      <c r="F502" s="5" t="s">
        <v>2607</v>
      </c>
      <c r="G502" s="55">
        <f t="shared" si="43"/>
        <v>9</v>
      </c>
      <c r="H502" s="55">
        <f t="shared" si="44"/>
        <v>9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3.5">
      <c r="A503" s="65"/>
      <c r="B503" s="5" t="s">
        <v>101</v>
      </c>
      <c r="C503" s="5" t="s">
        <v>94</v>
      </c>
      <c r="D503" s="55" t="str">
        <f>VLOOKUP($B503,Letters!$C$56:$D$79,2,FALSE) &amp; VLOOKUP($C503,Letters!$C$56:$D$79,2,FALSE)</f>
        <v>VO</v>
      </c>
      <c r="E503" s="69" t="s">
        <v>2614</v>
      </c>
      <c r="F503" s="5" t="s">
        <v>2615</v>
      </c>
      <c r="G503" s="55">
        <f t="shared" si="43"/>
        <v>8</v>
      </c>
      <c r="H503" s="55">
        <f t="shared" si="44"/>
        <v>8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3.5">
      <c r="A504" s="65"/>
      <c r="B504" s="5" t="s">
        <v>101</v>
      </c>
      <c r="C504" s="5" t="s">
        <v>95</v>
      </c>
      <c r="D504" s="55" t="str">
        <f>VLOOKUP($B504,Letters!$C$56:$D$79,2,FALSE) &amp; VLOOKUP($C504,Letters!$C$56:$D$79,2,FALSE)</f>
        <v>VP</v>
      </c>
      <c r="E504" s="5" t="s">
        <v>2620</v>
      </c>
      <c r="F504" s="5" t="s">
        <v>2621</v>
      </c>
      <c r="G504" s="55">
        <f t="shared" si="43"/>
        <v>10</v>
      </c>
      <c r="H504" s="55">
        <f t="shared" si="44"/>
        <v>11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3.5">
      <c r="A505" s="75">
        <v>1.0</v>
      </c>
      <c r="B505" s="5" t="s">
        <v>101</v>
      </c>
      <c r="C505" s="5" t="s">
        <v>96</v>
      </c>
      <c r="D505" s="55" t="str">
        <f>VLOOKUP($B505,Letters!$C$56:$D$79,2,FALSE) &amp; VLOOKUP($C505,Letters!$C$56:$D$79,2,FALSE)</f>
        <v>VW</v>
      </c>
      <c r="E505" s="5" t="s">
        <v>2624</v>
      </c>
      <c r="F505" s="5" t="s">
        <v>2625</v>
      </c>
      <c r="G505" s="55">
        <f t="shared" si="43"/>
        <v>9</v>
      </c>
      <c r="H505" s="55">
        <f t="shared" si="44"/>
        <v>12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3.5">
      <c r="A506" s="65"/>
      <c r="B506" s="5" t="s">
        <v>101</v>
      </c>
      <c r="C506" s="5" t="s">
        <v>97</v>
      </c>
      <c r="D506" s="55" t="str">
        <f>VLOOKUP($B506,Letters!$C$56:$D$79,2,FALSE) &amp; VLOOKUP($C506,Letters!$C$56:$D$79,2,FALSE)</f>
        <v>VR</v>
      </c>
      <c r="E506" s="5" t="s">
        <v>2630</v>
      </c>
      <c r="F506" s="5" t="s">
        <v>2631</v>
      </c>
      <c r="G506" s="55">
        <f t="shared" si="43"/>
        <v>8</v>
      </c>
      <c r="H506" s="55">
        <f t="shared" si="44"/>
        <v>10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3.5">
      <c r="A507" s="65"/>
      <c r="B507" s="5" t="s">
        <v>101</v>
      </c>
      <c r="C507" s="5" t="s">
        <v>98</v>
      </c>
      <c r="D507" s="55" t="str">
        <f>VLOOKUP($B507,Letters!$C$56:$D$79,2,FALSE) &amp; VLOOKUP($C507,Letters!$C$56:$D$79,2,FALSE)</f>
        <v>VS</v>
      </c>
      <c r="E507" s="5" t="s">
        <v>2640</v>
      </c>
      <c r="F507" s="5" t="s">
        <v>2641</v>
      </c>
      <c r="G507" s="55">
        <f t="shared" si="43"/>
        <v>8</v>
      </c>
      <c r="H507" s="55">
        <f t="shared" si="44"/>
        <v>10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3.5">
      <c r="A508" s="65"/>
      <c r="B508" s="5" t="s">
        <v>101</v>
      </c>
      <c r="C508" s="5" t="s">
        <v>99</v>
      </c>
      <c r="D508" s="55" t="str">
        <f>VLOOKUP($B508,Letters!$C$56:$D$79,2,FALSE) &amp; VLOOKUP($C508,Letters!$C$56:$D$79,2,FALSE)</f>
        <v>VT</v>
      </c>
      <c r="E508" s="5" t="s">
        <v>2646</v>
      </c>
      <c r="F508" s="5" t="s">
        <v>2647</v>
      </c>
      <c r="G508" s="55">
        <f t="shared" si="43"/>
        <v>9</v>
      </c>
      <c r="H508" s="55">
        <f t="shared" si="44"/>
        <v>12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3.5">
      <c r="A509" s="65"/>
      <c r="B509" s="5" t="s">
        <v>101</v>
      </c>
      <c r="C509" s="5" t="s">
        <v>100</v>
      </c>
      <c r="D509" s="55" t="str">
        <f>VLOOKUP($B509,Letters!$C$56:$D$79,2,FALSE) &amp; VLOOKUP($C509,Letters!$C$56:$D$79,2,FALSE)</f>
        <v>VU</v>
      </c>
      <c r="E509" s="5" t="s">
        <v>2652</v>
      </c>
      <c r="F509" s="5" t="s">
        <v>2653</v>
      </c>
      <c r="G509" s="55">
        <f t="shared" si="43"/>
        <v>12</v>
      </c>
      <c r="H509" s="55">
        <f t="shared" si="44"/>
        <v>12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3.5">
      <c r="A510" s="65"/>
      <c r="B510" s="5" t="s">
        <v>101</v>
      </c>
      <c r="C510" s="5" t="s">
        <v>103</v>
      </c>
      <c r="D510" s="55" t="str">
        <f>VLOOKUP($B510,Letters!$C$56:$D$79,2,FALSE) &amp; VLOOKUP($C510,Letters!$C$56:$D$79,2,FALSE)</f>
        <v>VI</v>
      </c>
      <c r="E510" s="5" t="s">
        <v>2658</v>
      </c>
      <c r="F510" s="5" t="s">
        <v>2659</v>
      </c>
      <c r="G510" s="55">
        <f t="shared" si="43"/>
        <v>12</v>
      </c>
      <c r="H510" s="55">
        <f t="shared" si="44"/>
        <v>18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65"/>
      <c r="B511" s="5"/>
      <c r="C511" s="5"/>
      <c r="D511" s="55"/>
      <c r="E511" s="5"/>
      <c r="F511" s="5"/>
      <c r="G511" s="55"/>
      <c r="H511" s="5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3.5">
      <c r="A512" s="75">
        <v>1.0</v>
      </c>
      <c r="B512" s="5" t="s">
        <v>103</v>
      </c>
      <c r="C512" s="5" t="s">
        <v>78</v>
      </c>
      <c r="D512" s="55" t="str">
        <f>VLOOKUP($B512,Letters!$C$56:$D$79,2,FALSE) &amp; VLOOKUP($C512,Letters!$C$56:$D$79,2,FALSE)</f>
        <v>IA</v>
      </c>
      <c r="E512" s="5" t="s">
        <v>2664</v>
      </c>
      <c r="F512" s="5" t="s">
        <v>2665</v>
      </c>
      <c r="G512" s="55">
        <f t="shared" ref="G512:G533" si="45">(len($F512)-len(SUBSTITUTE($F512,"R","")))+(len($F512)-len(SUBSTITUTE($F512,"L","")))+(len($F512)-len(SUBSTITUTE($F512,"U","")))+(len($F512)-len(SUBSTITUTE($F512,"D","")))+(len($F512)-len(SUBSTITUTE($F512,"F","")))+(len($F512)-len(SUBSTITUTE($F512,"B","")))+(len($F512)-len(SUBSTITUTE($F512,"r","")))+(len($F512)-len(SUBSTITUTE($F512,"l","")))+(len($F512)-len(SUBSTITUTE($F512,"u","")))+(len($F512)-len(SUBSTITUTE($F512,"d","")))</f>
        <v>9</v>
      </c>
      <c r="H512" s="55">
        <f t="shared" ref="H512:H533" si="46">(len($F512)-len(SUBSTITUTE($F512,"R","")))+(len($F512)-len(SUBSTITUTE($F512,"L","")))+(len($F512)-len(SUBSTITUTE($F512,"U","")))+(len($F512)-len(SUBSTITUTE($F512,"D","")))+(len($F512)-len(SUBSTITUTE($F512,"F","")))+(len($F512)-len(SUBSTITUTE($F512,"B","")))+(len($F512)-len(SUBSTITUTE($F512,"r","")))+(len($F512)-len(SUBSTITUTE($F512,"l","")))+(len($F512)-len(SUBSTITUTE($F512,"u","")))+(len($F512)-len(SUBSTITUTE($F512,"d","")))+(len($F512)-len(SUBSTITUTE($F512,"2","")))</f>
        <v>14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3.5">
      <c r="A513" s="65"/>
      <c r="B513" s="5" t="s">
        <v>103</v>
      </c>
      <c r="C513" s="5" t="s">
        <v>80</v>
      </c>
      <c r="D513" s="55" t="str">
        <f>VLOOKUP($B513,Letters!$C$56:$D$79,2,FALSE) &amp; VLOOKUP($C513,Letters!$C$56:$D$79,2,FALSE)</f>
        <v>IB</v>
      </c>
      <c r="E513" s="5" t="s">
        <v>2674</v>
      </c>
      <c r="F513" s="5" t="s">
        <v>2677</v>
      </c>
      <c r="G513" s="55">
        <f t="shared" si="45"/>
        <v>11</v>
      </c>
      <c r="H513" s="55">
        <f t="shared" si="46"/>
        <v>14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3.5">
      <c r="A514" s="75">
        <v>1.0</v>
      </c>
      <c r="B514" s="5" t="s">
        <v>103</v>
      </c>
      <c r="C514" s="5" t="s">
        <v>81</v>
      </c>
      <c r="D514" s="55" t="str">
        <f>VLOOKUP($B514,Letters!$C$56:$D$79,2,FALSE) &amp; VLOOKUP($C514,Letters!$C$56:$D$79,2,FALSE)</f>
        <v>IC</v>
      </c>
      <c r="E514" s="5" t="s">
        <v>2684</v>
      </c>
      <c r="F514" s="5" t="s">
        <v>2685</v>
      </c>
      <c r="G514" s="55">
        <f t="shared" si="45"/>
        <v>8</v>
      </c>
      <c r="H514" s="55">
        <f t="shared" si="46"/>
        <v>12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3.5">
      <c r="A515" s="75">
        <v>1.0</v>
      </c>
      <c r="B515" s="5" t="s">
        <v>103</v>
      </c>
      <c r="C515" s="5" t="s">
        <v>82</v>
      </c>
      <c r="D515" s="55" t="str">
        <f>VLOOKUP($B515,Letters!$C$56:$D$79,2,FALSE) &amp; VLOOKUP($C515,Letters!$C$56:$D$79,2,FALSE)</f>
        <v>ID</v>
      </c>
      <c r="E515" s="5" t="s">
        <v>2690</v>
      </c>
      <c r="F515" s="5" t="s">
        <v>2691</v>
      </c>
      <c r="G515" s="55">
        <f t="shared" si="45"/>
        <v>8</v>
      </c>
      <c r="H515" s="55">
        <f t="shared" si="46"/>
        <v>12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3.5">
      <c r="A516" s="75"/>
      <c r="B516" s="5" t="s">
        <v>103</v>
      </c>
      <c r="C516" s="5" t="s">
        <v>83</v>
      </c>
      <c r="D516" s="55" t="str">
        <f>VLOOKUP($B516,Letters!$C$56:$D$79,2,FALSE) &amp; VLOOKUP($C516,Letters!$C$56:$D$79,2,FALSE)</f>
        <v>IE</v>
      </c>
      <c r="E516" s="5" t="s">
        <v>2698</v>
      </c>
      <c r="F516" s="5" t="s">
        <v>2699</v>
      </c>
      <c r="G516" s="55">
        <f t="shared" si="45"/>
        <v>10</v>
      </c>
      <c r="H516" s="55">
        <f t="shared" si="46"/>
        <v>12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3.5">
      <c r="A517" s="65"/>
      <c r="B517" s="5" t="s">
        <v>103</v>
      </c>
      <c r="C517" s="5" t="s">
        <v>84</v>
      </c>
      <c r="D517" s="55" t="str">
        <f>VLOOKUP($B517,Letters!$C$56:$D$79,2,FALSE) &amp; VLOOKUP($C517,Letters!$C$56:$D$79,2,FALSE)</f>
        <v>IF</v>
      </c>
      <c r="E517" s="5" t="s">
        <v>2704</v>
      </c>
      <c r="F517" s="5" t="s">
        <v>2705</v>
      </c>
      <c r="G517" s="55">
        <f t="shared" si="45"/>
        <v>8</v>
      </c>
      <c r="H517" s="55">
        <f t="shared" si="46"/>
        <v>8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3.5">
      <c r="A518" s="65"/>
      <c r="B518" s="5" t="s">
        <v>103</v>
      </c>
      <c r="C518" s="5" t="s">
        <v>85</v>
      </c>
      <c r="D518" s="55" t="str">
        <f>VLOOKUP($B518,Letters!$C$56:$D$79,2,FALSE) &amp; VLOOKUP($C518,Letters!$C$56:$D$79,2,FALSE)</f>
        <v>IG</v>
      </c>
      <c r="E518" s="5" t="s">
        <v>2710</v>
      </c>
      <c r="F518" s="5" t="s">
        <v>2711</v>
      </c>
      <c r="G518" s="55">
        <f t="shared" si="45"/>
        <v>8</v>
      </c>
      <c r="H518" s="55">
        <f t="shared" si="46"/>
        <v>8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3.5">
      <c r="A519" s="65"/>
      <c r="B519" s="5" t="s">
        <v>103</v>
      </c>
      <c r="C519" s="5" t="s">
        <v>86</v>
      </c>
      <c r="D519" s="55" t="str">
        <f>VLOOKUP($B519,Letters!$C$56:$D$79,2,FALSE) &amp; VLOOKUP($C519,Letters!$C$56:$D$79,2,FALSE)</f>
        <v>IH</v>
      </c>
      <c r="E519" s="5" t="s">
        <v>2718</v>
      </c>
      <c r="F519" s="5" t="s">
        <v>2719</v>
      </c>
      <c r="G519" s="55">
        <f t="shared" si="45"/>
        <v>8</v>
      </c>
      <c r="H519" s="55">
        <f t="shared" si="46"/>
        <v>8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3.5">
      <c r="A520" s="65"/>
      <c r="B520" s="5" t="s">
        <v>103</v>
      </c>
      <c r="C520" s="5" t="s">
        <v>87</v>
      </c>
      <c r="D520" s="55" t="str">
        <f>VLOOKUP($B520,Letters!$C$56:$D$79,2,FALSE) &amp; VLOOKUP($C520,Letters!$C$56:$D$79,2,FALSE)</f>
        <v>IX</v>
      </c>
      <c r="E520" s="5" t="s">
        <v>2722</v>
      </c>
      <c r="F520" s="5" t="s">
        <v>2723</v>
      </c>
      <c r="G520" s="55">
        <f t="shared" si="45"/>
        <v>10</v>
      </c>
      <c r="H520" s="55">
        <f t="shared" si="46"/>
        <v>13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3.5">
      <c r="A521" s="65"/>
      <c r="B521" s="5" t="s">
        <v>103</v>
      </c>
      <c r="C521" s="5" t="s">
        <v>89</v>
      </c>
      <c r="D521" s="55" t="str">
        <f>VLOOKUP($B521,Letters!$C$56:$D$79,2,FALSE) &amp; VLOOKUP($C521,Letters!$C$56:$D$79,2,FALSE)</f>
        <v>IJ</v>
      </c>
      <c r="E521" s="5" t="s">
        <v>2726</v>
      </c>
      <c r="F521" s="5" t="s">
        <v>2727</v>
      </c>
      <c r="G521" s="55">
        <f t="shared" si="45"/>
        <v>11</v>
      </c>
      <c r="H521" s="55">
        <f t="shared" si="46"/>
        <v>16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3.5">
      <c r="A522" s="65"/>
      <c r="B522" s="5" t="s">
        <v>103</v>
      </c>
      <c r="C522" s="5" t="s">
        <v>90</v>
      </c>
      <c r="D522" s="55" t="str">
        <f>VLOOKUP($B522,Letters!$C$56:$D$79,2,FALSE) &amp; VLOOKUP($C522,Letters!$C$56:$D$79,2,FALSE)</f>
        <v>IK</v>
      </c>
      <c r="E522" s="5" t="s">
        <v>2733</v>
      </c>
      <c r="F522" s="5" t="s">
        <v>2735</v>
      </c>
      <c r="G522" s="55">
        <f t="shared" si="45"/>
        <v>10</v>
      </c>
      <c r="H522" s="55">
        <f t="shared" si="46"/>
        <v>11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3.5">
      <c r="A523" s="65"/>
      <c r="B523" s="5" t="s">
        <v>103</v>
      </c>
      <c r="C523" s="5" t="s">
        <v>91</v>
      </c>
      <c r="D523" s="55" t="str">
        <f>VLOOKUP($B523,Letters!$C$56:$D$79,2,FALSE) &amp; VLOOKUP($C523,Letters!$C$56:$D$79,2,FALSE)</f>
        <v>IL</v>
      </c>
      <c r="E523" s="5" t="s">
        <v>2741</v>
      </c>
      <c r="F523" s="5" t="s">
        <v>2742</v>
      </c>
      <c r="G523" s="55">
        <f t="shared" si="45"/>
        <v>9</v>
      </c>
      <c r="H523" s="55">
        <f t="shared" si="46"/>
        <v>12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3.5">
      <c r="A524" s="65"/>
      <c r="B524" s="5" t="s">
        <v>103</v>
      </c>
      <c r="C524" s="5" t="s">
        <v>92</v>
      </c>
      <c r="D524" s="55" t="str">
        <f>VLOOKUP($B524,Letters!$C$56:$D$79,2,FALSE) &amp; VLOOKUP($C524,Letters!$C$56:$D$79,2,FALSE)</f>
        <v>IM</v>
      </c>
      <c r="E524" s="5" t="s">
        <v>2746</v>
      </c>
      <c r="F524" s="5" t="s">
        <v>2747</v>
      </c>
      <c r="G524" s="55">
        <f t="shared" si="45"/>
        <v>13</v>
      </c>
      <c r="H524" s="55">
        <f t="shared" si="46"/>
        <v>16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3.5">
      <c r="A525" s="65"/>
      <c r="B525" s="5" t="s">
        <v>103</v>
      </c>
      <c r="C525" s="5" t="s">
        <v>93</v>
      </c>
      <c r="D525" s="55" t="str">
        <f>VLOOKUP($B525,Letters!$C$56:$D$79,2,FALSE) &amp; VLOOKUP($C525,Letters!$C$56:$D$79,2,FALSE)</f>
        <v>IN</v>
      </c>
      <c r="E525" s="5" t="s">
        <v>2751</v>
      </c>
      <c r="F525" s="5" t="s">
        <v>2752</v>
      </c>
      <c r="G525" s="55">
        <f t="shared" si="45"/>
        <v>13</v>
      </c>
      <c r="H525" s="55">
        <f t="shared" si="46"/>
        <v>14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3.5">
      <c r="A526" s="65"/>
      <c r="B526" s="5" t="s">
        <v>103</v>
      </c>
      <c r="C526" s="5" t="s">
        <v>94</v>
      </c>
      <c r="D526" s="55" t="str">
        <f>VLOOKUP($B526,Letters!$C$56:$D$79,2,FALSE) &amp; VLOOKUP($C526,Letters!$C$56:$D$79,2,FALSE)</f>
        <v>IO</v>
      </c>
      <c r="E526" s="5" t="s">
        <v>2756</v>
      </c>
      <c r="F526" s="5" t="s">
        <v>2757</v>
      </c>
      <c r="G526" s="55">
        <f t="shared" si="45"/>
        <v>8</v>
      </c>
      <c r="H526" s="55">
        <f t="shared" si="46"/>
        <v>8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3.5">
      <c r="A527" s="65"/>
      <c r="B527" s="5" t="s">
        <v>103</v>
      </c>
      <c r="C527" s="5" t="s">
        <v>95</v>
      </c>
      <c r="D527" s="55" t="str">
        <f>VLOOKUP($B527,Letters!$C$56:$D$79,2,FALSE) &amp; VLOOKUP($C527,Letters!$C$56:$D$79,2,FALSE)</f>
        <v>IP</v>
      </c>
      <c r="E527" s="5" t="s">
        <v>2760</v>
      </c>
      <c r="F527" s="5" t="s">
        <v>2761</v>
      </c>
      <c r="G527" s="55">
        <f t="shared" si="45"/>
        <v>12</v>
      </c>
      <c r="H527" s="55">
        <f t="shared" si="46"/>
        <v>12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3.5">
      <c r="A528" s="75">
        <v>1.0</v>
      </c>
      <c r="B528" s="5" t="s">
        <v>103</v>
      </c>
      <c r="C528" s="5" t="s">
        <v>96</v>
      </c>
      <c r="D528" s="55" t="str">
        <f>VLOOKUP($B528,Letters!$C$56:$D$79,2,FALSE) &amp; VLOOKUP($C528,Letters!$C$56:$D$79,2,FALSE)</f>
        <v>IW</v>
      </c>
      <c r="E528" s="5" t="s">
        <v>2763</v>
      </c>
      <c r="F528" s="5" t="s">
        <v>2764</v>
      </c>
      <c r="G528" s="55">
        <f t="shared" si="45"/>
        <v>9</v>
      </c>
      <c r="H528" s="55">
        <f t="shared" si="46"/>
        <v>12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3.5">
      <c r="A529" s="65"/>
      <c r="B529" s="5" t="s">
        <v>103</v>
      </c>
      <c r="C529" s="5" t="s">
        <v>97</v>
      </c>
      <c r="D529" s="55" t="str">
        <f>VLOOKUP($B529,Letters!$C$56:$D$79,2,FALSE) &amp; VLOOKUP($C529,Letters!$C$56:$D$79,2,FALSE)</f>
        <v>IR</v>
      </c>
      <c r="E529" s="5" t="s">
        <v>2766</v>
      </c>
      <c r="F529" s="5" t="s">
        <v>2767</v>
      </c>
      <c r="G529" s="55">
        <f t="shared" si="45"/>
        <v>10</v>
      </c>
      <c r="H529" s="55">
        <f t="shared" si="46"/>
        <v>10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3.5">
      <c r="A530" s="65"/>
      <c r="B530" s="5" t="s">
        <v>103</v>
      </c>
      <c r="C530" s="5" t="s">
        <v>98</v>
      </c>
      <c r="D530" s="55" t="str">
        <f>VLOOKUP($B530,Letters!$C$56:$D$79,2,FALSE) &amp; VLOOKUP($C530,Letters!$C$56:$D$79,2,FALSE)</f>
        <v>IS</v>
      </c>
      <c r="E530" s="5" t="s">
        <v>2774</v>
      </c>
      <c r="F530" s="5" t="s">
        <v>2775</v>
      </c>
      <c r="G530" s="55">
        <f t="shared" si="45"/>
        <v>8</v>
      </c>
      <c r="H530" s="55">
        <f t="shared" si="46"/>
        <v>10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3.5">
      <c r="A531" s="65"/>
      <c r="B531" s="5" t="s">
        <v>103</v>
      </c>
      <c r="C531" s="5" t="s">
        <v>99</v>
      </c>
      <c r="D531" s="55" t="str">
        <f>VLOOKUP($B531,Letters!$C$56:$D$79,2,FALSE) &amp; VLOOKUP($C531,Letters!$C$56:$D$79,2,FALSE)</f>
        <v>IT</v>
      </c>
      <c r="E531" s="5" t="s">
        <v>2779</v>
      </c>
      <c r="F531" s="5" t="s">
        <v>2780</v>
      </c>
      <c r="G531" s="55">
        <f t="shared" si="45"/>
        <v>8</v>
      </c>
      <c r="H531" s="55">
        <f t="shared" si="46"/>
        <v>10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3.5">
      <c r="A532" s="65"/>
      <c r="B532" s="5" t="s">
        <v>103</v>
      </c>
      <c r="C532" s="5" t="s">
        <v>100</v>
      </c>
      <c r="D532" s="55" t="str">
        <f>VLOOKUP($B532,Letters!$C$56:$D$79,2,FALSE) &amp; VLOOKUP($C532,Letters!$C$56:$D$79,2,FALSE)</f>
        <v>IU</v>
      </c>
      <c r="E532" s="5" t="s">
        <v>2784</v>
      </c>
      <c r="F532" s="5" t="s">
        <v>2787</v>
      </c>
      <c r="G532" s="55">
        <f t="shared" si="45"/>
        <v>10</v>
      </c>
      <c r="H532" s="55">
        <f t="shared" si="46"/>
        <v>12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3.5">
      <c r="A533" s="65"/>
      <c r="B533" s="5" t="s">
        <v>103</v>
      </c>
      <c r="C533" s="5" t="s">
        <v>101</v>
      </c>
      <c r="D533" s="55" t="str">
        <f>VLOOKUP($B533,Letters!$C$56:$D$79,2,FALSE) &amp; VLOOKUP($C533,Letters!$C$56:$D$79,2,FALSE)</f>
        <v>IV</v>
      </c>
      <c r="E533" s="5" t="s">
        <v>2791</v>
      </c>
      <c r="F533" s="5" t="s">
        <v>2792</v>
      </c>
      <c r="G533" s="55">
        <f t="shared" si="45"/>
        <v>12</v>
      </c>
      <c r="H533" s="55">
        <f t="shared" si="46"/>
        <v>18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65"/>
      <c r="B534" s="5"/>
      <c r="C534" s="5"/>
      <c r="D534" s="55"/>
      <c r="E534" s="5"/>
      <c r="F534" s="5"/>
      <c r="G534" s="55"/>
      <c r="H534" s="5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7.25">
      <c r="A535" s="65"/>
      <c r="B535" s="3" t="s">
        <v>1282</v>
      </c>
      <c r="C535" s="55"/>
      <c r="D535" s="55"/>
      <c r="E535" s="5"/>
      <c r="F535" s="5"/>
      <c r="G535" s="55"/>
      <c r="H535" s="5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65"/>
      <c r="B536" s="55"/>
      <c r="C536" s="55"/>
      <c r="D536" s="55"/>
      <c r="E536" s="5"/>
      <c r="F536" s="5"/>
      <c r="G536" s="55"/>
      <c r="H536" s="5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3.5">
      <c r="A537" s="65"/>
      <c r="B537" s="5" t="s">
        <v>78</v>
      </c>
      <c r="C537" s="5" t="s">
        <v>35</v>
      </c>
      <c r="D537" s="56">
        <f t="shared" ref="D537:D559" si="47">ROUND(SUMIF($B$6:$B$533,B537,$H$6:$H$533)/22,1)</f>
        <v>13.4</v>
      </c>
      <c r="E537" s="5"/>
      <c r="F537" s="5"/>
      <c r="G537" s="55"/>
      <c r="H537" s="5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3.5">
      <c r="A538" s="65"/>
      <c r="B538" s="5" t="s">
        <v>80</v>
      </c>
      <c r="C538" s="5" t="s">
        <v>6</v>
      </c>
      <c r="D538" s="56">
        <f t="shared" si="47"/>
        <v>12.4</v>
      </c>
      <c r="E538" s="5"/>
      <c r="F538" s="5"/>
      <c r="G538" s="55"/>
      <c r="H538" s="5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3.5">
      <c r="A539" s="65"/>
      <c r="B539" s="5" t="s">
        <v>81</v>
      </c>
      <c r="C539" s="5" t="s">
        <v>8</v>
      </c>
      <c r="D539" s="56">
        <f t="shared" si="47"/>
        <v>12.5</v>
      </c>
      <c r="E539" s="5"/>
      <c r="F539" s="5"/>
      <c r="G539" s="55"/>
      <c r="H539" s="5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3.5">
      <c r="A540" s="65"/>
      <c r="B540" s="5" t="s">
        <v>82</v>
      </c>
      <c r="C540" s="5" t="s">
        <v>10</v>
      </c>
      <c r="D540" s="56">
        <f t="shared" si="47"/>
        <v>12.6</v>
      </c>
      <c r="E540" s="5"/>
      <c r="F540" s="5"/>
      <c r="G540" s="55"/>
      <c r="H540" s="5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3.5">
      <c r="A541" s="65"/>
      <c r="B541" s="5" t="s">
        <v>83</v>
      </c>
      <c r="C541" s="5" t="s">
        <v>48</v>
      </c>
      <c r="D541" s="56">
        <f t="shared" si="47"/>
        <v>12</v>
      </c>
      <c r="E541" s="5"/>
      <c r="F541" s="5"/>
      <c r="G541" s="55"/>
      <c r="H541" s="5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3.5">
      <c r="A542" s="65"/>
      <c r="B542" s="5" t="s">
        <v>84</v>
      </c>
      <c r="C542" s="5" t="s">
        <v>13</v>
      </c>
      <c r="D542" s="56">
        <f t="shared" si="47"/>
        <v>11.1</v>
      </c>
      <c r="E542" s="5"/>
      <c r="F542" s="5"/>
      <c r="G542" s="55"/>
      <c r="H542" s="5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3.5">
      <c r="A543" s="65"/>
      <c r="B543" s="5" t="s">
        <v>85</v>
      </c>
      <c r="C543" s="5" t="s">
        <v>15</v>
      </c>
      <c r="D543" s="56">
        <f t="shared" si="47"/>
        <v>11</v>
      </c>
      <c r="E543" s="5"/>
      <c r="F543" s="5"/>
      <c r="G543" s="55"/>
      <c r="H543" s="5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3.5">
      <c r="A544" s="65"/>
      <c r="B544" s="5" t="s">
        <v>86</v>
      </c>
      <c r="C544" s="5" t="s">
        <v>17</v>
      </c>
      <c r="D544" s="56">
        <f t="shared" si="47"/>
        <v>10.5</v>
      </c>
      <c r="E544" s="5"/>
      <c r="F544" s="5"/>
      <c r="G544" s="55"/>
      <c r="H544" s="5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3.5">
      <c r="A545" s="65"/>
      <c r="B545" s="5" t="s">
        <v>87</v>
      </c>
      <c r="C545" s="5" t="s">
        <v>88</v>
      </c>
      <c r="D545" s="56">
        <f t="shared" si="47"/>
        <v>15</v>
      </c>
      <c r="E545" s="5"/>
      <c r="F545" s="5"/>
      <c r="G545" s="55"/>
      <c r="H545" s="5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3.5">
      <c r="A546" s="65"/>
      <c r="B546" s="5" t="s">
        <v>89</v>
      </c>
      <c r="C546" s="5" t="s">
        <v>61</v>
      </c>
      <c r="D546" s="56">
        <f t="shared" si="47"/>
        <v>11.4</v>
      </c>
      <c r="E546" s="5"/>
      <c r="F546" s="5"/>
      <c r="G546" s="55"/>
      <c r="H546" s="5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3.5">
      <c r="A547" s="65"/>
      <c r="B547" s="5" t="s">
        <v>90</v>
      </c>
      <c r="C547" s="5" t="s">
        <v>23</v>
      </c>
      <c r="D547" s="56">
        <f t="shared" si="47"/>
        <v>10.5</v>
      </c>
      <c r="E547" s="5"/>
      <c r="F547" s="5"/>
      <c r="G547" s="55"/>
      <c r="H547" s="5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3.5">
      <c r="A548" s="65"/>
      <c r="B548" s="5" t="s">
        <v>91</v>
      </c>
      <c r="C548" s="5" t="s">
        <v>25</v>
      </c>
      <c r="D548" s="56">
        <f t="shared" si="47"/>
        <v>11.9</v>
      </c>
      <c r="E548" s="5"/>
      <c r="F548" s="5"/>
      <c r="G548" s="55"/>
      <c r="H548" s="5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3.5">
      <c r="A549" s="65"/>
      <c r="B549" s="5" t="s">
        <v>92</v>
      </c>
      <c r="C549" s="5" t="s">
        <v>27</v>
      </c>
      <c r="D549" s="56">
        <f t="shared" si="47"/>
        <v>12.3</v>
      </c>
      <c r="E549" s="5"/>
      <c r="F549" s="5"/>
      <c r="G549" s="55"/>
      <c r="H549" s="5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3.5">
      <c r="A550" s="65"/>
      <c r="B550" s="5" t="s">
        <v>93</v>
      </c>
      <c r="C550" s="5" t="s">
        <v>29</v>
      </c>
      <c r="D550" s="56">
        <f t="shared" si="47"/>
        <v>10.6</v>
      </c>
      <c r="E550" s="5"/>
      <c r="F550" s="5"/>
      <c r="G550" s="55"/>
      <c r="H550" s="5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3.5">
      <c r="A551" s="65"/>
      <c r="B551" s="5" t="s">
        <v>94</v>
      </c>
      <c r="C551" s="5" t="s">
        <v>31</v>
      </c>
      <c r="D551" s="56">
        <f t="shared" si="47"/>
        <v>10.8</v>
      </c>
      <c r="E551" s="5"/>
      <c r="F551" s="5"/>
      <c r="G551" s="55"/>
      <c r="H551" s="5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3.5">
      <c r="A552" s="65"/>
      <c r="B552" s="5" t="s">
        <v>95</v>
      </c>
      <c r="C552" s="5" t="s">
        <v>33</v>
      </c>
      <c r="D552" s="56">
        <f t="shared" si="47"/>
        <v>10.9</v>
      </c>
      <c r="E552" s="5"/>
      <c r="F552" s="5"/>
      <c r="G552" s="55"/>
      <c r="H552" s="5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3.5">
      <c r="A553" s="65"/>
      <c r="B553" s="5" t="s">
        <v>96</v>
      </c>
      <c r="C553" s="5" t="s">
        <v>46</v>
      </c>
      <c r="D553" s="56">
        <f t="shared" si="47"/>
        <v>10.4</v>
      </c>
      <c r="E553" s="5"/>
      <c r="F553" s="5"/>
      <c r="G553" s="55"/>
      <c r="H553" s="5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3.5">
      <c r="A554" s="65"/>
      <c r="B554" s="5" t="s">
        <v>97</v>
      </c>
      <c r="C554" s="5" t="s">
        <v>21</v>
      </c>
      <c r="D554" s="56">
        <f t="shared" si="47"/>
        <v>10.5</v>
      </c>
      <c r="E554" s="5"/>
      <c r="F554" s="5"/>
      <c r="G554" s="55"/>
      <c r="H554" s="5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3.5">
      <c r="A555" s="65"/>
      <c r="B555" s="5" t="s">
        <v>98</v>
      </c>
      <c r="C555" s="5" t="s">
        <v>38</v>
      </c>
      <c r="D555" s="56">
        <f t="shared" si="47"/>
        <v>11.7</v>
      </c>
      <c r="E555" s="5"/>
      <c r="F555" s="5"/>
      <c r="G555" s="55"/>
      <c r="H555" s="5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3.5">
      <c r="A556" s="65"/>
      <c r="B556" s="5" t="s">
        <v>99</v>
      </c>
      <c r="C556" s="5" t="s">
        <v>40</v>
      </c>
      <c r="D556" s="56">
        <f t="shared" si="47"/>
        <v>11.1</v>
      </c>
      <c r="E556" s="5"/>
      <c r="F556" s="5"/>
      <c r="G556" s="55"/>
      <c r="H556" s="5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3.5">
      <c r="A557" s="65"/>
      <c r="B557" s="5" t="s">
        <v>100</v>
      </c>
      <c r="C557" s="5" t="s">
        <v>42</v>
      </c>
      <c r="D557" s="56">
        <f t="shared" si="47"/>
        <v>13.2</v>
      </c>
      <c r="E557" s="5"/>
      <c r="F557" s="5"/>
      <c r="G557" s="55"/>
      <c r="H557" s="5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3.5">
      <c r="A558" s="65"/>
      <c r="B558" s="5" t="s">
        <v>101</v>
      </c>
      <c r="C558" s="5" t="s">
        <v>44</v>
      </c>
      <c r="D558" s="56">
        <f t="shared" si="47"/>
        <v>12</v>
      </c>
      <c r="E558" s="5"/>
      <c r="F558" s="5"/>
      <c r="G558" s="55"/>
      <c r="H558" s="5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3.5">
      <c r="A559" s="65"/>
      <c r="B559" s="5" t="s">
        <v>103</v>
      </c>
      <c r="C559" s="5" t="s">
        <v>19</v>
      </c>
      <c r="D559" s="56">
        <f t="shared" si="47"/>
        <v>11.9</v>
      </c>
      <c r="E559" s="5"/>
      <c r="F559" s="5"/>
      <c r="G559" s="55"/>
      <c r="H559" s="5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65"/>
      <c r="B560" s="5"/>
      <c r="C560" s="5"/>
      <c r="D560" s="56"/>
      <c r="E560" s="5"/>
      <c r="F560" s="5"/>
      <c r="G560" s="55"/>
      <c r="H560" s="5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65"/>
      <c r="B561" s="5"/>
      <c r="C561" s="5"/>
      <c r="D561" s="55"/>
      <c r="E561" s="5"/>
      <c r="F561" s="5"/>
      <c r="G561" s="55"/>
      <c r="H561" s="5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65"/>
      <c r="B562" s="5"/>
      <c r="C562" s="5"/>
      <c r="D562" s="55"/>
      <c r="E562" s="5"/>
      <c r="F562" s="5"/>
      <c r="G562" s="55"/>
      <c r="H562" s="5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65"/>
      <c r="B563" s="5"/>
      <c r="C563" s="5"/>
      <c r="D563" s="55"/>
      <c r="E563" s="5"/>
      <c r="F563" s="5"/>
      <c r="G563" s="55"/>
      <c r="H563" s="5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65"/>
      <c r="B564" s="5"/>
      <c r="C564" s="5"/>
      <c r="D564" s="55"/>
      <c r="E564" s="5"/>
      <c r="F564" s="5"/>
      <c r="G564" s="55"/>
      <c r="H564" s="5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</sheetData>
  <conditionalFormatting sqref="E1 Q1">
    <cfRule type="expression" dxfId="0" priority="1">
      <formula>AND(G:G&lt;=8,NOT(ISBLANK(E:E)))</formula>
    </cfRule>
  </conditionalFormatting>
  <conditionalFormatting sqref="E1 Q1">
    <cfRule type="expression" dxfId="1" priority="2">
      <formula>AND(G:G=10,NOT(ISBLANK(E:E)))</formula>
    </cfRule>
  </conditionalFormatting>
  <conditionalFormatting sqref="E1 Q1">
    <cfRule type="expression" dxfId="2" priority="3">
      <formula>AND(G:G=9,NOT(ISBLANK(E:E)))</formula>
    </cfRule>
  </conditionalFormatting>
  <conditionalFormatting sqref="E1 Q1">
    <cfRule type="expression" dxfId="0" priority="4">
      <formula>AND(G:G&lt;=8,NOT(ISBLANK(E:E)))</formula>
    </cfRule>
  </conditionalFormatting>
  <conditionalFormatting sqref="E1 Q1">
    <cfRule type="expression" dxfId="1" priority="5">
      <formula>AND(G:G=10,NOT(ISBLANK(E:E)))</formula>
    </cfRule>
  </conditionalFormatting>
  <conditionalFormatting sqref="E1 Q1">
    <cfRule type="expression" dxfId="2" priority="6">
      <formula>AND(G:G=9,NOT(ISBLANK(E:E)))</formula>
    </cfRule>
  </conditionalFormatting>
  <conditionalFormatting sqref="A28">
    <cfRule type="notContainsBlanks" dxfId="5" priority="7">
      <formula>LEN(TRIM(A28))&gt;0</formula>
    </cfRule>
  </conditionalFormatting>
  <conditionalFormatting sqref="D6:D533">
    <cfRule type="expression" dxfId="3" priority="8">
      <formula>A:A=1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4" width="10.86"/>
    <col customWidth="1" min="5" max="5" width="28.71"/>
    <col customWidth="1" min="6" max="6" width="46.43"/>
    <col customWidth="1" min="7" max="8" width="7.29"/>
  </cols>
  <sheetData>
    <row r="1">
      <c r="A1" s="54"/>
      <c r="B1" s="4"/>
      <c r="C1" s="4"/>
      <c r="D1" s="4"/>
      <c r="E1" s="55"/>
      <c r="F1" s="55"/>
      <c r="G1" s="55"/>
      <c r="H1" s="55"/>
      <c r="I1" s="56"/>
      <c r="J1" s="55"/>
      <c r="K1" s="55"/>
      <c r="L1" s="55"/>
      <c r="M1" s="55"/>
      <c r="N1" s="4"/>
      <c r="O1" s="4"/>
      <c r="P1" s="4"/>
      <c r="Q1" s="55"/>
      <c r="R1" s="55"/>
      <c r="S1" s="55"/>
      <c r="T1" s="55"/>
      <c r="U1" s="56"/>
      <c r="V1" s="55"/>
      <c r="W1" s="55"/>
      <c r="X1" s="55"/>
      <c r="Y1" s="59"/>
      <c r="Z1" s="59"/>
      <c r="AA1" s="59"/>
    </row>
    <row r="2" ht="11.25" customHeight="1">
      <c r="A2" s="54"/>
      <c r="B2" s="3" t="s">
        <v>185</v>
      </c>
      <c r="C2" s="4"/>
      <c r="D2" s="4"/>
      <c r="E2" s="55"/>
      <c r="F2" s="55"/>
      <c r="G2" s="55"/>
      <c r="H2" s="55"/>
      <c r="I2" s="56"/>
      <c r="J2" s="55"/>
      <c r="K2" s="55"/>
      <c r="L2" s="55"/>
      <c r="M2" s="55"/>
      <c r="N2" s="3"/>
      <c r="O2" s="4"/>
      <c r="P2" s="4"/>
      <c r="Q2" s="55"/>
      <c r="R2" s="55"/>
      <c r="S2" s="55"/>
      <c r="T2" s="55"/>
      <c r="U2" s="56"/>
      <c r="V2" s="55"/>
      <c r="W2" s="55"/>
      <c r="X2" s="55"/>
      <c r="Y2" s="59"/>
      <c r="Z2" s="59"/>
      <c r="AA2" s="59"/>
    </row>
    <row r="3" ht="13.5">
      <c r="A3" s="54"/>
      <c r="B3" s="4"/>
      <c r="C3" s="4"/>
      <c r="D3" s="4" t="str">
        <f>SUM(A6:A467)&amp;"/440"</f>
        <v>0/440</v>
      </c>
      <c r="E3" s="55"/>
      <c r="F3" s="55"/>
      <c r="G3" s="55"/>
      <c r="H3" s="55"/>
      <c r="I3" s="56"/>
      <c r="J3" s="55"/>
      <c r="K3" s="55"/>
      <c r="L3" s="55"/>
      <c r="M3" s="55"/>
      <c r="N3" s="4"/>
      <c r="O3" s="4"/>
      <c r="P3" s="4"/>
      <c r="Q3" s="55"/>
      <c r="R3" s="55"/>
      <c r="S3" s="55"/>
      <c r="T3" s="55"/>
      <c r="U3" s="56"/>
      <c r="V3" s="55"/>
      <c r="W3" s="55"/>
      <c r="X3" s="55"/>
      <c r="Y3" s="59"/>
      <c r="Z3" s="59"/>
      <c r="AA3" s="59"/>
    </row>
    <row r="4" ht="13.5">
      <c r="A4" s="57"/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192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ht="13.5" customHeight="1">
      <c r="A5" s="60"/>
      <c r="B5" s="5"/>
      <c r="C5" s="5"/>
      <c r="D5" s="55"/>
      <c r="E5" s="5"/>
      <c r="F5" s="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ht="13.5">
      <c r="A6" s="60"/>
      <c r="B6" s="5" t="s">
        <v>107</v>
      </c>
      <c r="C6" s="5" t="s">
        <v>110</v>
      </c>
      <c r="D6" s="55" t="str">
        <f>VLOOKUP($B6,Letters!$C$81:$D$104,2,FALSE) &amp; VLOOKUP($C6,Letters!$C$81:$D$104,2,FALSE)</f>
        <v>BE</v>
      </c>
      <c r="E6" s="61" t="s">
        <v>2055</v>
      </c>
      <c r="F6" s="5" t="s">
        <v>2056</v>
      </c>
      <c r="G6" s="55">
        <f t="shared" ref="G6:G25" si="1">(len($F6)-len(SUBSTITUTE($F6,"R","")))+(len($F6)-len(SUBSTITUTE($F6,"L","")))+(len($F6)-len(SUBSTITUTE($F6,"U","")))+(len($F6)-len(SUBSTITUTE($F6,"D","")))+(len($F6)-len(SUBSTITUTE($F6,"F","")))+(len($F6)-len(SUBSTITUTE($F6,"B","")))+(len($F6)-len(SUBSTITUTE($F6,"r","")))+(len($F6)-len(SUBSTITUTE($F6,"l","")))+(len($F6)-len(SUBSTITUTE($F6,"u","")))+(len($F6)-len(SUBSTITUTE($F6,"d","")))</f>
        <v>8</v>
      </c>
      <c r="H6" s="55">
        <f t="shared" ref="H6:H25" si="2">(len($F6)-len(SUBSTITUTE($F6,"R","")))+(len($F6)-len(SUBSTITUTE($F6,"L","")))+(len($F6)-len(SUBSTITUTE($F6,"U","")))+(len($F6)-len(SUBSTITUTE($F6,"D","")))+(len($F6)-len(SUBSTITUTE($F6,"F","")))+(len($F6)-len(SUBSTITUTE($F6,"B","")))+(len($F6)-len(SUBSTITUTE($F6,"r","")))+(len($F6)-len(SUBSTITUTE($F6,"l","")))+(len($F6)-len(SUBSTITUTE($F6,"u","")))+(len($F6)-len(SUBSTITUTE($F6,"d","")))+(len($F6)-len(SUBSTITUTE($F6,"2","")))</f>
        <v>8</v>
      </c>
    </row>
    <row r="7" ht="13.5">
      <c r="A7" s="60"/>
      <c r="B7" s="5" t="s">
        <v>107</v>
      </c>
      <c r="C7" s="5" t="s">
        <v>111</v>
      </c>
      <c r="D7" s="55" t="str">
        <f>VLOOKUP($B7,Letters!$C$81:$D$104,2,FALSE) &amp; VLOOKUP($C7,Letters!$C$81:$D$104,2,FALSE)</f>
        <v>BF</v>
      </c>
      <c r="E7" s="61" t="s">
        <v>2065</v>
      </c>
      <c r="F7" s="5" t="s">
        <v>2066</v>
      </c>
      <c r="G7" s="55">
        <f t="shared" si="1"/>
        <v>8</v>
      </c>
      <c r="H7" s="55">
        <f t="shared" si="2"/>
        <v>8</v>
      </c>
    </row>
    <row r="8" ht="13.5">
      <c r="A8" s="60"/>
      <c r="B8" s="5" t="s">
        <v>107</v>
      </c>
      <c r="C8" s="5" t="s">
        <v>112</v>
      </c>
      <c r="D8" s="55" t="str">
        <f>VLOOKUP($B8,Letters!$C$81:$D$104,2,FALSE) &amp; VLOOKUP($C8,Letters!$C$81:$D$104,2,FALSE)</f>
        <v>BG</v>
      </c>
      <c r="E8" s="61" t="s">
        <v>2069</v>
      </c>
      <c r="F8" s="5" t="s">
        <v>2070</v>
      </c>
      <c r="G8" s="55">
        <f t="shared" si="1"/>
        <v>8</v>
      </c>
      <c r="H8" s="55">
        <f t="shared" si="2"/>
        <v>8</v>
      </c>
    </row>
    <row r="9" ht="13.5">
      <c r="A9" s="60"/>
      <c r="B9" s="5" t="s">
        <v>107</v>
      </c>
      <c r="C9" s="5" t="s">
        <v>113</v>
      </c>
      <c r="D9" s="55" t="str">
        <f>VLOOKUP($B9,Letters!$C$81:$D$104,2,FALSE) &amp; VLOOKUP($C9,Letters!$C$81:$D$104,2,FALSE)</f>
        <v>BH</v>
      </c>
      <c r="E9" s="61" t="s">
        <v>2073</v>
      </c>
      <c r="F9" s="5" t="s">
        <v>2074</v>
      </c>
      <c r="G9" s="55">
        <f t="shared" si="1"/>
        <v>8</v>
      </c>
      <c r="H9" s="55">
        <f t="shared" si="2"/>
        <v>8</v>
      </c>
    </row>
    <row r="10" ht="13.5">
      <c r="A10" s="60"/>
      <c r="B10" s="5" t="s">
        <v>107</v>
      </c>
      <c r="C10" s="5" t="s">
        <v>114</v>
      </c>
      <c r="D10" s="55" t="str">
        <f>VLOOKUP($B10,Letters!$C$81:$D$104,2,FALSE) &amp; VLOOKUP($C10,Letters!$C$81:$D$104,2,FALSE)</f>
        <v>BI</v>
      </c>
      <c r="E10" s="61" t="s">
        <v>2079</v>
      </c>
      <c r="F10" s="5" t="s">
        <v>2080</v>
      </c>
      <c r="G10" s="55">
        <f t="shared" si="1"/>
        <v>10</v>
      </c>
      <c r="H10" s="55">
        <f t="shared" si="2"/>
        <v>10</v>
      </c>
    </row>
    <row r="11" ht="13.5">
      <c r="A11" s="60"/>
      <c r="B11" s="5" t="s">
        <v>107</v>
      </c>
      <c r="C11" s="5" t="s">
        <v>115</v>
      </c>
      <c r="D11" s="55" t="str">
        <f>VLOOKUP($B11,Letters!$C$81:$D$104,2,FALSE) &amp; VLOOKUP($C11,Letters!$C$81:$D$104,2,FALSE)</f>
        <v>BJ</v>
      </c>
      <c r="E11" s="61" t="s">
        <v>2083</v>
      </c>
      <c r="F11" s="5" t="s">
        <v>2084</v>
      </c>
      <c r="G11" s="55">
        <f t="shared" si="1"/>
        <v>10</v>
      </c>
      <c r="H11" s="55">
        <f t="shared" si="2"/>
        <v>10</v>
      </c>
    </row>
    <row r="12" ht="13.5">
      <c r="A12" s="60"/>
      <c r="B12" s="5" t="s">
        <v>107</v>
      </c>
      <c r="C12" s="5" t="s">
        <v>116</v>
      </c>
      <c r="D12" s="55" t="str">
        <f>VLOOKUP($B12,Letters!$C$81:$D$104,2,FALSE) &amp; VLOOKUP($C12,Letters!$C$81:$D$104,2,FALSE)</f>
        <v>BK</v>
      </c>
      <c r="E12" s="61" t="s">
        <v>2085</v>
      </c>
      <c r="F12" s="5" t="s">
        <v>2087</v>
      </c>
      <c r="G12" s="55">
        <f t="shared" si="1"/>
        <v>8</v>
      </c>
      <c r="H12" s="55">
        <f t="shared" si="2"/>
        <v>10</v>
      </c>
    </row>
    <row r="13" ht="13.5">
      <c r="A13" s="60"/>
      <c r="B13" s="5" t="s">
        <v>107</v>
      </c>
      <c r="C13" s="5" t="s">
        <v>117</v>
      </c>
      <c r="D13" s="55" t="str">
        <f>VLOOKUP($B13,Letters!$C$81:$D$104,2,FALSE) &amp; VLOOKUP($C13,Letters!$C$81:$D$104,2,FALSE)</f>
        <v>BL</v>
      </c>
      <c r="E13" s="61" t="s">
        <v>2089</v>
      </c>
      <c r="F13" s="5" t="s">
        <v>2090</v>
      </c>
      <c r="G13" s="55">
        <f t="shared" si="1"/>
        <v>8</v>
      </c>
      <c r="H13" s="55">
        <f t="shared" si="2"/>
        <v>10</v>
      </c>
    </row>
    <row r="14" ht="13.5">
      <c r="A14" s="60"/>
      <c r="B14" s="5" t="s">
        <v>107</v>
      </c>
      <c r="C14" s="5" t="s">
        <v>118</v>
      </c>
      <c r="D14" s="55" t="str">
        <f>VLOOKUP($B14,Letters!$C$81:$D$104,2,FALSE) &amp; VLOOKUP($C14,Letters!$C$81:$D$104,2,FALSE)</f>
        <v>BM</v>
      </c>
      <c r="E14" s="61" t="s">
        <v>2093</v>
      </c>
      <c r="F14" s="5" t="s">
        <v>2094</v>
      </c>
      <c r="G14" s="55">
        <f t="shared" si="1"/>
        <v>8</v>
      </c>
      <c r="H14" s="55">
        <f t="shared" si="2"/>
        <v>8</v>
      </c>
    </row>
    <row r="15" ht="13.5">
      <c r="A15" s="60"/>
      <c r="B15" s="5" t="s">
        <v>107</v>
      </c>
      <c r="C15" s="5" t="s">
        <v>119</v>
      </c>
      <c r="D15" s="55" t="str">
        <f>VLOOKUP($B15,Letters!$C$81:$D$104,2,FALSE) &amp; VLOOKUP($C15,Letters!$C$81:$D$104,2,FALSE)</f>
        <v>BN</v>
      </c>
      <c r="E15" s="61" t="s">
        <v>2097</v>
      </c>
      <c r="F15" s="5" t="s">
        <v>2098</v>
      </c>
      <c r="G15" s="55">
        <f t="shared" si="1"/>
        <v>8</v>
      </c>
      <c r="H15" s="55">
        <f t="shared" si="2"/>
        <v>8</v>
      </c>
    </row>
    <row r="16" ht="13.5">
      <c r="A16" s="60"/>
      <c r="B16" s="5" t="s">
        <v>107</v>
      </c>
      <c r="C16" s="5" t="s">
        <v>120</v>
      </c>
      <c r="D16" s="55" t="str">
        <f>VLOOKUP($B16,Letters!$C$81:$D$104,2,FALSE) &amp; VLOOKUP($C16,Letters!$C$81:$D$104,2,FALSE)</f>
        <v>BO</v>
      </c>
      <c r="E16" s="61" t="s">
        <v>2101</v>
      </c>
      <c r="F16" s="5" t="s">
        <v>2102</v>
      </c>
      <c r="G16" s="55">
        <f t="shared" si="1"/>
        <v>8</v>
      </c>
      <c r="H16" s="55">
        <f t="shared" si="2"/>
        <v>8</v>
      </c>
    </row>
    <row r="17" ht="13.5">
      <c r="A17" s="60"/>
      <c r="B17" s="5" t="s">
        <v>107</v>
      </c>
      <c r="C17" s="5" t="s">
        <v>121</v>
      </c>
      <c r="D17" s="55" t="str">
        <f>VLOOKUP($B17,Letters!$C$81:$D$104,2,FALSE) &amp; VLOOKUP($C17,Letters!$C$81:$D$104,2,FALSE)</f>
        <v>BP</v>
      </c>
      <c r="E17" s="61" t="s">
        <v>2107</v>
      </c>
      <c r="F17" s="5" t="s">
        <v>2108</v>
      </c>
      <c r="G17" s="55">
        <f t="shared" si="1"/>
        <v>8</v>
      </c>
      <c r="H17" s="55">
        <f t="shared" si="2"/>
        <v>8</v>
      </c>
    </row>
    <row r="18" ht="13.5">
      <c r="A18" s="60"/>
      <c r="B18" s="5" t="s">
        <v>107</v>
      </c>
      <c r="C18" s="5" t="s">
        <v>122</v>
      </c>
      <c r="D18" s="55" t="str">
        <f>VLOOKUP($B18,Letters!$C$81:$D$104,2,FALSE) &amp; VLOOKUP($C18,Letters!$C$81:$D$104,2,FALSE)</f>
        <v>BA</v>
      </c>
      <c r="E18" s="61" t="s">
        <v>2113</v>
      </c>
      <c r="F18" s="5" t="s">
        <v>2114</v>
      </c>
      <c r="G18" s="55">
        <f t="shared" si="1"/>
        <v>8</v>
      </c>
      <c r="H18" s="55">
        <f t="shared" si="2"/>
        <v>10</v>
      </c>
    </row>
    <row r="19" ht="13.5">
      <c r="A19" s="60"/>
      <c r="B19" s="5" t="s">
        <v>107</v>
      </c>
      <c r="C19" s="5" t="s">
        <v>123</v>
      </c>
      <c r="D19" s="55" t="str">
        <f>VLOOKUP($B19,Letters!$C$81:$D$104,2,FALSE) &amp; VLOOKUP($C19,Letters!$C$81:$D$104,2,FALSE)</f>
        <v>BR</v>
      </c>
      <c r="E19" s="61" t="s">
        <v>2115</v>
      </c>
      <c r="F19" s="5" t="s">
        <v>2116</v>
      </c>
      <c r="G19" s="55">
        <f t="shared" si="1"/>
        <v>8</v>
      </c>
      <c r="H19" s="55">
        <f t="shared" si="2"/>
        <v>10</v>
      </c>
    </row>
    <row r="20" ht="13.5">
      <c r="A20" s="60"/>
      <c r="B20" s="5" t="s">
        <v>107</v>
      </c>
      <c r="C20" s="5" t="s">
        <v>124</v>
      </c>
      <c r="D20" s="55" t="str">
        <f>VLOOKUP($B20,Letters!$C$81:$D$104,2,FALSE) &amp; VLOOKUP($C20,Letters!$C$81:$D$104,2,FALSE)</f>
        <v>BS</v>
      </c>
      <c r="E20" s="61" t="s">
        <v>2121</v>
      </c>
      <c r="F20" s="5" t="s">
        <v>2122</v>
      </c>
      <c r="G20" s="55">
        <f t="shared" si="1"/>
        <v>8</v>
      </c>
      <c r="H20" s="55">
        <f t="shared" si="2"/>
        <v>8</v>
      </c>
    </row>
    <row r="21" ht="13.5">
      <c r="A21" s="60"/>
      <c r="B21" s="5" t="s">
        <v>107</v>
      </c>
      <c r="C21" s="5" t="s">
        <v>125</v>
      </c>
      <c r="D21" s="55" t="str">
        <f>VLOOKUP($B21,Letters!$C$81:$D$104,2,FALSE) &amp; VLOOKUP($C21,Letters!$C$81:$D$104,2,FALSE)</f>
        <v>BT</v>
      </c>
      <c r="E21" s="61" t="s">
        <v>2125</v>
      </c>
      <c r="F21" s="5" t="s">
        <v>2126</v>
      </c>
      <c r="G21" s="55">
        <f t="shared" si="1"/>
        <v>8</v>
      </c>
      <c r="H21" s="55">
        <f t="shared" si="2"/>
        <v>8</v>
      </c>
    </row>
    <row r="22" ht="13.5">
      <c r="A22" s="60"/>
      <c r="B22" s="5" t="s">
        <v>107</v>
      </c>
      <c r="C22" s="5" t="s">
        <v>126</v>
      </c>
      <c r="D22" s="55" t="str">
        <f>VLOOKUP($B22,Letters!$C$81:$D$104,2,FALSE) &amp; VLOOKUP($C22,Letters!$C$81:$D$104,2,FALSE)</f>
        <v>BU</v>
      </c>
      <c r="E22" s="61" t="s">
        <v>2129</v>
      </c>
      <c r="F22" s="5" t="s">
        <v>2130</v>
      </c>
      <c r="G22" s="55">
        <f t="shared" si="1"/>
        <v>10</v>
      </c>
      <c r="H22" s="55">
        <f t="shared" si="2"/>
        <v>12</v>
      </c>
    </row>
    <row r="23" ht="13.5">
      <c r="A23" s="60"/>
      <c r="B23" s="5" t="s">
        <v>107</v>
      </c>
      <c r="C23" s="5" t="s">
        <v>127</v>
      </c>
      <c r="D23" s="55" t="str">
        <f>VLOOKUP($B23,Letters!$C$81:$D$104,2,FALSE) &amp; VLOOKUP($C23,Letters!$C$81:$D$104,2,FALSE)</f>
        <v>BV</v>
      </c>
      <c r="E23" s="61" t="s">
        <v>2135</v>
      </c>
      <c r="F23" s="5" t="s">
        <v>2136</v>
      </c>
      <c r="G23" s="55">
        <f t="shared" si="1"/>
        <v>10</v>
      </c>
      <c r="H23" s="55">
        <f t="shared" si="2"/>
        <v>12</v>
      </c>
    </row>
    <row r="24" ht="13.5">
      <c r="A24" s="54"/>
      <c r="B24" s="5" t="s">
        <v>107</v>
      </c>
      <c r="C24" s="5" t="s">
        <v>128</v>
      </c>
      <c r="D24" s="55" t="str">
        <f>VLOOKUP($B24,Letters!$C$81:$D$104,2,FALSE) &amp; VLOOKUP($C24,Letters!$C$81:$D$104,2,FALSE)</f>
        <v>BW</v>
      </c>
      <c r="E24" s="61" t="s">
        <v>2138</v>
      </c>
      <c r="F24" s="5" t="s">
        <v>2139</v>
      </c>
      <c r="G24" s="55">
        <f t="shared" si="1"/>
        <v>12</v>
      </c>
      <c r="H24" s="55">
        <f t="shared" si="2"/>
        <v>16</v>
      </c>
    </row>
    <row r="25" ht="13.5">
      <c r="A25" s="60"/>
      <c r="B25" s="5" t="s">
        <v>107</v>
      </c>
      <c r="C25" s="5" t="s">
        <v>129</v>
      </c>
      <c r="D25" s="55" t="str">
        <f>VLOOKUP($B25,Letters!$C$81:$D$104,2,FALSE) &amp; VLOOKUP($C25,Letters!$C$81:$D$104,2,FALSE)</f>
        <v>BX</v>
      </c>
      <c r="E25" s="61" t="s">
        <v>2144</v>
      </c>
      <c r="F25" s="5" t="s">
        <v>2146</v>
      </c>
      <c r="G25" s="55">
        <f t="shared" si="1"/>
        <v>12</v>
      </c>
      <c r="H25" s="55">
        <f t="shared" si="2"/>
        <v>16</v>
      </c>
    </row>
    <row r="26">
      <c r="A26" s="60"/>
      <c r="B26" s="5"/>
      <c r="C26" s="5"/>
      <c r="D26" s="55"/>
      <c r="E26" s="5"/>
      <c r="F26" s="5"/>
    </row>
    <row r="27" ht="13.5">
      <c r="A27" s="60"/>
      <c r="B27" s="5" t="s">
        <v>108</v>
      </c>
      <c r="C27" s="5" t="s">
        <v>110</v>
      </c>
      <c r="D27" s="55" t="str">
        <f>VLOOKUP($B27,Letters!$C$81:$D$104,2,FALSE) &amp; VLOOKUP($C27,Letters!$C$81:$D$104,2,FALSE)</f>
        <v>CE</v>
      </c>
      <c r="E27" s="61" t="s">
        <v>2151</v>
      </c>
      <c r="F27" s="5" t="s">
        <v>2152</v>
      </c>
      <c r="G27" s="55">
        <f t="shared" ref="G27:G46" si="3">(len($F27)-len(SUBSTITUTE($F27,"R","")))+(len($F27)-len(SUBSTITUTE($F27,"L","")))+(len($F27)-len(SUBSTITUTE($F27,"U","")))+(len($F27)-len(SUBSTITUTE($F27,"D","")))+(len($F27)-len(SUBSTITUTE($F27,"F","")))+(len($F27)-len(SUBSTITUTE($F27,"B","")))+(len($F27)-len(SUBSTITUTE($F27,"r","")))+(len($F27)-len(SUBSTITUTE($F27,"l","")))+(len($F27)-len(SUBSTITUTE($F27,"u","")))+(len($F27)-len(SUBSTITUTE($F27,"d","")))</f>
        <v>8</v>
      </c>
      <c r="H27" s="55">
        <f t="shared" ref="H27:H46" si="4">(len($F27)-len(SUBSTITUTE($F27,"R","")))+(len($F27)-len(SUBSTITUTE($F27,"L","")))+(len($F27)-len(SUBSTITUTE($F27,"U","")))+(len($F27)-len(SUBSTITUTE($F27,"D","")))+(len($F27)-len(SUBSTITUTE($F27,"F","")))+(len($F27)-len(SUBSTITUTE($F27,"B","")))+(len($F27)-len(SUBSTITUTE($F27,"r","")))+(len($F27)-len(SUBSTITUTE($F27,"l","")))+(len($F27)-len(SUBSTITUTE($F27,"u","")))+(len($F27)-len(SUBSTITUTE($F27,"d","")))+(len($F27)-len(SUBSTITUTE($F27,"2","")))</f>
        <v>10</v>
      </c>
    </row>
    <row r="28" ht="13.5">
      <c r="A28" s="60"/>
      <c r="B28" s="5" t="s">
        <v>108</v>
      </c>
      <c r="C28" s="5" t="s">
        <v>111</v>
      </c>
      <c r="D28" s="55" t="str">
        <f>VLOOKUP($B28,Letters!$C$81:$D$104,2,FALSE) &amp; VLOOKUP($C28,Letters!$C$81:$D$104,2,FALSE)</f>
        <v>CF</v>
      </c>
      <c r="E28" s="61" t="s">
        <v>2163</v>
      </c>
      <c r="F28" s="5" t="s">
        <v>2164</v>
      </c>
      <c r="G28" s="55">
        <f t="shared" si="3"/>
        <v>9</v>
      </c>
      <c r="H28" s="55">
        <f t="shared" si="4"/>
        <v>10</v>
      </c>
    </row>
    <row r="29" ht="13.5">
      <c r="A29" s="60"/>
      <c r="B29" s="5" t="s">
        <v>108</v>
      </c>
      <c r="C29" s="5" t="s">
        <v>112</v>
      </c>
      <c r="D29" s="55" t="str">
        <f>VLOOKUP($B29,Letters!$C$81:$D$104,2,FALSE) &amp; VLOOKUP($C29,Letters!$C$81:$D$104,2,FALSE)</f>
        <v>CG</v>
      </c>
      <c r="E29" s="61" t="s">
        <v>2165</v>
      </c>
      <c r="F29" s="5" t="s">
        <v>2166</v>
      </c>
      <c r="G29" s="55">
        <f t="shared" si="3"/>
        <v>8</v>
      </c>
      <c r="H29" s="55">
        <f t="shared" si="4"/>
        <v>10</v>
      </c>
    </row>
    <row r="30" ht="13.5">
      <c r="A30" s="60"/>
      <c r="B30" s="5" t="s">
        <v>108</v>
      </c>
      <c r="C30" s="5" t="s">
        <v>113</v>
      </c>
      <c r="D30" s="55" t="str">
        <f>VLOOKUP($B30,Letters!$C$81:$D$104,2,FALSE) &amp; VLOOKUP($C30,Letters!$C$81:$D$104,2,FALSE)</f>
        <v>CH</v>
      </c>
      <c r="E30" s="74" t="s">
        <v>2171</v>
      </c>
      <c r="F30" s="5" t="s">
        <v>2172</v>
      </c>
      <c r="G30" s="55">
        <f t="shared" si="3"/>
        <v>9</v>
      </c>
      <c r="H30" s="55">
        <f t="shared" si="4"/>
        <v>10</v>
      </c>
    </row>
    <row r="31" ht="13.5">
      <c r="A31" s="60"/>
      <c r="B31" s="5" t="s">
        <v>108</v>
      </c>
      <c r="C31" s="5" t="s">
        <v>114</v>
      </c>
      <c r="D31" s="55" t="str">
        <f>VLOOKUP($B31,Letters!$C$81:$D$104,2,FALSE) &amp; VLOOKUP($C31,Letters!$C$81:$D$104,2,FALSE)</f>
        <v>CI</v>
      </c>
      <c r="E31" s="61" t="s">
        <v>2175</v>
      </c>
      <c r="F31" s="5" t="s">
        <v>2177</v>
      </c>
      <c r="G31" s="55">
        <f t="shared" si="3"/>
        <v>8</v>
      </c>
      <c r="H31" s="55">
        <f t="shared" si="4"/>
        <v>12</v>
      </c>
    </row>
    <row r="32" ht="13.5">
      <c r="A32" s="60"/>
      <c r="B32" s="5" t="s">
        <v>108</v>
      </c>
      <c r="C32" s="5" t="s">
        <v>115</v>
      </c>
      <c r="D32" s="55" t="str">
        <f>VLOOKUP($B32,Letters!$C$81:$D$104,2,FALSE) &amp; VLOOKUP($C32,Letters!$C$81:$D$104,2,FALSE)</f>
        <v>CJ</v>
      </c>
      <c r="E32" s="61" t="s">
        <v>2181</v>
      </c>
      <c r="F32" s="5" t="s">
        <v>2182</v>
      </c>
      <c r="G32" s="55">
        <f t="shared" si="3"/>
        <v>9</v>
      </c>
      <c r="H32" s="55">
        <f t="shared" si="4"/>
        <v>12</v>
      </c>
    </row>
    <row r="33" ht="13.5">
      <c r="A33" s="60"/>
      <c r="B33" s="5" t="s">
        <v>108</v>
      </c>
      <c r="C33" s="5" t="s">
        <v>116</v>
      </c>
      <c r="D33" s="55" t="str">
        <f>VLOOKUP($B33,Letters!$C$81:$D$104,2,FALSE) &amp; VLOOKUP($C33,Letters!$C$81:$D$104,2,FALSE)</f>
        <v>CK</v>
      </c>
      <c r="E33" s="61" t="s">
        <v>2185</v>
      </c>
      <c r="F33" s="5" t="s">
        <v>2186</v>
      </c>
      <c r="G33" s="55">
        <f t="shared" si="3"/>
        <v>8</v>
      </c>
      <c r="H33" s="55">
        <f t="shared" si="4"/>
        <v>12</v>
      </c>
    </row>
    <row r="34" ht="13.5">
      <c r="A34" s="60"/>
      <c r="B34" s="5" t="s">
        <v>108</v>
      </c>
      <c r="C34" s="5" t="s">
        <v>117</v>
      </c>
      <c r="D34" s="55" t="str">
        <f>VLOOKUP($B34,Letters!$C$81:$D$104,2,FALSE) &amp; VLOOKUP($C34,Letters!$C$81:$D$104,2,FALSE)</f>
        <v>CL</v>
      </c>
      <c r="E34" s="61" t="s">
        <v>2189</v>
      </c>
      <c r="F34" s="5" t="s">
        <v>2190</v>
      </c>
      <c r="G34" s="55">
        <f t="shared" si="3"/>
        <v>9</v>
      </c>
      <c r="H34" s="55">
        <f t="shared" si="4"/>
        <v>12</v>
      </c>
    </row>
    <row r="35" ht="13.5">
      <c r="A35" s="60"/>
      <c r="B35" s="5" t="s">
        <v>108</v>
      </c>
      <c r="C35" s="5" t="s">
        <v>118</v>
      </c>
      <c r="D35" s="55" t="str">
        <f>VLOOKUP($B35,Letters!$C$81:$D$104,2,FALSE) &amp; VLOOKUP($C35,Letters!$C$81:$D$104,2,FALSE)</f>
        <v>CM</v>
      </c>
      <c r="E35" s="61" t="s">
        <v>2193</v>
      </c>
      <c r="F35" s="5" t="s">
        <v>2194</v>
      </c>
      <c r="G35" s="55">
        <f t="shared" si="3"/>
        <v>8</v>
      </c>
      <c r="H35" s="55">
        <f t="shared" si="4"/>
        <v>10</v>
      </c>
    </row>
    <row r="36" ht="13.5">
      <c r="A36" s="60"/>
      <c r="B36" s="5" t="s">
        <v>108</v>
      </c>
      <c r="C36" s="5" t="s">
        <v>119</v>
      </c>
      <c r="D36" s="55" t="str">
        <f>VLOOKUP($B36,Letters!$C$81:$D$104,2,FALSE) &amp; VLOOKUP($C36,Letters!$C$81:$D$104,2,FALSE)</f>
        <v>CN</v>
      </c>
      <c r="E36" s="61" t="s">
        <v>2197</v>
      </c>
      <c r="F36" s="5" t="s">
        <v>2198</v>
      </c>
      <c r="G36" s="55">
        <f t="shared" si="3"/>
        <v>9</v>
      </c>
      <c r="H36" s="55">
        <f t="shared" si="4"/>
        <v>10</v>
      </c>
    </row>
    <row r="37" ht="13.5">
      <c r="A37" s="60"/>
      <c r="B37" s="5" t="s">
        <v>108</v>
      </c>
      <c r="C37" s="5" t="s">
        <v>120</v>
      </c>
      <c r="D37" s="55" t="str">
        <f>VLOOKUP($B37,Letters!$C$81:$D$104,2,FALSE) &amp; VLOOKUP($C37,Letters!$C$81:$D$104,2,FALSE)</f>
        <v>CO</v>
      </c>
      <c r="E37" s="61" t="s">
        <v>2203</v>
      </c>
      <c r="F37" s="5" t="s">
        <v>2204</v>
      </c>
      <c r="G37" s="55">
        <f t="shared" si="3"/>
        <v>8</v>
      </c>
      <c r="H37" s="55">
        <f t="shared" si="4"/>
        <v>10</v>
      </c>
    </row>
    <row r="38" ht="13.5">
      <c r="A38" s="60"/>
      <c r="B38" s="5" t="s">
        <v>108</v>
      </c>
      <c r="C38" s="5" t="s">
        <v>121</v>
      </c>
      <c r="D38" s="55" t="str">
        <f>VLOOKUP($B38,Letters!$C$81:$D$104,2,FALSE) &amp; VLOOKUP($C38,Letters!$C$81:$D$104,2,FALSE)</f>
        <v>CP</v>
      </c>
      <c r="E38" s="61" t="s">
        <v>2207</v>
      </c>
      <c r="F38" s="5" t="s">
        <v>2208</v>
      </c>
      <c r="G38" s="55">
        <f t="shared" si="3"/>
        <v>9</v>
      </c>
      <c r="H38" s="55">
        <f t="shared" si="4"/>
        <v>10</v>
      </c>
    </row>
    <row r="39" ht="13.5">
      <c r="A39" s="60"/>
      <c r="B39" s="5" t="s">
        <v>108</v>
      </c>
      <c r="C39" s="5" t="s">
        <v>122</v>
      </c>
      <c r="D39" s="55" t="str">
        <f>VLOOKUP($B39,Letters!$C$81:$D$104,2,FALSE) &amp; VLOOKUP($C39,Letters!$C$81:$D$104,2,FALSE)</f>
        <v>CA</v>
      </c>
      <c r="E39" s="61" t="s">
        <v>2211</v>
      </c>
      <c r="F39" s="5" t="s">
        <v>2212</v>
      </c>
      <c r="G39" s="55">
        <f t="shared" si="3"/>
        <v>8</v>
      </c>
      <c r="H39" s="55">
        <f t="shared" si="4"/>
        <v>12</v>
      </c>
    </row>
    <row r="40" ht="13.5">
      <c r="A40" s="60"/>
      <c r="B40" s="5" t="s">
        <v>108</v>
      </c>
      <c r="C40" s="5" t="s">
        <v>123</v>
      </c>
      <c r="D40" s="55" t="str">
        <f>VLOOKUP($B40,Letters!$C$81:$D$104,2,FALSE) &amp; VLOOKUP($C40,Letters!$C$81:$D$104,2,FALSE)</f>
        <v>CR</v>
      </c>
      <c r="E40" s="61" t="s">
        <v>2217</v>
      </c>
      <c r="F40" s="5" t="s">
        <v>2218</v>
      </c>
      <c r="G40" s="55">
        <f t="shared" si="3"/>
        <v>9</v>
      </c>
      <c r="H40" s="55">
        <f t="shared" si="4"/>
        <v>12</v>
      </c>
    </row>
    <row r="41" ht="13.5">
      <c r="A41" s="60"/>
      <c r="B41" s="5" t="s">
        <v>108</v>
      </c>
      <c r="C41" s="5" t="s">
        <v>124</v>
      </c>
      <c r="D41" s="55" t="str">
        <f>VLOOKUP($B41,Letters!$C$81:$D$104,2,FALSE) &amp; VLOOKUP($C41,Letters!$C$81:$D$104,2,FALSE)</f>
        <v>CS</v>
      </c>
      <c r="E41" s="61" t="s">
        <v>2221</v>
      </c>
      <c r="F41" s="5" t="s">
        <v>2222</v>
      </c>
      <c r="G41" s="55">
        <f t="shared" si="3"/>
        <v>8</v>
      </c>
      <c r="H41" s="55">
        <f t="shared" si="4"/>
        <v>12</v>
      </c>
    </row>
    <row r="42" ht="13.5">
      <c r="A42" s="60"/>
      <c r="B42" s="5" t="s">
        <v>108</v>
      </c>
      <c r="C42" s="5" t="s">
        <v>125</v>
      </c>
      <c r="D42" s="55" t="str">
        <f>VLOOKUP($B42,Letters!$C$81:$D$104,2,FALSE) &amp; VLOOKUP($C42,Letters!$C$81:$D$104,2,FALSE)</f>
        <v>CT</v>
      </c>
      <c r="E42" s="61" t="s">
        <v>2225</v>
      </c>
      <c r="F42" s="5" t="s">
        <v>2226</v>
      </c>
      <c r="G42" s="55">
        <f t="shared" si="3"/>
        <v>9</v>
      </c>
      <c r="H42" s="55">
        <f t="shared" si="4"/>
        <v>12</v>
      </c>
    </row>
    <row r="43" ht="13.5">
      <c r="A43" s="54"/>
      <c r="B43" s="5" t="s">
        <v>108</v>
      </c>
      <c r="C43" s="5" t="s">
        <v>126</v>
      </c>
      <c r="D43" s="55" t="str">
        <f>VLOOKUP($B43,Letters!$C$81:$D$104,2,FALSE) &amp; VLOOKUP($C43,Letters!$C$81:$D$104,2,FALSE)</f>
        <v>CU</v>
      </c>
      <c r="E43" s="61" t="s">
        <v>2231</v>
      </c>
      <c r="F43" s="5" t="s">
        <v>2232</v>
      </c>
      <c r="G43" s="55">
        <f t="shared" si="3"/>
        <v>13</v>
      </c>
      <c r="H43" s="55">
        <f t="shared" si="4"/>
        <v>16</v>
      </c>
    </row>
    <row r="44" ht="13.5">
      <c r="A44" s="60"/>
      <c r="B44" s="5" t="s">
        <v>108</v>
      </c>
      <c r="C44" s="5" t="s">
        <v>127</v>
      </c>
      <c r="D44" s="55" t="str">
        <f>VLOOKUP($B44,Letters!$C$81:$D$104,2,FALSE) &amp; VLOOKUP($C44,Letters!$C$81:$D$104,2,FALSE)</f>
        <v>CV</v>
      </c>
      <c r="E44" s="61" t="s">
        <v>2237</v>
      </c>
      <c r="F44" s="5" t="s">
        <v>2238</v>
      </c>
      <c r="G44" s="55">
        <f t="shared" si="3"/>
        <v>11</v>
      </c>
      <c r="H44" s="55">
        <f t="shared" si="4"/>
        <v>14</v>
      </c>
    </row>
    <row r="45" ht="13.5">
      <c r="A45" s="54"/>
      <c r="B45" s="5" t="s">
        <v>108</v>
      </c>
      <c r="C45" s="5" t="s">
        <v>128</v>
      </c>
      <c r="D45" s="55" t="str">
        <f>VLOOKUP($B45,Letters!$C$81:$D$104,2,FALSE) &amp; VLOOKUP($C45,Letters!$C$81:$D$104,2,FALSE)</f>
        <v>CW</v>
      </c>
      <c r="E45" s="61" t="s">
        <v>2243</v>
      </c>
      <c r="F45" s="5" t="s">
        <v>2244</v>
      </c>
      <c r="G45" s="55">
        <f t="shared" si="3"/>
        <v>13</v>
      </c>
      <c r="H45" s="55">
        <f t="shared" si="4"/>
        <v>16</v>
      </c>
    </row>
    <row r="46" ht="13.5">
      <c r="A46" s="54"/>
      <c r="B46" s="5" t="s">
        <v>108</v>
      </c>
      <c r="C46" s="5" t="s">
        <v>129</v>
      </c>
      <c r="D46" s="55" t="str">
        <f>VLOOKUP($B46,Letters!$C$81:$D$104,2,FALSE) &amp; VLOOKUP($C46,Letters!$C$81:$D$104,2,FALSE)</f>
        <v>CX</v>
      </c>
      <c r="E46" s="61" t="s">
        <v>2249</v>
      </c>
      <c r="F46" s="5" t="s">
        <v>2250</v>
      </c>
      <c r="G46" s="55">
        <f t="shared" si="3"/>
        <v>11</v>
      </c>
      <c r="H46" s="55">
        <f t="shared" si="4"/>
        <v>14</v>
      </c>
    </row>
    <row r="47">
      <c r="A47" s="54"/>
      <c r="B47" s="5"/>
      <c r="C47" s="5"/>
      <c r="D47" s="55"/>
      <c r="E47" s="5"/>
      <c r="F47" s="5"/>
    </row>
    <row r="48" ht="13.5">
      <c r="A48" s="54"/>
      <c r="B48" s="5" t="s">
        <v>109</v>
      </c>
      <c r="C48" s="5" t="s">
        <v>110</v>
      </c>
      <c r="D48" s="55" t="str">
        <f>VLOOKUP($B48,Letters!$C$81:$D$104,2,FALSE) &amp; VLOOKUP($C48,Letters!$C$81:$D$104,2,FALSE)</f>
        <v>DE</v>
      </c>
      <c r="E48" s="61" t="s">
        <v>2257</v>
      </c>
      <c r="F48" s="5" t="s">
        <v>2258</v>
      </c>
      <c r="G48" s="55">
        <f t="shared" ref="G48:G67" si="5">(len($F48)-len(SUBSTITUTE($F48,"R","")))+(len($F48)-len(SUBSTITUTE($F48,"L","")))+(len($F48)-len(SUBSTITUTE($F48,"U","")))+(len($F48)-len(SUBSTITUTE($F48,"D","")))+(len($F48)-len(SUBSTITUTE($F48,"F","")))+(len($F48)-len(SUBSTITUTE($F48,"B","")))+(len($F48)-len(SUBSTITUTE($F48,"r","")))+(len($F48)-len(SUBSTITUTE($F48,"l","")))+(len($F48)-len(SUBSTITUTE($F48,"u","")))+(len($F48)-len(SUBSTITUTE($F48,"d","")))</f>
        <v>8</v>
      </c>
      <c r="H48" s="55">
        <f t="shared" ref="H48:H67" si="6">(len($F48)-len(SUBSTITUTE($F48,"R","")))+(len($F48)-len(SUBSTITUTE($F48,"L","")))+(len($F48)-len(SUBSTITUTE($F48,"U","")))+(len($F48)-len(SUBSTITUTE($F48,"D","")))+(len($F48)-len(SUBSTITUTE($F48,"F","")))+(len($F48)-len(SUBSTITUTE($F48,"B","")))+(len($F48)-len(SUBSTITUTE($F48,"r","")))+(len($F48)-len(SUBSTITUTE($F48,"l","")))+(len($F48)-len(SUBSTITUTE($F48,"u","")))+(len($F48)-len(SUBSTITUTE($F48,"d","")))+(len($F48)-len(SUBSTITUTE($F48,"2","")))</f>
        <v>8</v>
      </c>
    </row>
    <row r="49" ht="13.5">
      <c r="A49" s="54"/>
      <c r="B49" s="5" t="s">
        <v>109</v>
      </c>
      <c r="C49" s="5" t="s">
        <v>111</v>
      </c>
      <c r="D49" s="55" t="str">
        <f>VLOOKUP($B49,Letters!$C$81:$D$104,2,FALSE) &amp; VLOOKUP($C49,Letters!$C$81:$D$104,2,FALSE)</f>
        <v>DF</v>
      </c>
      <c r="E49" s="61" t="s">
        <v>2265</v>
      </c>
      <c r="F49" s="5" t="s">
        <v>2266</v>
      </c>
      <c r="G49" s="55">
        <f t="shared" si="5"/>
        <v>8</v>
      </c>
      <c r="H49" s="55">
        <f t="shared" si="6"/>
        <v>8</v>
      </c>
    </row>
    <row r="50" ht="13.5">
      <c r="A50" s="54"/>
      <c r="B50" s="5" t="s">
        <v>109</v>
      </c>
      <c r="C50" s="5" t="s">
        <v>112</v>
      </c>
      <c r="D50" s="55" t="str">
        <f>VLOOKUP($B50,Letters!$C$81:$D$104,2,FALSE) &amp; VLOOKUP($C50,Letters!$C$81:$D$104,2,FALSE)</f>
        <v>DG</v>
      </c>
      <c r="E50" s="61" t="s">
        <v>2271</v>
      </c>
      <c r="F50" s="5" t="s">
        <v>2272</v>
      </c>
      <c r="G50" s="55">
        <f t="shared" si="5"/>
        <v>8</v>
      </c>
      <c r="H50" s="55">
        <f t="shared" si="6"/>
        <v>8</v>
      </c>
    </row>
    <row r="51" ht="13.5">
      <c r="A51" s="54"/>
      <c r="B51" s="5" t="s">
        <v>109</v>
      </c>
      <c r="C51" s="5" t="s">
        <v>113</v>
      </c>
      <c r="D51" s="55" t="str">
        <f>VLOOKUP($B51,Letters!$C$81:$D$104,2,FALSE) &amp; VLOOKUP($C51,Letters!$C$81:$D$104,2,FALSE)</f>
        <v>DH</v>
      </c>
      <c r="E51" s="61" t="s">
        <v>2275</v>
      </c>
      <c r="F51" s="5" t="s">
        <v>2276</v>
      </c>
      <c r="G51" s="55">
        <f t="shared" si="5"/>
        <v>8</v>
      </c>
      <c r="H51" s="55">
        <f t="shared" si="6"/>
        <v>8</v>
      </c>
    </row>
    <row r="52" ht="13.5">
      <c r="A52" s="60"/>
      <c r="B52" s="5" t="s">
        <v>109</v>
      </c>
      <c r="C52" s="5" t="s">
        <v>114</v>
      </c>
      <c r="D52" s="55" t="str">
        <f>VLOOKUP($B52,Letters!$C$81:$D$104,2,FALSE) &amp; VLOOKUP($C52,Letters!$C$81:$D$104,2,FALSE)</f>
        <v>DI</v>
      </c>
      <c r="E52" s="61" t="s">
        <v>2279</v>
      </c>
      <c r="F52" s="5" t="s">
        <v>2280</v>
      </c>
      <c r="G52" s="55">
        <f t="shared" si="5"/>
        <v>9</v>
      </c>
      <c r="H52" s="55">
        <f t="shared" si="6"/>
        <v>12</v>
      </c>
    </row>
    <row r="53" ht="13.5">
      <c r="A53" s="60"/>
      <c r="B53" s="5" t="s">
        <v>109</v>
      </c>
      <c r="C53" s="5" t="s">
        <v>115</v>
      </c>
      <c r="D53" s="55" t="str">
        <f>VLOOKUP($B53,Letters!$C$81:$D$104,2,FALSE) &amp; VLOOKUP($C53,Letters!$C$81:$D$104,2,FALSE)</f>
        <v>DJ</v>
      </c>
      <c r="E53" s="61" t="s">
        <v>2285</v>
      </c>
      <c r="F53" s="5" t="s">
        <v>2286</v>
      </c>
      <c r="G53" s="55">
        <f t="shared" si="5"/>
        <v>8</v>
      </c>
      <c r="H53" s="55">
        <f t="shared" si="6"/>
        <v>10</v>
      </c>
    </row>
    <row r="54" ht="13.5">
      <c r="A54" s="54"/>
      <c r="B54" s="5" t="s">
        <v>109</v>
      </c>
      <c r="C54" s="5" t="s">
        <v>116</v>
      </c>
      <c r="D54" s="55" t="str">
        <f>VLOOKUP($B54,Letters!$C$81:$D$104,2,FALSE) &amp; VLOOKUP($C54,Letters!$C$81:$D$104,2,FALSE)</f>
        <v>DK</v>
      </c>
      <c r="E54" s="61" t="s">
        <v>2289</v>
      </c>
      <c r="F54" s="5" t="s">
        <v>2290</v>
      </c>
      <c r="G54" s="55">
        <f t="shared" si="5"/>
        <v>8</v>
      </c>
      <c r="H54" s="55">
        <f t="shared" si="6"/>
        <v>10</v>
      </c>
    </row>
    <row r="55" ht="13.5">
      <c r="A55" s="60"/>
      <c r="B55" s="5" t="s">
        <v>109</v>
      </c>
      <c r="C55" s="5" t="s">
        <v>117</v>
      </c>
      <c r="D55" s="55" t="str">
        <f>VLOOKUP($B55,Letters!$C$81:$D$104,2,FALSE) &amp; VLOOKUP($C55,Letters!$C$81:$D$104,2,FALSE)</f>
        <v>DL</v>
      </c>
      <c r="E55" s="61" t="s">
        <v>2295</v>
      </c>
      <c r="F55" s="5" t="s">
        <v>2296</v>
      </c>
      <c r="G55" s="55">
        <f t="shared" si="5"/>
        <v>9</v>
      </c>
      <c r="H55" s="55">
        <f t="shared" si="6"/>
        <v>12</v>
      </c>
    </row>
    <row r="56" ht="13.5">
      <c r="A56" s="54"/>
      <c r="B56" s="5" t="s">
        <v>109</v>
      </c>
      <c r="C56" s="5" t="s">
        <v>118</v>
      </c>
      <c r="D56" s="55" t="str">
        <f>VLOOKUP($B56,Letters!$C$81:$D$104,2,FALSE) &amp; VLOOKUP($C56,Letters!$C$81:$D$104,2,FALSE)</f>
        <v>DM</v>
      </c>
      <c r="E56" s="61" t="s">
        <v>2301</v>
      </c>
      <c r="F56" s="5" t="s">
        <v>2302</v>
      </c>
      <c r="G56" s="55">
        <f t="shared" si="5"/>
        <v>8</v>
      </c>
      <c r="H56" s="55">
        <f t="shared" si="6"/>
        <v>8</v>
      </c>
    </row>
    <row r="57" ht="13.5">
      <c r="A57" s="54"/>
      <c r="B57" s="5" t="s">
        <v>109</v>
      </c>
      <c r="C57" s="5" t="s">
        <v>119</v>
      </c>
      <c r="D57" s="55" t="str">
        <f>VLOOKUP($B57,Letters!$C$81:$D$104,2,FALSE) &amp; VLOOKUP($C57,Letters!$C$81:$D$104,2,FALSE)</f>
        <v>DN</v>
      </c>
      <c r="E57" s="61" t="s">
        <v>2303</v>
      </c>
      <c r="F57" s="5" t="s">
        <v>2304</v>
      </c>
      <c r="G57" s="55">
        <f t="shared" si="5"/>
        <v>8</v>
      </c>
      <c r="H57" s="55">
        <f t="shared" si="6"/>
        <v>8</v>
      </c>
    </row>
    <row r="58" ht="13.5">
      <c r="A58" s="54"/>
      <c r="B58" s="5" t="s">
        <v>109</v>
      </c>
      <c r="C58" s="5" t="s">
        <v>120</v>
      </c>
      <c r="D58" s="55" t="str">
        <f>VLOOKUP($B58,Letters!$C$81:$D$104,2,FALSE) &amp; VLOOKUP($C58,Letters!$C$81:$D$104,2,FALSE)</f>
        <v>DO</v>
      </c>
      <c r="E58" s="61" t="s">
        <v>2308</v>
      </c>
      <c r="F58" s="5" t="s">
        <v>2309</v>
      </c>
      <c r="G58" s="55">
        <f t="shared" si="5"/>
        <v>8</v>
      </c>
      <c r="H58" s="55">
        <f t="shared" si="6"/>
        <v>8</v>
      </c>
    </row>
    <row r="59" ht="13.5">
      <c r="A59" s="54"/>
      <c r="B59" s="5" t="s">
        <v>109</v>
      </c>
      <c r="C59" s="5" t="s">
        <v>121</v>
      </c>
      <c r="D59" s="55" t="str">
        <f>VLOOKUP($B59,Letters!$C$81:$D$104,2,FALSE) &amp; VLOOKUP($C59,Letters!$C$81:$D$104,2,FALSE)</f>
        <v>DP</v>
      </c>
      <c r="E59" s="61" t="s">
        <v>2311</v>
      </c>
      <c r="F59" s="5" t="s">
        <v>2312</v>
      </c>
      <c r="G59" s="55">
        <f t="shared" si="5"/>
        <v>8</v>
      </c>
      <c r="H59" s="55">
        <f t="shared" si="6"/>
        <v>8</v>
      </c>
    </row>
    <row r="60" ht="13.5">
      <c r="A60" s="54"/>
      <c r="B60" s="5" t="s">
        <v>109</v>
      </c>
      <c r="C60" s="5" t="s">
        <v>122</v>
      </c>
      <c r="D60" s="55" t="str">
        <f>VLOOKUP($B60,Letters!$C$81:$D$104,2,FALSE) &amp; VLOOKUP($C60,Letters!$C$81:$D$104,2,FALSE)</f>
        <v>DA</v>
      </c>
      <c r="E60" s="61" t="s">
        <v>2317</v>
      </c>
      <c r="F60" s="5" t="s">
        <v>2318</v>
      </c>
      <c r="G60" s="55">
        <f t="shared" si="5"/>
        <v>8</v>
      </c>
      <c r="H60" s="55">
        <f t="shared" si="6"/>
        <v>10</v>
      </c>
    </row>
    <row r="61" ht="13.5">
      <c r="A61" s="54"/>
      <c r="B61" s="5" t="s">
        <v>109</v>
      </c>
      <c r="C61" s="5" t="s">
        <v>123</v>
      </c>
      <c r="D61" s="55" t="str">
        <f>VLOOKUP($B61,Letters!$C$81:$D$104,2,FALSE) &amp; VLOOKUP($C61,Letters!$C$81:$D$104,2,FALSE)</f>
        <v>DR</v>
      </c>
      <c r="E61" s="61" t="s">
        <v>2321</v>
      </c>
      <c r="F61" s="5" t="s">
        <v>2322</v>
      </c>
      <c r="G61" s="55">
        <f t="shared" si="5"/>
        <v>9</v>
      </c>
      <c r="H61" s="55">
        <f t="shared" si="6"/>
        <v>12</v>
      </c>
    </row>
    <row r="62" ht="13.5">
      <c r="A62" s="54"/>
      <c r="B62" s="5" t="s">
        <v>109</v>
      </c>
      <c r="C62" s="5" t="s">
        <v>124</v>
      </c>
      <c r="D62" s="55" t="str">
        <f>VLOOKUP($B62,Letters!$C$81:$D$104,2,FALSE) &amp; VLOOKUP($C62,Letters!$C$81:$D$104,2,FALSE)</f>
        <v>DS</v>
      </c>
      <c r="E62" s="61" t="s">
        <v>2326</v>
      </c>
      <c r="F62" s="5" t="s">
        <v>2327</v>
      </c>
      <c r="G62" s="55">
        <f t="shared" si="5"/>
        <v>9</v>
      </c>
      <c r="H62" s="55">
        <f t="shared" si="6"/>
        <v>12</v>
      </c>
    </row>
    <row r="63" ht="13.5">
      <c r="A63" s="60"/>
      <c r="B63" s="5" t="s">
        <v>109</v>
      </c>
      <c r="C63" s="5" t="s">
        <v>125</v>
      </c>
      <c r="D63" s="55" t="str">
        <f>VLOOKUP($B63,Letters!$C$81:$D$104,2,FALSE) &amp; VLOOKUP($C63,Letters!$C$81:$D$104,2,FALSE)</f>
        <v>DT</v>
      </c>
      <c r="E63" s="61" t="s">
        <v>2330</v>
      </c>
      <c r="F63" s="5" t="s">
        <v>2331</v>
      </c>
      <c r="G63" s="55">
        <f t="shared" si="5"/>
        <v>8</v>
      </c>
      <c r="H63" s="55">
        <f t="shared" si="6"/>
        <v>10</v>
      </c>
    </row>
    <row r="64" ht="13.5">
      <c r="A64" s="54"/>
      <c r="B64" s="5" t="s">
        <v>109</v>
      </c>
      <c r="C64" s="5" t="s">
        <v>126</v>
      </c>
      <c r="D64" s="55" t="str">
        <f>VLOOKUP($B64,Letters!$C$81:$D$104,2,FALSE) &amp; VLOOKUP($C64,Letters!$C$81:$D$104,2,FALSE)</f>
        <v>DU</v>
      </c>
      <c r="E64" s="61" t="s">
        <v>2336</v>
      </c>
      <c r="F64" s="67" t="s">
        <v>2337</v>
      </c>
      <c r="G64" s="55">
        <f t="shared" si="5"/>
        <v>12</v>
      </c>
      <c r="H64" s="55">
        <f t="shared" si="6"/>
        <v>14</v>
      </c>
    </row>
    <row r="65" ht="13.5">
      <c r="A65" s="54"/>
      <c r="B65" s="5" t="s">
        <v>109</v>
      </c>
      <c r="C65" s="5" t="s">
        <v>127</v>
      </c>
      <c r="D65" s="55" t="str">
        <f>VLOOKUP($B65,Letters!$C$81:$D$104,2,FALSE) &amp; VLOOKUP($C65,Letters!$C$81:$D$104,2,FALSE)</f>
        <v>DV</v>
      </c>
      <c r="E65" s="61" t="s">
        <v>2342</v>
      </c>
      <c r="F65" s="5" t="s">
        <v>2343</v>
      </c>
      <c r="G65" s="55">
        <f t="shared" si="5"/>
        <v>12</v>
      </c>
      <c r="H65" s="55">
        <f t="shared" si="6"/>
        <v>14</v>
      </c>
    </row>
    <row r="66" ht="13.5">
      <c r="A66" s="54"/>
      <c r="B66" s="5" t="s">
        <v>109</v>
      </c>
      <c r="C66" s="5" t="s">
        <v>128</v>
      </c>
      <c r="D66" s="55" t="str">
        <f>VLOOKUP($B66,Letters!$C$81:$D$104,2,FALSE) &amp; VLOOKUP($C66,Letters!$C$81:$D$104,2,FALSE)</f>
        <v>DW</v>
      </c>
      <c r="E66" s="61" t="s">
        <v>2348</v>
      </c>
      <c r="F66" s="5" t="s">
        <v>2349</v>
      </c>
      <c r="G66" s="55">
        <f t="shared" si="5"/>
        <v>12</v>
      </c>
      <c r="H66" s="55">
        <f t="shared" si="6"/>
        <v>14</v>
      </c>
    </row>
    <row r="67" ht="13.5">
      <c r="A67" s="54"/>
      <c r="B67" s="5" t="s">
        <v>109</v>
      </c>
      <c r="C67" s="5" t="s">
        <v>129</v>
      </c>
      <c r="D67" s="55" t="str">
        <f>VLOOKUP($B67,Letters!$C$81:$D$104,2,FALSE) &amp; VLOOKUP($C67,Letters!$C$81:$D$104,2,FALSE)</f>
        <v>DX</v>
      </c>
      <c r="E67" s="61" t="s">
        <v>2350</v>
      </c>
      <c r="F67" s="5" t="s">
        <v>2351</v>
      </c>
      <c r="G67" s="55">
        <f t="shared" si="5"/>
        <v>12</v>
      </c>
      <c r="H67" s="55">
        <f t="shared" si="6"/>
        <v>14</v>
      </c>
    </row>
    <row r="68">
      <c r="A68" s="54"/>
      <c r="B68" s="5"/>
      <c r="C68" s="5"/>
      <c r="D68" s="55"/>
      <c r="E68" s="5"/>
      <c r="F68" s="5"/>
    </row>
    <row r="69" ht="13.5">
      <c r="A69" s="54"/>
      <c r="B69" s="5" t="s">
        <v>110</v>
      </c>
      <c r="C69" s="5" t="s">
        <v>107</v>
      </c>
      <c r="D69" s="55" t="str">
        <f>VLOOKUP($B69,Letters!$C$81:$D$104,2,FALSE) &amp; VLOOKUP($C69,Letters!$C$81:$D$104,2,FALSE)</f>
        <v>EB</v>
      </c>
      <c r="E69" s="61" t="s">
        <v>2358</v>
      </c>
      <c r="F69" s="5" t="s">
        <v>2359</v>
      </c>
      <c r="G69" s="55">
        <f t="shared" ref="G69:G87" si="7">(len($F69)-len(SUBSTITUTE($F69,"R","")))+(len($F69)-len(SUBSTITUTE($F69,"L","")))+(len($F69)-len(SUBSTITUTE($F69,"U","")))+(len($F69)-len(SUBSTITUTE($F69,"D","")))+(len($F69)-len(SUBSTITUTE($F69,"F","")))+(len($F69)-len(SUBSTITUTE($F69,"B","")))+(len($F69)-len(SUBSTITUTE($F69,"r","")))+(len($F69)-len(SUBSTITUTE($F69,"l","")))+(len($F69)-len(SUBSTITUTE($F69,"u","")))+(len($F69)-len(SUBSTITUTE($F69,"d","")))</f>
        <v>8</v>
      </c>
      <c r="H69" s="55">
        <f t="shared" ref="H69:H87" si="8">(len($F69)-len(SUBSTITUTE($F69,"R","")))+(len($F69)-len(SUBSTITUTE($F69,"L","")))+(len($F69)-len(SUBSTITUTE($F69,"U","")))+(len($F69)-len(SUBSTITUTE($F69,"D","")))+(len($F69)-len(SUBSTITUTE($F69,"F","")))+(len($F69)-len(SUBSTITUTE($F69,"B","")))+(len($F69)-len(SUBSTITUTE($F69,"r","")))+(len($F69)-len(SUBSTITUTE($F69,"l","")))+(len($F69)-len(SUBSTITUTE($F69,"u","")))+(len($F69)-len(SUBSTITUTE($F69,"d","")))+(len($F69)-len(SUBSTITUTE($F69,"2","")))</f>
        <v>8</v>
      </c>
    </row>
    <row r="70" ht="13.5">
      <c r="A70" s="54"/>
      <c r="B70" s="5" t="s">
        <v>110</v>
      </c>
      <c r="C70" s="5" t="s">
        <v>108</v>
      </c>
      <c r="D70" s="55" t="str">
        <f>VLOOKUP($B70,Letters!$C$81:$D$104,2,FALSE) &amp; VLOOKUP($C70,Letters!$C$81:$D$104,2,FALSE)</f>
        <v>EC</v>
      </c>
      <c r="E70" s="61" t="s">
        <v>2366</v>
      </c>
      <c r="F70" s="5" t="s">
        <v>2367</v>
      </c>
      <c r="G70" s="55">
        <f t="shared" si="7"/>
        <v>8</v>
      </c>
      <c r="H70" s="55">
        <f t="shared" si="8"/>
        <v>10</v>
      </c>
    </row>
    <row r="71" ht="13.5">
      <c r="A71" s="60"/>
      <c r="B71" s="5" t="s">
        <v>110</v>
      </c>
      <c r="C71" s="5" t="s">
        <v>109</v>
      </c>
      <c r="D71" s="55" t="str">
        <f>VLOOKUP($B71,Letters!$C$81:$D$104,2,FALSE) &amp; VLOOKUP($C71,Letters!$C$81:$D$104,2,FALSE)</f>
        <v>ED</v>
      </c>
      <c r="E71" s="61" t="s">
        <v>2065</v>
      </c>
      <c r="F71" s="5" t="s">
        <v>2066</v>
      </c>
      <c r="G71" s="55">
        <f t="shared" si="7"/>
        <v>8</v>
      </c>
      <c r="H71" s="55">
        <f t="shared" si="8"/>
        <v>8</v>
      </c>
    </row>
    <row r="72" ht="13.5">
      <c r="A72" s="54"/>
      <c r="B72" s="5" t="s">
        <v>110</v>
      </c>
      <c r="C72" s="5" t="s">
        <v>114</v>
      </c>
      <c r="D72" s="55" t="str">
        <f>VLOOKUP($B72,Letters!$C$81:$D$104,2,FALSE) &amp; VLOOKUP($C72,Letters!$C$81:$D$104,2,FALSE)</f>
        <v>EI</v>
      </c>
      <c r="E72" s="61" t="s">
        <v>2374</v>
      </c>
      <c r="F72" s="5" t="s">
        <v>2375</v>
      </c>
      <c r="G72" s="55">
        <f t="shared" si="7"/>
        <v>10</v>
      </c>
      <c r="H72" s="55">
        <f t="shared" si="8"/>
        <v>11</v>
      </c>
    </row>
    <row r="73" ht="13.5">
      <c r="A73" s="54"/>
      <c r="B73" s="5" t="s">
        <v>110</v>
      </c>
      <c r="C73" s="5" t="s">
        <v>115</v>
      </c>
      <c r="D73" s="55" t="str">
        <f>VLOOKUP($B73,Letters!$C$81:$D$104,2,FALSE) &amp; VLOOKUP($C73,Letters!$C$81:$D$104,2,FALSE)</f>
        <v>EJ</v>
      </c>
      <c r="E73" s="61" t="s">
        <v>2378</v>
      </c>
      <c r="F73" s="5" t="s">
        <v>2379</v>
      </c>
      <c r="G73" s="55">
        <f t="shared" si="7"/>
        <v>10</v>
      </c>
      <c r="H73" s="55">
        <f t="shared" si="8"/>
        <v>10</v>
      </c>
    </row>
    <row r="74" ht="13.5">
      <c r="A74" s="60"/>
      <c r="B74" s="5" t="s">
        <v>110</v>
      </c>
      <c r="C74" s="5" t="s">
        <v>116</v>
      </c>
      <c r="D74" s="55" t="str">
        <f>VLOOKUP($B74,Letters!$C$81:$D$104,2,FALSE) &amp; VLOOKUP($C74,Letters!$C$81:$D$104,2,FALSE)</f>
        <v>EK</v>
      </c>
      <c r="E74" s="61" t="s">
        <v>2384</v>
      </c>
      <c r="F74" s="5" t="s">
        <v>2385</v>
      </c>
      <c r="G74" s="55">
        <f t="shared" si="7"/>
        <v>9</v>
      </c>
      <c r="H74" s="55">
        <f t="shared" si="8"/>
        <v>12</v>
      </c>
    </row>
    <row r="75" ht="13.5">
      <c r="A75" s="54"/>
      <c r="B75" s="5" t="s">
        <v>110</v>
      </c>
      <c r="C75" s="5" t="s">
        <v>117</v>
      </c>
      <c r="D75" s="55" t="str">
        <f>VLOOKUP($B75,Letters!$C$81:$D$104,2,FALSE) &amp; VLOOKUP($C75,Letters!$C$81:$D$104,2,FALSE)</f>
        <v>EL</v>
      </c>
      <c r="E75" s="61" t="s">
        <v>2390</v>
      </c>
      <c r="F75" s="5" t="s">
        <v>2391</v>
      </c>
      <c r="G75" s="55">
        <f t="shared" si="7"/>
        <v>11</v>
      </c>
      <c r="H75" s="55">
        <f t="shared" si="8"/>
        <v>13</v>
      </c>
    </row>
    <row r="76" ht="13.5">
      <c r="A76" s="54"/>
      <c r="B76" s="5" t="s">
        <v>110</v>
      </c>
      <c r="C76" s="5" t="s">
        <v>118</v>
      </c>
      <c r="D76" s="55" t="str">
        <f>VLOOKUP($B76,Letters!$C$81:$D$104,2,FALSE) &amp; VLOOKUP($C76,Letters!$C$81:$D$104,2,FALSE)</f>
        <v>EM</v>
      </c>
      <c r="E76" s="61" t="s">
        <v>2396</v>
      </c>
      <c r="F76" s="5" t="s">
        <v>2397</v>
      </c>
      <c r="G76" s="55">
        <f t="shared" si="7"/>
        <v>9</v>
      </c>
      <c r="H76" s="55">
        <f t="shared" si="8"/>
        <v>12</v>
      </c>
    </row>
    <row r="77" ht="13.5">
      <c r="A77" s="54"/>
      <c r="B77" s="5" t="s">
        <v>110</v>
      </c>
      <c r="C77" s="5" t="s">
        <v>119</v>
      </c>
      <c r="D77" s="55" t="str">
        <f>VLOOKUP($B77,Letters!$C$81:$D$104,2,FALSE) &amp; VLOOKUP($C77,Letters!$C$81:$D$104,2,FALSE)</f>
        <v>EN</v>
      </c>
      <c r="E77" s="61" t="s">
        <v>2402</v>
      </c>
      <c r="F77" s="5" t="s">
        <v>2403</v>
      </c>
      <c r="G77" s="55">
        <f t="shared" si="7"/>
        <v>11</v>
      </c>
      <c r="H77" s="55">
        <f t="shared" si="8"/>
        <v>14</v>
      </c>
    </row>
    <row r="78" ht="13.5">
      <c r="A78" s="54"/>
      <c r="B78" s="5" t="s">
        <v>110</v>
      </c>
      <c r="C78" s="5" t="s">
        <v>120</v>
      </c>
      <c r="D78" s="55" t="str">
        <f>VLOOKUP($B78,Letters!$C$81:$D$104,2,FALSE) &amp; VLOOKUP($C78,Letters!$C$81:$D$104,2,FALSE)</f>
        <v>EO</v>
      </c>
      <c r="E78" s="61" t="s">
        <v>2406</v>
      </c>
      <c r="F78" s="5" t="s">
        <v>2407</v>
      </c>
      <c r="G78" s="55">
        <f t="shared" si="7"/>
        <v>11</v>
      </c>
      <c r="H78" s="55">
        <f t="shared" si="8"/>
        <v>16</v>
      </c>
    </row>
    <row r="79" ht="13.5">
      <c r="A79" s="54"/>
      <c r="B79" s="5" t="s">
        <v>110</v>
      </c>
      <c r="C79" s="5" t="s">
        <v>121</v>
      </c>
      <c r="D79" s="55" t="str">
        <f>VLOOKUP($B79,Letters!$C$81:$D$104,2,FALSE) &amp; VLOOKUP($C79,Letters!$C$81:$D$104,2,FALSE)</f>
        <v>EP</v>
      </c>
      <c r="E79" s="61" t="s">
        <v>2409</v>
      </c>
      <c r="F79" s="5" t="s">
        <v>2411</v>
      </c>
      <c r="G79" s="55">
        <f t="shared" si="7"/>
        <v>11</v>
      </c>
      <c r="H79" s="55">
        <f t="shared" si="8"/>
        <v>14</v>
      </c>
    </row>
    <row r="80" ht="13.5">
      <c r="A80" s="54"/>
      <c r="B80" s="5" t="s">
        <v>110</v>
      </c>
      <c r="C80" s="5" t="s">
        <v>122</v>
      </c>
      <c r="D80" s="55" t="str">
        <f>VLOOKUP($B80,Letters!$C$81:$D$104,2,FALSE) &amp; VLOOKUP($C80,Letters!$C$81:$D$104,2,FALSE)</f>
        <v>EA</v>
      </c>
      <c r="E80" s="61" t="s">
        <v>2414</v>
      </c>
      <c r="F80" s="5" t="s">
        <v>2415</v>
      </c>
      <c r="G80" s="55">
        <f t="shared" si="7"/>
        <v>8</v>
      </c>
      <c r="H80" s="55">
        <f t="shared" si="8"/>
        <v>10</v>
      </c>
    </row>
    <row r="81" ht="13.5">
      <c r="A81" s="54"/>
      <c r="B81" s="5" t="s">
        <v>110</v>
      </c>
      <c r="C81" s="5" t="s">
        <v>123</v>
      </c>
      <c r="D81" s="55" t="str">
        <f>VLOOKUP($B81,Letters!$C$81:$D$104,2,FALSE) &amp; VLOOKUP($C81,Letters!$C$81:$D$104,2,FALSE)</f>
        <v>ER</v>
      </c>
      <c r="E81" s="61" t="s">
        <v>2418</v>
      </c>
      <c r="F81" s="5" t="s">
        <v>2420</v>
      </c>
      <c r="G81" s="55">
        <f t="shared" si="7"/>
        <v>11</v>
      </c>
      <c r="H81" s="55">
        <f t="shared" si="8"/>
        <v>13</v>
      </c>
    </row>
    <row r="82" ht="13.5">
      <c r="A82" s="60"/>
      <c r="B82" s="5" t="s">
        <v>110</v>
      </c>
      <c r="C82" s="5" t="s">
        <v>124</v>
      </c>
      <c r="D82" s="55" t="str">
        <f>VLOOKUP($B82,Letters!$C$81:$D$104,2,FALSE) &amp; VLOOKUP($C82,Letters!$C$81:$D$104,2,FALSE)</f>
        <v>ES</v>
      </c>
      <c r="E82" s="61" t="s">
        <v>2424</v>
      </c>
      <c r="F82" s="5" t="s">
        <v>2425</v>
      </c>
      <c r="G82" s="55">
        <f t="shared" si="7"/>
        <v>8</v>
      </c>
      <c r="H82" s="55">
        <f t="shared" si="8"/>
        <v>10</v>
      </c>
    </row>
    <row r="83" ht="13.5">
      <c r="A83" s="60"/>
      <c r="B83" s="5" t="s">
        <v>110</v>
      </c>
      <c r="C83" s="5" t="s">
        <v>125</v>
      </c>
      <c r="D83" s="55" t="str">
        <f>VLOOKUP($B83,Letters!$C$81:$D$104,2,FALSE) &amp; VLOOKUP($C83,Letters!$C$81:$D$104,2,FALSE)</f>
        <v>ET</v>
      </c>
      <c r="E83" s="61" t="s">
        <v>2430</v>
      </c>
      <c r="F83" s="5" t="s">
        <v>2431</v>
      </c>
      <c r="G83" s="55">
        <f t="shared" si="7"/>
        <v>9</v>
      </c>
      <c r="H83" s="55">
        <f t="shared" si="8"/>
        <v>9</v>
      </c>
    </row>
    <row r="84" ht="13.5">
      <c r="A84" s="54"/>
      <c r="B84" s="5" t="s">
        <v>110</v>
      </c>
      <c r="C84" s="5" t="s">
        <v>126</v>
      </c>
      <c r="D84" s="55" t="str">
        <f>VLOOKUP($B84,Letters!$C$81:$D$104,2,FALSE) &amp; VLOOKUP($C84,Letters!$C$81:$D$104,2,FALSE)</f>
        <v>EU</v>
      </c>
      <c r="E84" s="61" t="s">
        <v>2432</v>
      </c>
      <c r="F84" s="5" t="s">
        <v>2433</v>
      </c>
      <c r="G84" s="55">
        <f t="shared" si="7"/>
        <v>11</v>
      </c>
      <c r="H84" s="55">
        <f t="shared" si="8"/>
        <v>12</v>
      </c>
    </row>
    <row r="85" ht="13.5">
      <c r="A85" s="54"/>
      <c r="B85" s="5" t="s">
        <v>110</v>
      </c>
      <c r="C85" s="5" t="s">
        <v>127</v>
      </c>
      <c r="D85" s="55" t="str">
        <f>VLOOKUP($B85,Letters!$C$81:$D$104,2,FALSE) &amp; VLOOKUP($C85,Letters!$C$81:$D$104,2,FALSE)</f>
        <v>EV</v>
      </c>
      <c r="E85" s="61" t="s">
        <v>2438</v>
      </c>
      <c r="F85" s="5" t="s">
        <v>2440</v>
      </c>
      <c r="G85" s="55">
        <f t="shared" si="7"/>
        <v>10</v>
      </c>
      <c r="H85" s="55">
        <f t="shared" si="8"/>
        <v>12</v>
      </c>
    </row>
    <row r="86" ht="13.5">
      <c r="A86" s="54"/>
      <c r="B86" s="5" t="s">
        <v>110</v>
      </c>
      <c r="C86" s="5" t="s">
        <v>128</v>
      </c>
      <c r="D86" s="55" t="str">
        <f>VLOOKUP($B86,Letters!$C$81:$D$104,2,FALSE) &amp; VLOOKUP($C86,Letters!$C$81:$D$104,2,FALSE)</f>
        <v>EW</v>
      </c>
      <c r="E86" s="61" t="s">
        <v>2446</v>
      </c>
      <c r="F86" s="5" t="s">
        <v>2447</v>
      </c>
      <c r="G86" s="55">
        <f t="shared" si="7"/>
        <v>9</v>
      </c>
      <c r="H86" s="55">
        <f t="shared" si="8"/>
        <v>12</v>
      </c>
    </row>
    <row r="87" ht="13.5">
      <c r="A87" s="54"/>
      <c r="B87" s="5" t="s">
        <v>110</v>
      </c>
      <c r="C87" s="5" t="s">
        <v>129</v>
      </c>
      <c r="D87" s="55" t="str">
        <f>VLOOKUP($B87,Letters!$C$81:$D$104,2,FALSE) &amp; VLOOKUP($C87,Letters!$C$81:$D$104,2,FALSE)</f>
        <v>EX</v>
      </c>
      <c r="E87" s="61" t="s">
        <v>2452</v>
      </c>
      <c r="F87" s="5" t="s">
        <v>2453</v>
      </c>
      <c r="G87" s="55">
        <f t="shared" si="7"/>
        <v>11</v>
      </c>
      <c r="H87" s="55">
        <f t="shared" si="8"/>
        <v>14</v>
      </c>
    </row>
    <row r="88">
      <c r="A88" s="54"/>
      <c r="B88" s="5"/>
      <c r="C88" s="5"/>
      <c r="D88" s="55"/>
      <c r="E88" s="5"/>
      <c r="F88" s="5"/>
      <c r="G88" s="55"/>
      <c r="H88" s="55"/>
    </row>
    <row r="89" ht="13.5">
      <c r="A89" s="60"/>
      <c r="B89" s="5" t="s">
        <v>111</v>
      </c>
      <c r="C89" s="5" t="s">
        <v>107</v>
      </c>
      <c r="D89" s="55" t="str">
        <f>VLOOKUP($B89,Letters!$C$81:$D$104,2,FALSE) &amp; VLOOKUP($C89,Letters!$C$81:$D$104,2,FALSE)</f>
        <v>FB</v>
      </c>
      <c r="E89" s="61" t="s">
        <v>2257</v>
      </c>
      <c r="F89" s="5" t="s">
        <v>2258</v>
      </c>
      <c r="G89" s="55">
        <f t="shared" ref="G89:G107" si="9">(len($F89)-len(SUBSTITUTE($F89,"R","")))+(len($F89)-len(SUBSTITUTE($F89,"L","")))+(len($F89)-len(SUBSTITUTE($F89,"U","")))+(len($F89)-len(SUBSTITUTE($F89,"D","")))+(len($F89)-len(SUBSTITUTE($F89,"F","")))+(len($F89)-len(SUBSTITUTE($F89,"B","")))+(len($F89)-len(SUBSTITUTE($F89,"r","")))+(len($F89)-len(SUBSTITUTE($F89,"l","")))+(len($F89)-len(SUBSTITUTE($F89,"u","")))+(len($F89)-len(SUBSTITUTE($F89,"d","")))</f>
        <v>8</v>
      </c>
      <c r="H89" s="55">
        <f t="shared" ref="H89:H107" si="10">(len($F89)-len(SUBSTITUTE($F89,"R","")))+(len($F89)-len(SUBSTITUTE($F89,"L","")))+(len($F89)-len(SUBSTITUTE($F89,"U","")))+(len($F89)-len(SUBSTITUTE($F89,"D","")))+(len($F89)-len(SUBSTITUTE($F89,"F","")))+(len($F89)-len(SUBSTITUTE($F89,"B","")))+(len($F89)-len(SUBSTITUTE($F89,"r","")))+(len($F89)-len(SUBSTITUTE($F89,"l","")))+(len($F89)-len(SUBSTITUTE($F89,"u","")))+(len($F89)-len(SUBSTITUTE($F89,"d","")))+(len($F89)-len(SUBSTITUTE($F89,"2","")))</f>
        <v>8</v>
      </c>
    </row>
    <row r="90" ht="13.5">
      <c r="A90" s="54"/>
      <c r="B90" s="5" t="s">
        <v>111</v>
      </c>
      <c r="C90" s="5" t="s">
        <v>108</v>
      </c>
      <c r="D90" s="55" t="str">
        <f>VLOOKUP($B90,Letters!$C$81:$D$104,2,FALSE) &amp; VLOOKUP($C90,Letters!$C$81:$D$104,2,FALSE)</f>
        <v>FC</v>
      </c>
      <c r="E90" s="61" t="s">
        <v>2472</v>
      </c>
      <c r="F90" s="5" t="s">
        <v>2473</v>
      </c>
      <c r="G90" s="55">
        <f t="shared" si="9"/>
        <v>9</v>
      </c>
      <c r="H90" s="55">
        <f t="shared" si="10"/>
        <v>10</v>
      </c>
    </row>
    <row r="91" ht="13.5">
      <c r="A91" s="60"/>
      <c r="B91" s="5" t="s">
        <v>111</v>
      </c>
      <c r="C91" s="5" t="s">
        <v>109</v>
      </c>
      <c r="D91" s="55" t="str">
        <f>VLOOKUP($B91,Letters!$C$81:$D$104,2,FALSE) &amp; VLOOKUP($C91,Letters!$C$81:$D$104,2,FALSE)</f>
        <v>FD</v>
      </c>
      <c r="E91" s="61" t="s">
        <v>2480</v>
      </c>
      <c r="F91" s="5" t="s">
        <v>2481</v>
      </c>
      <c r="G91" s="55">
        <f t="shared" si="9"/>
        <v>8</v>
      </c>
      <c r="H91" s="55">
        <f t="shared" si="10"/>
        <v>8</v>
      </c>
    </row>
    <row r="92" ht="13.5">
      <c r="A92" s="54"/>
      <c r="B92" s="5" t="s">
        <v>111</v>
      </c>
      <c r="C92" s="5" t="s">
        <v>114</v>
      </c>
      <c r="D92" s="55" t="str">
        <f>VLOOKUP($B92,Letters!$C$81:$D$104,2,FALSE) &amp; VLOOKUP($C92,Letters!$C$81:$D$104,2,FALSE)</f>
        <v>FI</v>
      </c>
      <c r="E92" s="61" t="s">
        <v>2486</v>
      </c>
      <c r="F92" s="5" t="s">
        <v>2487</v>
      </c>
      <c r="G92" s="55">
        <f t="shared" si="9"/>
        <v>10</v>
      </c>
      <c r="H92" s="55">
        <f t="shared" si="10"/>
        <v>10</v>
      </c>
    </row>
    <row r="93" ht="13.5">
      <c r="A93" s="54"/>
      <c r="B93" s="5" t="s">
        <v>111</v>
      </c>
      <c r="C93" s="5" t="s">
        <v>115</v>
      </c>
      <c r="D93" s="55" t="str">
        <f>VLOOKUP($B93,Letters!$C$81:$D$104,2,FALSE) &amp; VLOOKUP($C93,Letters!$C$81:$D$104,2,FALSE)</f>
        <v>FJ</v>
      </c>
      <c r="E93" s="61" t="s">
        <v>2492</v>
      </c>
      <c r="F93" s="5" t="s">
        <v>2493</v>
      </c>
      <c r="G93" s="55">
        <f t="shared" si="9"/>
        <v>8</v>
      </c>
      <c r="H93" s="55">
        <f t="shared" si="10"/>
        <v>8</v>
      </c>
    </row>
    <row r="94" ht="13.5">
      <c r="A94" s="60"/>
      <c r="B94" s="5" t="s">
        <v>111</v>
      </c>
      <c r="C94" s="5" t="s">
        <v>116</v>
      </c>
      <c r="D94" s="55" t="str">
        <f>VLOOKUP($B94,Letters!$C$81:$D$104,2,FALSE) &amp; VLOOKUP($C94,Letters!$C$81:$D$104,2,FALSE)</f>
        <v>FK</v>
      </c>
      <c r="E94" s="61" t="s">
        <v>2496</v>
      </c>
      <c r="F94" s="5" t="s">
        <v>2497</v>
      </c>
      <c r="G94" s="55">
        <f t="shared" si="9"/>
        <v>10</v>
      </c>
      <c r="H94" s="55">
        <f t="shared" si="10"/>
        <v>10</v>
      </c>
    </row>
    <row r="95" ht="13.5">
      <c r="A95" s="60"/>
      <c r="B95" s="5" t="s">
        <v>111</v>
      </c>
      <c r="C95" s="5" t="s">
        <v>117</v>
      </c>
      <c r="D95" s="55" t="str">
        <f>VLOOKUP($B95,Letters!$C$81:$D$104,2,FALSE) &amp; VLOOKUP($C95,Letters!$C$81:$D$104,2,FALSE)</f>
        <v>FL</v>
      </c>
      <c r="E95" s="61" t="s">
        <v>2502</v>
      </c>
      <c r="F95" s="5" t="s">
        <v>2503</v>
      </c>
      <c r="G95" s="55">
        <f t="shared" si="9"/>
        <v>10</v>
      </c>
      <c r="H95" s="55">
        <f t="shared" si="10"/>
        <v>12</v>
      </c>
    </row>
    <row r="96" ht="13.5">
      <c r="A96" s="54"/>
      <c r="B96" s="5" t="s">
        <v>111</v>
      </c>
      <c r="C96" s="5" t="s">
        <v>118</v>
      </c>
      <c r="D96" s="55" t="str">
        <f>VLOOKUP($B96,Letters!$C$81:$D$104,2,FALSE) &amp; VLOOKUP($C96,Letters!$C$81:$D$104,2,FALSE)</f>
        <v>FM</v>
      </c>
      <c r="E96" s="61" t="s">
        <v>2508</v>
      </c>
      <c r="F96" s="5" t="s">
        <v>2509</v>
      </c>
      <c r="G96" s="55">
        <f t="shared" si="9"/>
        <v>11</v>
      </c>
      <c r="H96" s="55">
        <f t="shared" si="10"/>
        <v>12</v>
      </c>
    </row>
    <row r="97" ht="13.5">
      <c r="A97" s="54"/>
      <c r="B97" s="5" t="s">
        <v>111</v>
      </c>
      <c r="C97" s="5" t="s">
        <v>119</v>
      </c>
      <c r="D97" s="55" t="str">
        <f>VLOOKUP($B97,Letters!$C$81:$D$104,2,FALSE) &amp; VLOOKUP($C97,Letters!$C$81:$D$104,2,FALSE)</f>
        <v>FN</v>
      </c>
      <c r="E97" s="61" t="s">
        <v>2514</v>
      </c>
      <c r="F97" s="5" t="s">
        <v>2515</v>
      </c>
      <c r="G97" s="55">
        <f t="shared" si="9"/>
        <v>9</v>
      </c>
      <c r="H97" s="55">
        <f t="shared" si="10"/>
        <v>10</v>
      </c>
    </row>
    <row r="98" ht="13.5">
      <c r="A98" s="54"/>
      <c r="B98" s="5" t="s">
        <v>111</v>
      </c>
      <c r="C98" s="5" t="s">
        <v>120</v>
      </c>
      <c r="D98" s="55" t="str">
        <f>VLOOKUP($B98,Letters!$C$81:$D$104,2,FALSE) &amp; VLOOKUP($C98,Letters!$C$81:$D$104,2,FALSE)</f>
        <v>FO</v>
      </c>
      <c r="E98" s="61" t="s">
        <v>2518</v>
      </c>
      <c r="F98" s="5" t="s">
        <v>2519</v>
      </c>
      <c r="G98" s="55">
        <f t="shared" si="9"/>
        <v>11</v>
      </c>
      <c r="H98" s="55">
        <f t="shared" si="10"/>
        <v>12</v>
      </c>
    </row>
    <row r="99" ht="13.5">
      <c r="A99" s="54"/>
      <c r="B99" s="5" t="s">
        <v>111</v>
      </c>
      <c r="C99" s="5" t="s">
        <v>121</v>
      </c>
      <c r="D99" s="55" t="str">
        <f>VLOOKUP($B99,Letters!$C$81:$D$104,2,FALSE) &amp; VLOOKUP($C99,Letters!$C$81:$D$104,2,FALSE)</f>
        <v>FP</v>
      </c>
      <c r="E99" s="61" t="s">
        <v>2522</v>
      </c>
      <c r="F99" s="5" t="s">
        <v>2523</v>
      </c>
      <c r="G99" s="55">
        <f t="shared" si="9"/>
        <v>11</v>
      </c>
      <c r="H99" s="55">
        <f t="shared" si="10"/>
        <v>14</v>
      </c>
    </row>
    <row r="100" ht="13.5">
      <c r="A100" s="54"/>
      <c r="B100" s="5" t="s">
        <v>111</v>
      </c>
      <c r="C100" s="5" t="s">
        <v>122</v>
      </c>
      <c r="D100" s="55" t="str">
        <f>VLOOKUP($B100,Letters!$C$81:$D$104,2,FALSE) &amp; VLOOKUP($C100,Letters!$C$81:$D$104,2,FALSE)</f>
        <v>FA</v>
      </c>
      <c r="E100" s="61" t="s">
        <v>2526</v>
      </c>
      <c r="F100" s="5" t="s">
        <v>2527</v>
      </c>
      <c r="G100" s="55">
        <f t="shared" si="9"/>
        <v>10</v>
      </c>
      <c r="H100" s="55">
        <f t="shared" si="10"/>
        <v>12</v>
      </c>
    </row>
    <row r="101" ht="13.5">
      <c r="A101" s="60"/>
      <c r="B101" s="5" t="s">
        <v>111</v>
      </c>
      <c r="C101" s="5" t="s">
        <v>123</v>
      </c>
      <c r="D101" s="55" t="str">
        <f>VLOOKUP($B101,Letters!$C$81:$D$104,2,FALSE) &amp; VLOOKUP($C101,Letters!$C$81:$D$104,2,FALSE)</f>
        <v>FR</v>
      </c>
      <c r="E101" s="61" t="s">
        <v>2530</v>
      </c>
      <c r="F101" s="5" t="s">
        <v>2531</v>
      </c>
      <c r="G101" s="55">
        <f t="shared" si="9"/>
        <v>9</v>
      </c>
      <c r="H101" s="55">
        <f t="shared" si="10"/>
        <v>10</v>
      </c>
    </row>
    <row r="102" ht="13.5">
      <c r="A102" s="54"/>
      <c r="B102" s="5" t="s">
        <v>111</v>
      </c>
      <c r="C102" s="5" t="s">
        <v>124</v>
      </c>
      <c r="D102" s="55" t="str">
        <f>VLOOKUP($B102,Letters!$C$81:$D$104,2,FALSE) &amp; VLOOKUP($C102,Letters!$C$81:$D$104,2,FALSE)</f>
        <v>FS</v>
      </c>
      <c r="E102" s="61" t="s">
        <v>2536</v>
      </c>
      <c r="F102" s="5" t="s">
        <v>2537</v>
      </c>
      <c r="G102" s="55">
        <f t="shared" si="9"/>
        <v>8</v>
      </c>
      <c r="H102" s="55">
        <f t="shared" si="10"/>
        <v>8</v>
      </c>
    </row>
    <row r="103" ht="13.5">
      <c r="A103" s="54"/>
      <c r="B103" s="5" t="s">
        <v>111</v>
      </c>
      <c r="C103" s="5" t="s">
        <v>125</v>
      </c>
      <c r="D103" s="55" t="str">
        <f>VLOOKUP($B103,Letters!$C$81:$D$104,2,FALSE) &amp; VLOOKUP($C103,Letters!$C$81:$D$104,2,FALSE)</f>
        <v>FT</v>
      </c>
      <c r="E103" s="61" t="s">
        <v>2540</v>
      </c>
      <c r="F103" s="5" t="s">
        <v>2541</v>
      </c>
      <c r="G103" s="55">
        <f t="shared" si="9"/>
        <v>9</v>
      </c>
      <c r="H103" s="55">
        <f t="shared" si="10"/>
        <v>10</v>
      </c>
    </row>
    <row r="104" ht="13.5">
      <c r="A104" s="54"/>
      <c r="B104" s="5" t="s">
        <v>111</v>
      </c>
      <c r="C104" s="5" t="s">
        <v>126</v>
      </c>
      <c r="D104" s="55" t="str">
        <f>VLOOKUP($B104,Letters!$C$81:$D$104,2,FALSE) &amp; VLOOKUP($C104,Letters!$C$81:$D$104,2,FALSE)</f>
        <v>FU</v>
      </c>
      <c r="E104" s="61" t="s">
        <v>2544</v>
      </c>
      <c r="F104" s="5" t="s">
        <v>2545</v>
      </c>
      <c r="G104" s="55">
        <f t="shared" si="9"/>
        <v>11</v>
      </c>
      <c r="H104" s="55">
        <f t="shared" si="10"/>
        <v>12</v>
      </c>
    </row>
    <row r="105" ht="13.5">
      <c r="A105" s="54"/>
      <c r="B105" s="5" t="s">
        <v>111</v>
      </c>
      <c r="C105" s="5" t="s">
        <v>127</v>
      </c>
      <c r="D105" s="55" t="str">
        <f>VLOOKUP($B105,Letters!$C$81:$D$104,2,FALSE) &amp; VLOOKUP($C105,Letters!$C$81:$D$104,2,FALSE)</f>
        <v>FV</v>
      </c>
      <c r="E105" s="61" t="s">
        <v>2550</v>
      </c>
      <c r="F105" s="5" t="s">
        <v>2551</v>
      </c>
      <c r="G105" s="55">
        <f t="shared" si="9"/>
        <v>9</v>
      </c>
      <c r="H105" s="55">
        <f t="shared" si="10"/>
        <v>10</v>
      </c>
    </row>
    <row r="106" ht="13.5">
      <c r="A106" s="54"/>
      <c r="B106" s="5" t="s">
        <v>111</v>
      </c>
      <c r="C106" s="5" t="s">
        <v>128</v>
      </c>
      <c r="D106" s="55" t="str">
        <f>VLOOKUP($B106,Letters!$C$81:$D$104,2,FALSE) &amp; VLOOKUP($C106,Letters!$C$81:$D$104,2,FALSE)</f>
        <v>FW</v>
      </c>
      <c r="E106" s="61" t="s">
        <v>2556</v>
      </c>
      <c r="F106" s="5" t="s">
        <v>2557</v>
      </c>
      <c r="G106" s="55">
        <f t="shared" si="9"/>
        <v>11</v>
      </c>
      <c r="H106" s="55">
        <f t="shared" si="10"/>
        <v>12</v>
      </c>
    </row>
    <row r="107" ht="13.5">
      <c r="A107" s="54"/>
      <c r="B107" s="5" t="s">
        <v>111</v>
      </c>
      <c r="C107" s="5" t="s">
        <v>129</v>
      </c>
      <c r="D107" s="55" t="str">
        <f>VLOOKUP($B107,Letters!$C$81:$D$104,2,FALSE) &amp; VLOOKUP($C107,Letters!$C$81:$D$104,2,FALSE)</f>
        <v>FX</v>
      </c>
      <c r="E107" s="61" t="s">
        <v>2564</v>
      </c>
      <c r="F107" s="5" t="s">
        <v>2565</v>
      </c>
      <c r="G107" s="55">
        <f t="shared" si="9"/>
        <v>11</v>
      </c>
      <c r="H107" s="55">
        <f t="shared" si="10"/>
        <v>14</v>
      </c>
    </row>
    <row r="108">
      <c r="A108" s="54"/>
      <c r="B108" s="5"/>
      <c r="C108" s="5"/>
      <c r="D108" s="55"/>
      <c r="E108" s="5"/>
      <c r="F108" s="5"/>
      <c r="G108" s="55"/>
      <c r="H108" s="55"/>
    </row>
    <row r="109" ht="13.5">
      <c r="A109" s="60"/>
      <c r="B109" s="5" t="s">
        <v>112</v>
      </c>
      <c r="C109" s="5" t="s">
        <v>107</v>
      </c>
      <c r="D109" s="55" t="str">
        <f>VLOOKUP($B109,Letters!$C$81:$D$104,2,FALSE) &amp; VLOOKUP($C109,Letters!$C$81:$D$104,2,FALSE)</f>
        <v>GB</v>
      </c>
      <c r="E109" s="61" t="s">
        <v>2568</v>
      </c>
      <c r="F109" s="5" t="s">
        <v>2569</v>
      </c>
      <c r="G109" s="55">
        <f t="shared" ref="G109:G127" si="11">(len($F109)-len(SUBSTITUTE($F109,"R","")))+(len($F109)-len(SUBSTITUTE($F109,"L","")))+(len($F109)-len(SUBSTITUTE($F109,"U","")))+(len($F109)-len(SUBSTITUTE($F109,"D","")))+(len($F109)-len(SUBSTITUTE($F109,"F","")))+(len($F109)-len(SUBSTITUTE($F109,"B","")))+(len($F109)-len(SUBSTITUTE($F109,"r","")))+(len($F109)-len(SUBSTITUTE($F109,"l","")))+(len($F109)-len(SUBSTITUTE($F109,"u","")))+(len($F109)-len(SUBSTITUTE($F109,"d","")))</f>
        <v>8</v>
      </c>
      <c r="H109" s="55">
        <f t="shared" ref="H109:H127" si="12">(len($F109)-len(SUBSTITUTE($F109,"R","")))+(len($F109)-len(SUBSTITUTE($F109,"L","")))+(len($F109)-len(SUBSTITUTE($F109,"U","")))+(len($F109)-len(SUBSTITUTE($F109,"D","")))+(len($F109)-len(SUBSTITUTE($F109,"F","")))+(len($F109)-len(SUBSTITUTE($F109,"B","")))+(len($F109)-len(SUBSTITUTE($F109,"r","")))+(len($F109)-len(SUBSTITUTE($F109,"l","")))+(len($F109)-len(SUBSTITUTE($F109,"u","")))+(len($F109)-len(SUBSTITUTE($F109,"d","")))+(len($F109)-len(SUBSTITUTE($F109,"2","")))</f>
        <v>8</v>
      </c>
    </row>
    <row r="110" ht="13.5">
      <c r="A110" s="54"/>
      <c r="B110" s="5" t="s">
        <v>112</v>
      </c>
      <c r="C110" s="5" t="s">
        <v>108</v>
      </c>
      <c r="D110" s="55" t="str">
        <f>VLOOKUP($B110,Letters!$C$81:$D$104,2,FALSE) &amp; VLOOKUP($C110,Letters!$C$81:$D$104,2,FALSE)</f>
        <v>GC</v>
      </c>
      <c r="E110" s="61" t="s">
        <v>2580</v>
      </c>
      <c r="F110" s="5" t="s">
        <v>2581</v>
      </c>
      <c r="G110" s="55">
        <f t="shared" si="11"/>
        <v>8</v>
      </c>
      <c r="H110" s="55">
        <f t="shared" si="12"/>
        <v>10</v>
      </c>
    </row>
    <row r="111" ht="13.5">
      <c r="A111" s="60"/>
      <c r="B111" s="5" t="s">
        <v>112</v>
      </c>
      <c r="C111" s="5" t="s">
        <v>109</v>
      </c>
      <c r="D111" s="55" t="str">
        <f>VLOOKUP($B111,Letters!$C$81:$D$104,2,FALSE) &amp; VLOOKUP($C111,Letters!$C$81:$D$104,2,FALSE)</f>
        <v>GD</v>
      </c>
      <c r="E111" s="61" t="s">
        <v>2073</v>
      </c>
      <c r="F111" s="5" t="s">
        <v>2074</v>
      </c>
      <c r="G111" s="55">
        <f t="shared" si="11"/>
        <v>8</v>
      </c>
      <c r="H111" s="55">
        <f t="shared" si="12"/>
        <v>8</v>
      </c>
    </row>
    <row r="112" ht="13.5">
      <c r="A112" s="54"/>
      <c r="B112" s="5" t="s">
        <v>112</v>
      </c>
      <c r="C112" s="5" t="s">
        <v>114</v>
      </c>
      <c r="D112" s="55" t="str">
        <f>VLOOKUP($B112,Letters!$C$81:$D$104,2,FALSE) &amp; VLOOKUP($C112,Letters!$C$81:$D$104,2,FALSE)</f>
        <v>GI</v>
      </c>
      <c r="E112" s="61" t="s">
        <v>2588</v>
      </c>
      <c r="F112" s="5" t="s">
        <v>2590</v>
      </c>
      <c r="G112" s="55">
        <f t="shared" si="11"/>
        <v>8</v>
      </c>
      <c r="H112" s="55">
        <f t="shared" si="12"/>
        <v>10</v>
      </c>
    </row>
    <row r="113" ht="13.5">
      <c r="A113" s="54"/>
      <c r="B113" s="5" t="s">
        <v>112</v>
      </c>
      <c r="C113" s="5" t="s">
        <v>115</v>
      </c>
      <c r="D113" s="55" t="str">
        <f>VLOOKUP($B113,Letters!$C$81:$D$104,2,FALSE) &amp; VLOOKUP($C113,Letters!$C$81:$D$104,2,FALSE)</f>
        <v>GJ</v>
      </c>
      <c r="E113" s="74" t="s">
        <v>2594</v>
      </c>
      <c r="F113" s="5" t="s">
        <v>2595</v>
      </c>
      <c r="G113" s="55">
        <f t="shared" si="11"/>
        <v>10</v>
      </c>
      <c r="H113" s="55">
        <f t="shared" si="12"/>
        <v>10</v>
      </c>
    </row>
    <row r="114" ht="13.5">
      <c r="A114" s="60"/>
      <c r="B114" s="5" t="s">
        <v>112</v>
      </c>
      <c r="C114" s="5" t="s">
        <v>116</v>
      </c>
      <c r="D114" s="55" t="str">
        <f>VLOOKUP($B114,Letters!$C$81:$D$104,2,FALSE) &amp; VLOOKUP($C114,Letters!$C$81:$D$104,2,FALSE)</f>
        <v>GK</v>
      </c>
      <c r="E114" s="61" t="s">
        <v>2598</v>
      </c>
      <c r="F114" s="5" t="s">
        <v>2599</v>
      </c>
      <c r="G114" s="55">
        <f t="shared" si="11"/>
        <v>8</v>
      </c>
      <c r="H114" s="55">
        <f t="shared" si="12"/>
        <v>10</v>
      </c>
    </row>
    <row r="115" ht="13.5">
      <c r="A115" s="54"/>
      <c r="B115" s="5" t="s">
        <v>112</v>
      </c>
      <c r="C115" s="5" t="s">
        <v>117</v>
      </c>
      <c r="D115" s="55" t="str">
        <f>VLOOKUP($B115,Letters!$C$81:$D$104,2,FALSE) &amp; VLOOKUP($C115,Letters!$C$81:$D$104,2,FALSE)</f>
        <v>GL</v>
      </c>
      <c r="E115" s="61" t="s">
        <v>2600</v>
      </c>
      <c r="F115" s="5" t="s">
        <v>2601</v>
      </c>
      <c r="G115" s="55">
        <f t="shared" si="11"/>
        <v>10</v>
      </c>
      <c r="H115" s="55">
        <f t="shared" si="12"/>
        <v>12</v>
      </c>
    </row>
    <row r="116" ht="13.5">
      <c r="A116" s="54"/>
      <c r="B116" s="5" t="s">
        <v>112</v>
      </c>
      <c r="C116" s="5" t="s">
        <v>118</v>
      </c>
      <c r="D116" s="55" t="str">
        <f>VLOOKUP($B116,Letters!$C$81:$D$104,2,FALSE) &amp; VLOOKUP($C116,Letters!$C$81:$D$104,2,FALSE)</f>
        <v>GM</v>
      </c>
      <c r="E116" s="61" t="s">
        <v>2604</v>
      </c>
      <c r="F116" s="5" t="s">
        <v>2605</v>
      </c>
      <c r="G116" s="55">
        <f t="shared" si="11"/>
        <v>8</v>
      </c>
      <c r="H116" s="55">
        <f t="shared" si="12"/>
        <v>10</v>
      </c>
    </row>
    <row r="117" ht="13.5">
      <c r="A117" s="54"/>
      <c r="B117" s="5" t="s">
        <v>112</v>
      </c>
      <c r="C117" s="5" t="s">
        <v>119</v>
      </c>
      <c r="D117" s="55" t="str">
        <f>VLOOKUP($B117,Letters!$C$81:$D$104,2,FALSE) &amp; VLOOKUP($C117,Letters!$C$81:$D$104,2,FALSE)</f>
        <v>GN</v>
      </c>
      <c r="E117" s="61" t="s">
        <v>2608</v>
      </c>
      <c r="F117" s="5" t="s">
        <v>2609</v>
      </c>
      <c r="G117" s="55">
        <f t="shared" si="11"/>
        <v>8</v>
      </c>
      <c r="H117" s="55">
        <f t="shared" si="12"/>
        <v>8</v>
      </c>
    </row>
    <row r="118" ht="13.5">
      <c r="A118" s="54"/>
      <c r="B118" s="5" t="s">
        <v>112</v>
      </c>
      <c r="C118" s="5" t="s">
        <v>120</v>
      </c>
      <c r="D118" s="55" t="str">
        <f>VLOOKUP($B118,Letters!$C$81:$D$104,2,FALSE) &amp; VLOOKUP($C118,Letters!$C$81:$D$104,2,FALSE)</f>
        <v>GO</v>
      </c>
      <c r="E118" s="61" t="s">
        <v>2612</v>
      </c>
      <c r="F118" s="5" t="s">
        <v>2613</v>
      </c>
      <c r="G118" s="55">
        <f t="shared" si="11"/>
        <v>9</v>
      </c>
      <c r="H118" s="55">
        <f t="shared" si="12"/>
        <v>12</v>
      </c>
    </row>
    <row r="119" ht="13.5">
      <c r="A119" s="54"/>
      <c r="B119" s="5" t="s">
        <v>112</v>
      </c>
      <c r="C119" s="5" t="s">
        <v>121</v>
      </c>
      <c r="D119" s="55" t="str">
        <f>VLOOKUP($B119,Letters!$C$81:$D$104,2,FALSE) &amp; VLOOKUP($C119,Letters!$C$81:$D$104,2,FALSE)</f>
        <v>GP</v>
      </c>
      <c r="E119" s="61" t="s">
        <v>2618</v>
      </c>
      <c r="F119" s="5" t="s">
        <v>2619</v>
      </c>
      <c r="G119" s="55">
        <f t="shared" si="11"/>
        <v>10</v>
      </c>
      <c r="H119" s="55">
        <f t="shared" si="12"/>
        <v>12</v>
      </c>
    </row>
    <row r="120" ht="13.5">
      <c r="A120" s="60"/>
      <c r="B120" s="5" t="s">
        <v>112</v>
      </c>
      <c r="C120" s="5" t="s">
        <v>122</v>
      </c>
      <c r="D120" s="55" t="str">
        <f>VLOOKUP($B120,Letters!$C$81:$D$104,2,FALSE) &amp; VLOOKUP($C120,Letters!$C$81:$D$104,2,FALSE)</f>
        <v>GA</v>
      </c>
      <c r="E120" s="61" t="s">
        <v>2622</v>
      </c>
      <c r="F120" s="5" t="s">
        <v>2623</v>
      </c>
      <c r="G120" s="55">
        <f t="shared" si="11"/>
        <v>9</v>
      </c>
      <c r="H120" s="55">
        <f t="shared" si="12"/>
        <v>12</v>
      </c>
    </row>
    <row r="121" ht="13.5">
      <c r="A121" s="54"/>
      <c r="B121" s="5" t="s">
        <v>112</v>
      </c>
      <c r="C121" s="5" t="s">
        <v>123</v>
      </c>
      <c r="D121" s="55" t="str">
        <f>VLOOKUP($B121,Letters!$C$81:$D$104,2,FALSE) &amp; VLOOKUP($C121,Letters!$C$81:$D$104,2,FALSE)</f>
        <v>GR</v>
      </c>
      <c r="E121" s="61" t="s">
        <v>2627</v>
      </c>
      <c r="F121" s="5" t="s">
        <v>2629</v>
      </c>
      <c r="G121" s="55">
        <f t="shared" si="11"/>
        <v>11</v>
      </c>
      <c r="H121" s="55">
        <f t="shared" si="12"/>
        <v>13</v>
      </c>
    </row>
    <row r="122" ht="13.5">
      <c r="A122" s="54"/>
      <c r="B122" s="5" t="s">
        <v>112</v>
      </c>
      <c r="C122" s="5" t="s">
        <v>124</v>
      </c>
      <c r="D122" s="55" t="str">
        <f>VLOOKUP($B122,Letters!$C$81:$D$104,2,FALSE) &amp; VLOOKUP($C122,Letters!$C$81:$D$104,2,FALSE)</f>
        <v>GS</v>
      </c>
      <c r="E122" s="61" t="s">
        <v>2634</v>
      </c>
      <c r="F122" s="5" t="s">
        <v>2635</v>
      </c>
      <c r="G122" s="55">
        <f t="shared" si="11"/>
        <v>9</v>
      </c>
      <c r="H122" s="55">
        <f t="shared" si="12"/>
        <v>12</v>
      </c>
    </row>
    <row r="123" ht="13.5">
      <c r="A123" s="54"/>
      <c r="B123" s="5" t="s">
        <v>112</v>
      </c>
      <c r="C123" s="5" t="s">
        <v>125</v>
      </c>
      <c r="D123" s="55" t="str">
        <f>VLOOKUP($B123,Letters!$C$81:$D$104,2,FALSE) &amp; VLOOKUP($C123,Letters!$C$81:$D$104,2,FALSE)</f>
        <v>GT</v>
      </c>
      <c r="E123" s="61" t="s">
        <v>2636</v>
      </c>
      <c r="F123" s="5" t="s">
        <v>2637</v>
      </c>
      <c r="G123" s="55">
        <f t="shared" si="11"/>
        <v>10</v>
      </c>
      <c r="H123" s="55">
        <f t="shared" si="12"/>
        <v>10</v>
      </c>
    </row>
    <row r="124" ht="13.5">
      <c r="A124" s="54"/>
      <c r="B124" s="5" t="s">
        <v>112</v>
      </c>
      <c r="C124" s="5" t="s">
        <v>126</v>
      </c>
      <c r="D124" s="55" t="str">
        <f>VLOOKUP($B124,Letters!$C$81:$D$104,2,FALSE) &amp; VLOOKUP($C124,Letters!$C$81:$D$104,2,FALSE)</f>
        <v>GU</v>
      </c>
      <c r="E124" s="61" t="s">
        <v>2642</v>
      </c>
      <c r="F124" s="5" t="s">
        <v>2643</v>
      </c>
      <c r="G124" s="55">
        <f t="shared" si="11"/>
        <v>11</v>
      </c>
      <c r="H124" s="55">
        <f t="shared" si="12"/>
        <v>16</v>
      </c>
    </row>
    <row r="125" ht="13.5">
      <c r="A125" s="54"/>
      <c r="B125" s="5" t="s">
        <v>112</v>
      </c>
      <c r="C125" s="5" t="s">
        <v>127</v>
      </c>
      <c r="D125" s="55" t="str">
        <f>VLOOKUP($B125,Letters!$C$81:$D$104,2,FALSE) &amp; VLOOKUP($C125,Letters!$C$81:$D$104,2,FALSE)</f>
        <v>GV</v>
      </c>
      <c r="E125" s="61" t="s">
        <v>2648</v>
      </c>
      <c r="F125" s="5" t="s">
        <v>2649</v>
      </c>
      <c r="G125" s="55">
        <f t="shared" si="11"/>
        <v>11</v>
      </c>
      <c r="H125" s="55">
        <f t="shared" si="12"/>
        <v>14</v>
      </c>
    </row>
    <row r="126" ht="13.5">
      <c r="A126" s="54"/>
      <c r="B126" s="5" t="s">
        <v>112</v>
      </c>
      <c r="C126" s="5" t="s">
        <v>128</v>
      </c>
      <c r="D126" s="55" t="str">
        <f>VLOOKUP($B126,Letters!$C$81:$D$104,2,FALSE) &amp; VLOOKUP($C126,Letters!$C$81:$D$104,2,FALSE)</f>
        <v>GW</v>
      </c>
      <c r="E126" s="61" t="s">
        <v>2654</v>
      </c>
      <c r="F126" s="5" t="s">
        <v>2655</v>
      </c>
      <c r="G126" s="55">
        <f t="shared" si="11"/>
        <v>9</v>
      </c>
      <c r="H126" s="55">
        <f t="shared" si="12"/>
        <v>12</v>
      </c>
    </row>
    <row r="127" ht="13.5">
      <c r="A127" s="54"/>
      <c r="B127" s="5" t="s">
        <v>112</v>
      </c>
      <c r="C127" s="5" t="s">
        <v>129</v>
      </c>
      <c r="D127" s="55" t="str">
        <f>VLOOKUP($B127,Letters!$C$81:$D$104,2,FALSE) &amp; VLOOKUP($C127,Letters!$C$81:$D$104,2,FALSE)</f>
        <v>GX</v>
      </c>
      <c r="E127" s="61" t="s">
        <v>2660</v>
      </c>
      <c r="F127" s="5" t="s">
        <v>2661</v>
      </c>
      <c r="G127" s="55">
        <f t="shared" si="11"/>
        <v>10</v>
      </c>
      <c r="H127" s="55">
        <f t="shared" si="12"/>
        <v>12</v>
      </c>
    </row>
    <row r="128">
      <c r="A128" s="60"/>
      <c r="B128" s="5"/>
      <c r="C128" s="5"/>
      <c r="D128" s="55"/>
      <c r="E128" s="5"/>
      <c r="F128" s="5"/>
      <c r="G128" s="55"/>
      <c r="H128" s="55"/>
    </row>
    <row r="129" ht="13.5">
      <c r="A129" s="54"/>
      <c r="B129" s="5" t="s">
        <v>113</v>
      </c>
      <c r="C129" s="5" t="s">
        <v>107</v>
      </c>
      <c r="D129" s="55" t="str">
        <f>VLOOKUP($B129,Letters!$C$81:$D$104,2,FALSE) &amp; VLOOKUP($C129,Letters!$C$81:$D$104,2,FALSE)</f>
        <v>HB</v>
      </c>
      <c r="E129" s="61" t="s">
        <v>2271</v>
      </c>
      <c r="F129" s="5" t="s">
        <v>2272</v>
      </c>
      <c r="G129" s="55">
        <f t="shared" ref="G129:G147" si="13">(len($F129)-len(SUBSTITUTE($F129,"R","")))+(len($F129)-len(SUBSTITUTE($F129,"L","")))+(len($F129)-len(SUBSTITUTE($F129,"U","")))+(len($F129)-len(SUBSTITUTE($F129,"D","")))+(len($F129)-len(SUBSTITUTE($F129,"F","")))+(len($F129)-len(SUBSTITUTE($F129,"B","")))+(len($F129)-len(SUBSTITUTE($F129,"r","")))+(len($F129)-len(SUBSTITUTE($F129,"l","")))+(len($F129)-len(SUBSTITUTE($F129,"u","")))+(len($F129)-len(SUBSTITUTE($F129,"d","")))</f>
        <v>8</v>
      </c>
      <c r="H129" s="55">
        <f t="shared" ref="H129:H147" si="14">(len($F129)-len(SUBSTITUTE($F129,"R","")))+(len($F129)-len(SUBSTITUTE($F129,"L","")))+(len($F129)-len(SUBSTITUTE($F129,"U","")))+(len($F129)-len(SUBSTITUTE($F129,"D","")))+(len($F129)-len(SUBSTITUTE($F129,"F","")))+(len($F129)-len(SUBSTITUTE($F129,"B","")))+(len($F129)-len(SUBSTITUTE($F129,"r","")))+(len($F129)-len(SUBSTITUTE($F129,"l","")))+(len($F129)-len(SUBSTITUTE($F129,"u","")))+(len($F129)-len(SUBSTITUTE($F129,"d","")))+(len($F129)-len(SUBSTITUTE($F129,"2","")))</f>
        <v>8</v>
      </c>
    </row>
    <row r="130" ht="13.5">
      <c r="A130" s="54"/>
      <c r="B130" s="5" t="s">
        <v>113</v>
      </c>
      <c r="C130" s="5" t="s">
        <v>108</v>
      </c>
      <c r="D130" s="55" t="str">
        <f>VLOOKUP($B130,Letters!$C$81:$D$104,2,FALSE) &amp; VLOOKUP($C130,Letters!$C$81:$D$104,2,FALSE)</f>
        <v>HC</v>
      </c>
      <c r="E130" s="74" t="s">
        <v>2672</v>
      </c>
      <c r="F130" s="5" t="s">
        <v>2673</v>
      </c>
      <c r="G130" s="55">
        <f t="shared" si="13"/>
        <v>9</v>
      </c>
      <c r="H130" s="55">
        <f t="shared" si="14"/>
        <v>10</v>
      </c>
    </row>
    <row r="131" ht="13.5">
      <c r="A131" s="60"/>
      <c r="B131" s="5" t="s">
        <v>113</v>
      </c>
      <c r="C131" s="5" t="s">
        <v>109</v>
      </c>
      <c r="D131" s="55" t="str">
        <f>VLOOKUP($B131,Letters!$C$81:$D$104,2,FALSE) &amp; VLOOKUP($C131,Letters!$C$81:$D$104,2,FALSE)</f>
        <v>HD</v>
      </c>
      <c r="E131" s="61" t="s">
        <v>2675</v>
      </c>
      <c r="F131" s="5" t="s">
        <v>2676</v>
      </c>
      <c r="G131" s="55">
        <f t="shared" si="13"/>
        <v>8</v>
      </c>
      <c r="H131" s="55">
        <f t="shared" si="14"/>
        <v>8</v>
      </c>
    </row>
    <row r="132" ht="13.5">
      <c r="A132" s="54"/>
      <c r="B132" s="5" t="s">
        <v>113</v>
      </c>
      <c r="C132" s="5" t="s">
        <v>114</v>
      </c>
      <c r="D132" s="55" t="str">
        <f>VLOOKUP($B132,Letters!$C$81:$D$104,2,FALSE) &amp; VLOOKUP($C132,Letters!$C$81:$D$104,2,FALSE)</f>
        <v>HI</v>
      </c>
      <c r="E132" s="61" t="s">
        <v>2680</v>
      </c>
      <c r="F132" s="5" t="s">
        <v>2681</v>
      </c>
      <c r="G132" s="55">
        <f t="shared" si="13"/>
        <v>8</v>
      </c>
      <c r="H132" s="55">
        <f t="shared" si="14"/>
        <v>8</v>
      </c>
    </row>
    <row r="133" ht="13.5">
      <c r="A133" s="54"/>
      <c r="B133" s="5" t="s">
        <v>113</v>
      </c>
      <c r="C133" s="5" t="s">
        <v>115</v>
      </c>
      <c r="D133" s="55" t="str">
        <f>VLOOKUP($B133,Letters!$C$81:$D$104,2,FALSE) &amp; VLOOKUP($C133,Letters!$C$81:$D$104,2,FALSE)</f>
        <v>HJ</v>
      </c>
      <c r="E133" s="74" t="s">
        <v>2686</v>
      </c>
      <c r="F133" s="5" t="s">
        <v>2687</v>
      </c>
      <c r="G133" s="55">
        <f t="shared" si="13"/>
        <v>10</v>
      </c>
      <c r="H133" s="55">
        <f t="shared" si="14"/>
        <v>12</v>
      </c>
    </row>
    <row r="134" ht="13.5">
      <c r="A134" s="54"/>
      <c r="B134" s="5" t="s">
        <v>113</v>
      </c>
      <c r="C134" s="5" t="s">
        <v>116</v>
      </c>
      <c r="D134" s="55" t="str">
        <f>VLOOKUP($B134,Letters!$C$81:$D$104,2,FALSE) &amp; VLOOKUP($C134,Letters!$C$81:$D$104,2,FALSE)</f>
        <v>HK</v>
      </c>
      <c r="E134" s="61" t="s">
        <v>2692</v>
      </c>
      <c r="F134" s="5" t="s">
        <v>2693</v>
      </c>
      <c r="G134" s="55">
        <f t="shared" si="13"/>
        <v>10</v>
      </c>
      <c r="H134" s="55">
        <f t="shared" si="14"/>
        <v>12</v>
      </c>
    </row>
    <row r="135" ht="13.5">
      <c r="A135" s="54"/>
      <c r="B135" s="5" t="s">
        <v>113</v>
      </c>
      <c r="C135" s="5" t="s">
        <v>117</v>
      </c>
      <c r="D135" s="55" t="str">
        <f>VLOOKUP($B135,Letters!$C$81:$D$104,2,FALSE) &amp; VLOOKUP($C135,Letters!$C$81:$D$104,2,FALSE)</f>
        <v>HL</v>
      </c>
      <c r="E135" s="61" t="s">
        <v>2696</v>
      </c>
      <c r="F135" s="5" t="s">
        <v>2697</v>
      </c>
      <c r="G135" s="55">
        <f t="shared" si="13"/>
        <v>10</v>
      </c>
      <c r="H135" s="55">
        <f t="shared" si="14"/>
        <v>12</v>
      </c>
    </row>
    <row r="136" ht="13.5">
      <c r="A136" s="54"/>
      <c r="B136" s="5" t="s">
        <v>113</v>
      </c>
      <c r="C136" s="5" t="s">
        <v>118</v>
      </c>
      <c r="D136" s="55" t="str">
        <f>VLOOKUP($B136,Letters!$C$81:$D$104,2,FALSE) &amp; VLOOKUP($C136,Letters!$C$81:$D$104,2,FALSE)</f>
        <v>HM</v>
      </c>
      <c r="E136" s="61" t="s">
        <v>2702</v>
      </c>
      <c r="F136" s="5" t="s">
        <v>2703</v>
      </c>
      <c r="G136" s="55">
        <f t="shared" si="13"/>
        <v>8</v>
      </c>
      <c r="H136" s="55">
        <f t="shared" si="14"/>
        <v>8</v>
      </c>
    </row>
    <row r="137" ht="13.5">
      <c r="A137" s="54"/>
      <c r="B137" s="5" t="s">
        <v>113</v>
      </c>
      <c r="C137" s="5" t="s">
        <v>119</v>
      </c>
      <c r="D137" s="55" t="str">
        <f>VLOOKUP($B137,Letters!$C$81:$D$104,2,FALSE) &amp; VLOOKUP($C137,Letters!$C$81:$D$104,2,FALSE)</f>
        <v>HN</v>
      </c>
      <c r="E137" s="61" t="s">
        <v>2708</v>
      </c>
      <c r="F137" s="5" t="s">
        <v>2709</v>
      </c>
      <c r="G137" s="55">
        <f t="shared" si="13"/>
        <v>10</v>
      </c>
      <c r="H137" s="55">
        <f t="shared" si="14"/>
        <v>10</v>
      </c>
    </row>
    <row r="138" ht="13.5">
      <c r="A138" s="54"/>
      <c r="B138" s="5" t="s">
        <v>113</v>
      </c>
      <c r="C138" s="5" t="s">
        <v>120</v>
      </c>
      <c r="D138" s="55" t="str">
        <f>VLOOKUP($B138,Letters!$C$81:$D$104,2,FALSE) &amp; VLOOKUP($C138,Letters!$C$81:$D$104,2,FALSE)</f>
        <v>HO</v>
      </c>
      <c r="E138" s="61" t="s">
        <v>2712</v>
      </c>
      <c r="F138" s="5" t="s">
        <v>2713</v>
      </c>
      <c r="G138" s="55">
        <f t="shared" si="13"/>
        <v>10</v>
      </c>
      <c r="H138" s="55">
        <f t="shared" si="14"/>
        <v>12</v>
      </c>
    </row>
    <row r="139" ht="13.5">
      <c r="A139" s="60"/>
      <c r="B139" s="5" t="s">
        <v>113</v>
      </c>
      <c r="C139" s="5" t="s">
        <v>121</v>
      </c>
      <c r="D139" s="55" t="str">
        <f>VLOOKUP($B139,Letters!$C$81:$D$104,2,FALSE) &amp; VLOOKUP($C139,Letters!$C$81:$D$104,2,FALSE)</f>
        <v>HP</v>
      </c>
      <c r="E139" s="61" t="s">
        <v>2716</v>
      </c>
      <c r="F139" s="5" t="s">
        <v>2717</v>
      </c>
      <c r="G139" s="55">
        <f t="shared" si="13"/>
        <v>9</v>
      </c>
      <c r="H139" s="55">
        <f t="shared" si="14"/>
        <v>10</v>
      </c>
    </row>
    <row r="140" ht="13.5">
      <c r="A140" s="54"/>
      <c r="B140" s="5" t="s">
        <v>113</v>
      </c>
      <c r="C140" s="5" t="s">
        <v>122</v>
      </c>
      <c r="D140" s="55" t="str">
        <f>VLOOKUP($B140,Letters!$C$81:$D$104,2,FALSE) &amp; VLOOKUP($C140,Letters!$C$81:$D$104,2,FALSE)</f>
        <v>HA</v>
      </c>
      <c r="E140" s="61" t="s">
        <v>2720</v>
      </c>
      <c r="F140" s="5" t="s">
        <v>2721</v>
      </c>
      <c r="G140" s="55">
        <f t="shared" si="13"/>
        <v>10</v>
      </c>
      <c r="H140" s="55">
        <f t="shared" si="14"/>
        <v>12</v>
      </c>
    </row>
    <row r="141" ht="13.5">
      <c r="A141" s="54"/>
      <c r="B141" s="5" t="s">
        <v>113</v>
      </c>
      <c r="C141" s="5" t="s">
        <v>123</v>
      </c>
      <c r="D141" s="55" t="str">
        <f>VLOOKUP($B141,Letters!$C$81:$D$104,2,FALSE) &amp; VLOOKUP($C141,Letters!$C$81:$D$104,2,FALSE)</f>
        <v>HR</v>
      </c>
      <c r="E141" s="61" t="s">
        <v>2724</v>
      </c>
      <c r="F141" s="5" t="s">
        <v>2725</v>
      </c>
      <c r="G141" s="55">
        <f t="shared" si="13"/>
        <v>11</v>
      </c>
      <c r="H141" s="55">
        <f t="shared" si="14"/>
        <v>15</v>
      </c>
    </row>
    <row r="142" ht="13.5">
      <c r="A142" s="54"/>
      <c r="B142" s="5" t="s">
        <v>113</v>
      </c>
      <c r="C142" s="5" t="s">
        <v>124</v>
      </c>
      <c r="D142" s="55" t="str">
        <f>VLOOKUP($B142,Letters!$C$81:$D$104,2,FALSE) &amp; VLOOKUP($C142,Letters!$C$81:$D$104,2,FALSE)</f>
        <v>HS</v>
      </c>
      <c r="E142" s="61" t="s">
        <v>2730</v>
      </c>
      <c r="F142" s="5" t="s">
        <v>2731</v>
      </c>
      <c r="G142" s="55">
        <f t="shared" si="13"/>
        <v>8</v>
      </c>
      <c r="H142" s="55">
        <f t="shared" si="14"/>
        <v>8</v>
      </c>
    </row>
    <row r="143" ht="13.5">
      <c r="A143" s="54"/>
      <c r="B143" s="5" t="s">
        <v>113</v>
      </c>
      <c r="C143" s="5" t="s">
        <v>125</v>
      </c>
      <c r="D143" s="55" t="str">
        <f>VLOOKUP($B143,Letters!$C$81:$D$104,2,FALSE) &amp; VLOOKUP($C143,Letters!$C$81:$D$104,2,FALSE)</f>
        <v>HT</v>
      </c>
      <c r="E143" s="61" t="s">
        <v>2736</v>
      </c>
      <c r="F143" s="5" t="s">
        <v>2737</v>
      </c>
      <c r="G143" s="55">
        <f t="shared" si="13"/>
        <v>8</v>
      </c>
      <c r="H143" s="55">
        <f t="shared" si="14"/>
        <v>8</v>
      </c>
    </row>
    <row r="144" ht="13.5">
      <c r="A144" s="54"/>
      <c r="B144" s="5" t="s">
        <v>113</v>
      </c>
      <c r="C144" s="5" t="s">
        <v>126</v>
      </c>
      <c r="D144" s="55" t="str">
        <f>VLOOKUP($B144,Letters!$C$81:$D$104,2,FALSE) &amp; VLOOKUP($C144,Letters!$C$81:$D$104,2,FALSE)</f>
        <v>HU</v>
      </c>
      <c r="E144" s="61" t="s">
        <v>2739</v>
      </c>
      <c r="F144" s="5" t="s">
        <v>2740</v>
      </c>
      <c r="G144" s="55">
        <f t="shared" si="13"/>
        <v>11</v>
      </c>
      <c r="H144" s="55">
        <f t="shared" si="14"/>
        <v>12</v>
      </c>
    </row>
    <row r="145" ht="13.5">
      <c r="A145" s="54"/>
      <c r="B145" s="5" t="s">
        <v>113</v>
      </c>
      <c r="C145" s="5" t="s">
        <v>127</v>
      </c>
      <c r="D145" s="55" t="str">
        <f>VLOOKUP($B145,Letters!$C$81:$D$104,2,FALSE) &amp; VLOOKUP($C145,Letters!$C$81:$D$104,2,FALSE)</f>
        <v>HV</v>
      </c>
      <c r="E145" s="61" t="s">
        <v>2744</v>
      </c>
      <c r="F145" s="5" t="s">
        <v>2745</v>
      </c>
      <c r="G145" s="55">
        <f t="shared" si="13"/>
        <v>9</v>
      </c>
      <c r="H145" s="55">
        <f t="shared" si="14"/>
        <v>10</v>
      </c>
    </row>
    <row r="146" ht="13.5">
      <c r="A146" s="54"/>
      <c r="B146" s="5" t="s">
        <v>113</v>
      </c>
      <c r="C146" s="5" t="s">
        <v>128</v>
      </c>
      <c r="D146" s="55" t="str">
        <f>VLOOKUP($B146,Letters!$C$81:$D$104,2,FALSE) &amp; VLOOKUP($C146,Letters!$C$81:$D$104,2,FALSE)</f>
        <v>HW</v>
      </c>
      <c r="E146" s="61" t="s">
        <v>2749</v>
      </c>
      <c r="F146" s="5" t="s">
        <v>2750</v>
      </c>
      <c r="G146" s="55">
        <f t="shared" si="13"/>
        <v>10</v>
      </c>
      <c r="H146" s="55">
        <f t="shared" si="14"/>
        <v>12</v>
      </c>
    </row>
    <row r="147" ht="13.5">
      <c r="A147" s="60"/>
      <c r="B147" s="5" t="s">
        <v>113</v>
      </c>
      <c r="C147" s="5" t="s">
        <v>129</v>
      </c>
      <c r="D147" s="55" t="str">
        <f>VLOOKUP($B147,Letters!$C$81:$D$104,2,FALSE) &amp; VLOOKUP($C147,Letters!$C$81:$D$104,2,FALSE)</f>
        <v>HX</v>
      </c>
      <c r="E147" s="61" t="s">
        <v>2754</v>
      </c>
      <c r="F147" s="5" t="s">
        <v>2755</v>
      </c>
      <c r="G147" s="55">
        <f t="shared" si="13"/>
        <v>11</v>
      </c>
      <c r="H147" s="55">
        <f t="shared" si="14"/>
        <v>14</v>
      </c>
    </row>
    <row r="148">
      <c r="A148" s="54"/>
      <c r="B148" s="5"/>
      <c r="C148" s="5"/>
      <c r="D148" s="55"/>
      <c r="E148" s="5"/>
      <c r="F148" s="5"/>
      <c r="G148" s="55"/>
      <c r="H148" s="55"/>
    </row>
    <row r="149" ht="13.5">
      <c r="A149" s="54"/>
      <c r="B149" s="5" t="s">
        <v>114</v>
      </c>
      <c r="C149" s="5" t="s">
        <v>107</v>
      </c>
      <c r="D149" s="55" t="str">
        <f>VLOOKUP($B149,Letters!$C$81:$D$104,2,FALSE) &amp; VLOOKUP($C149,Letters!$C$81:$D$104,2,FALSE)</f>
        <v>IB</v>
      </c>
      <c r="E149" s="61" t="s">
        <v>2758</v>
      </c>
      <c r="F149" s="5" t="s">
        <v>2759</v>
      </c>
      <c r="G149" s="55">
        <f t="shared" ref="G149:G167" si="15">(len($F149)-len(SUBSTITUTE($F149,"R","")))+(len($F149)-len(SUBSTITUTE($F149,"L","")))+(len($F149)-len(SUBSTITUTE($F149,"U","")))+(len($F149)-len(SUBSTITUTE($F149,"D","")))+(len($F149)-len(SUBSTITUTE($F149,"F","")))+(len($F149)-len(SUBSTITUTE($F149,"B","")))+(len($F149)-len(SUBSTITUTE($F149,"r","")))+(len($F149)-len(SUBSTITUTE($F149,"l","")))+(len($F149)-len(SUBSTITUTE($F149,"u","")))+(len($F149)-len(SUBSTITUTE($F149,"d","")))</f>
        <v>10</v>
      </c>
      <c r="H149" s="55">
        <f t="shared" ref="H149:H167" si="16">(len($F149)-len(SUBSTITUTE($F149,"R","")))+(len($F149)-len(SUBSTITUTE($F149,"L","")))+(len($F149)-len(SUBSTITUTE($F149,"U","")))+(len($F149)-len(SUBSTITUTE($F149,"D","")))+(len($F149)-len(SUBSTITUTE($F149,"F","")))+(len($F149)-len(SUBSTITUTE($F149,"B","")))+(len($F149)-len(SUBSTITUTE($F149,"r","")))+(len($F149)-len(SUBSTITUTE($F149,"l","")))+(len($F149)-len(SUBSTITUTE($F149,"u","")))+(len($F149)-len(SUBSTITUTE($F149,"d","")))+(len($F149)-len(SUBSTITUTE($F149,"2","")))</f>
        <v>11</v>
      </c>
    </row>
    <row r="150" ht="13.5">
      <c r="A150" s="60"/>
      <c r="B150" s="5" t="s">
        <v>114</v>
      </c>
      <c r="C150" s="5" t="s">
        <v>108</v>
      </c>
      <c r="D150" s="55" t="str">
        <f>VLOOKUP($B150,Letters!$C$81:$D$104,2,FALSE) &amp; VLOOKUP($C150,Letters!$C$81:$D$104,2,FALSE)</f>
        <v>IC</v>
      </c>
      <c r="E150" s="61" t="s">
        <v>2769</v>
      </c>
      <c r="F150" s="5" t="s">
        <v>2770</v>
      </c>
      <c r="G150" s="55">
        <f t="shared" si="15"/>
        <v>8</v>
      </c>
      <c r="H150" s="55">
        <f t="shared" si="16"/>
        <v>12</v>
      </c>
    </row>
    <row r="151" ht="13.5">
      <c r="A151" s="54"/>
      <c r="B151" s="5" t="s">
        <v>114</v>
      </c>
      <c r="C151" s="5" t="s">
        <v>109</v>
      </c>
      <c r="D151" s="55" t="str">
        <f>VLOOKUP($B151,Letters!$C$81:$D$104,2,FALSE) &amp; VLOOKUP($C151,Letters!$C$81:$D$104,2,FALSE)</f>
        <v>ID</v>
      </c>
      <c r="E151" s="61" t="s">
        <v>2772</v>
      </c>
      <c r="F151" s="5" t="s">
        <v>2773</v>
      </c>
      <c r="G151" s="55">
        <f t="shared" si="15"/>
        <v>9</v>
      </c>
      <c r="H151" s="55">
        <f t="shared" si="16"/>
        <v>12</v>
      </c>
    </row>
    <row r="152" ht="13.5">
      <c r="A152" s="54"/>
      <c r="B152" s="5" t="s">
        <v>114</v>
      </c>
      <c r="C152" s="5" t="s">
        <v>110</v>
      </c>
      <c r="D152" s="55" t="str">
        <f>VLOOKUP($B152,Letters!$C$81:$D$104,2,FALSE) &amp; VLOOKUP($C152,Letters!$C$81:$D$104,2,FALSE)</f>
        <v>IE</v>
      </c>
      <c r="E152" s="61" t="s">
        <v>2776</v>
      </c>
      <c r="F152" s="5" t="s">
        <v>2778</v>
      </c>
      <c r="G152" s="55">
        <f t="shared" si="15"/>
        <v>10</v>
      </c>
      <c r="H152" s="55">
        <f t="shared" si="16"/>
        <v>10</v>
      </c>
    </row>
    <row r="153" ht="13.5">
      <c r="A153" s="54"/>
      <c r="B153" s="5" t="s">
        <v>114</v>
      </c>
      <c r="C153" s="5" t="s">
        <v>111</v>
      </c>
      <c r="D153" s="55" t="str">
        <f>VLOOKUP($B153,Letters!$C$81:$D$104,2,FALSE) &amp; VLOOKUP($C153,Letters!$C$81:$D$104,2,FALSE)</f>
        <v>IF</v>
      </c>
      <c r="E153" s="61" t="s">
        <v>2781</v>
      </c>
      <c r="F153" s="5" t="s">
        <v>2782</v>
      </c>
      <c r="G153" s="55">
        <f t="shared" si="15"/>
        <v>10</v>
      </c>
      <c r="H153" s="55">
        <f t="shared" si="16"/>
        <v>10</v>
      </c>
    </row>
    <row r="154" ht="13.5">
      <c r="A154" s="54"/>
      <c r="B154" s="5" t="s">
        <v>114</v>
      </c>
      <c r="C154" s="5" t="s">
        <v>112</v>
      </c>
      <c r="D154" s="55" t="str">
        <f>VLOOKUP($B154,Letters!$C$81:$D$104,2,FALSE) &amp; VLOOKUP($C154,Letters!$C$81:$D$104,2,FALSE)</f>
        <v>IG</v>
      </c>
      <c r="E154" s="61" t="s">
        <v>2785</v>
      </c>
      <c r="F154" s="5" t="s">
        <v>2786</v>
      </c>
      <c r="G154" s="55">
        <f t="shared" si="15"/>
        <v>8</v>
      </c>
      <c r="H154" s="55">
        <f t="shared" si="16"/>
        <v>10</v>
      </c>
    </row>
    <row r="155" ht="13.5">
      <c r="A155" s="54"/>
      <c r="B155" s="5" t="s">
        <v>114</v>
      </c>
      <c r="C155" s="5" t="s">
        <v>113</v>
      </c>
      <c r="D155" s="55" t="str">
        <f>VLOOKUP($B155,Letters!$C$81:$D$104,2,FALSE) &amp; VLOOKUP($C155,Letters!$C$81:$D$104,2,FALSE)</f>
        <v>IH</v>
      </c>
      <c r="E155" s="61" t="s">
        <v>2789</v>
      </c>
      <c r="F155" s="5" t="s">
        <v>2790</v>
      </c>
      <c r="G155" s="55">
        <f t="shared" si="15"/>
        <v>8</v>
      </c>
      <c r="H155" s="55">
        <f t="shared" si="16"/>
        <v>8</v>
      </c>
    </row>
    <row r="156" ht="13.5">
      <c r="A156" s="54"/>
      <c r="B156" s="5" t="s">
        <v>114</v>
      </c>
      <c r="C156" s="5" t="s">
        <v>118</v>
      </c>
      <c r="D156" s="55" t="str">
        <f>VLOOKUP($B156,Letters!$C$81:$D$104,2,FALSE) &amp; VLOOKUP($C156,Letters!$C$81:$D$104,2,FALSE)</f>
        <v>IM</v>
      </c>
      <c r="E156" s="61" t="s">
        <v>2795</v>
      </c>
      <c r="F156" s="5" t="s">
        <v>2796</v>
      </c>
      <c r="G156" s="55">
        <f t="shared" si="15"/>
        <v>9</v>
      </c>
      <c r="H156" s="55">
        <f t="shared" si="16"/>
        <v>9</v>
      </c>
    </row>
    <row r="157" ht="13.5">
      <c r="A157" s="54"/>
      <c r="B157" s="5" t="s">
        <v>114</v>
      </c>
      <c r="C157" s="5" t="s">
        <v>119</v>
      </c>
      <c r="D157" s="55" t="str">
        <f>VLOOKUP($B157,Letters!$C$81:$D$104,2,FALSE) &amp; VLOOKUP($C157,Letters!$C$81:$D$104,2,FALSE)</f>
        <v>IN</v>
      </c>
      <c r="E157" s="61" t="s">
        <v>2798</v>
      </c>
      <c r="F157" s="5" t="s">
        <v>2799</v>
      </c>
      <c r="G157" s="55">
        <f t="shared" si="15"/>
        <v>8</v>
      </c>
      <c r="H157" s="55">
        <f t="shared" si="16"/>
        <v>8</v>
      </c>
    </row>
    <row r="158" ht="13.5">
      <c r="A158" s="60"/>
      <c r="B158" s="5" t="s">
        <v>114</v>
      </c>
      <c r="C158" s="5" t="s">
        <v>120</v>
      </c>
      <c r="D158" s="55" t="str">
        <f>VLOOKUP($B158,Letters!$C$81:$D$104,2,FALSE) &amp; VLOOKUP($C158,Letters!$C$81:$D$104,2,FALSE)</f>
        <v>IO</v>
      </c>
      <c r="E158" s="61" t="s">
        <v>2801</v>
      </c>
      <c r="F158" s="5" t="s">
        <v>2802</v>
      </c>
      <c r="G158" s="55">
        <f t="shared" si="15"/>
        <v>8</v>
      </c>
      <c r="H158" s="55">
        <f t="shared" si="16"/>
        <v>10</v>
      </c>
    </row>
    <row r="159" ht="13.5">
      <c r="A159" s="54"/>
      <c r="B159" s="5" t="s">
        <v>114</v>
      </c>
      <c r="C159" s="5" t="s">
        <v>121</v>
      </c>
      <c r="D159" s="55" t="str">
        <f>VLOOKUP($B159,Letters!$C$81:$D$104,2,FALSE) &amp; VLOOKUP($C159,Letters!$C$81:$D$104,2,FALSE)</f>
        <v>IP</v>
      </c>
      <c r="E159" s="61" t="s">
        <v>2804</v>
      </c>
      <c r="F159" s="5" t="s">
        <v>2805</v>
      </c>
      <c r="G159" s="55">
        <f t="shared" si="15"/>
        <v>8</v>
      </c>
      <c r="H159" s="55">
        <f t="shared" si="16"/>
        <v>8</v>
      </c>
    </row>
    <row r="160" ht="13.5">
      <c r="A160" s="54"/>
      <c r="B160" s="5" t="s">
        <v>114</v>
      </c>
      <c r="C160" s="5" t="s">
        <v>122</v>
      </c>
      <c r="D160" s="55" t="str">
        <f>VLOOKUP($B160,Letters!$C$81:$D$104,2,FALSE) &amp; VLOOKUP($C160,Letters!$C$81:$D$104,2,FALSE)</f>
        <v>IA</v>
      </c>
      <c r="E160" s="61" t="s">
        <v>2806</v>
      </c>
      <c r="F160" s="5" t="s">
        <v>2807</v>
      </c>
      <c r="G160" s="55">
        <f t="shared" si="15"/>
        <v>8</v>
      </c>
      <c r="H160" s="55">
        <f t="shared" si="16"/>
        <v>12</v>
      </c>
    </row>
    <row r="161" ht="13.5">
      <c r="A161" s="54"/>
      <c r="B161" s="5" t="s">
        <v>114</v>
      </c>
      <c r="C161" s="5" t="s">
        <v>123</v>
      </c>
      <c r="D161" s="55" t="str">
        <f>VLOOKUP($B161,Letters!$C$81:$D$104,2,FALSE) &amp; VLOOKUP($C161,Letters!$C$81:$D$104,2,FALSE)</f>
        <v>IR</v>
      </c>
      <c r="E161" s="61" t="s">
        <v>2809</v>
      </c>
      <c r="F161" s="5" t="s">
        <v>2810</v>
      </c>
      <c r="G161" s="55">
        <f t="shared" si="15"/>
        <v>10</v>
      </c>
      <c r="H161" s="55">
        <f t="shared" si="16"/>
        <v>12</v>
      </c>
    </row>
    <row r="162" ht="13.5">
      <c r="A162" s="60"/>
      <c r="B162" s="5" t="s">
        <v>114</v>
      </c>
      <c r="C162" s="5" t="s">
        <v>124</v>
      </c>
      <c r="D162" s="55" t="str">
        <f>VLOOKUP($B162,Letters!$C$81:$D$104,2,FALSE) &amp; VLOOKUP($C162,Letters!$C$81:$D$104,2,FALSE)</f>
        <v>IS</v>
      </c>
      <c r="E162" s="61" t="s">
        <v>2813</v>
      </c>
      <c r="F162" s="5" t="s">
        <v>2814</v>
      </c>
      <c r="G162" s="55">
        <f t="shared" si="15"/>
        <v>10</v>
      </c>
      <c r="H162" s="55">
        <f t="shared" si="16"/>
        <v>10</v>
      </c>
    </row>
    <row r="163" ht="13.5">
      <c r="A163" s="54"/>
      <c r="B163" s="5" t="s">
        <v>114</v>
      </c>
      <c r="C163" s="5" t="s">
        <v>125</v>
      </c>
      <c r="D163" s="55" t="str">
        <f>VLOOKUP($B163,Letters!$C$81:$D$104,2,FALSE) &amp; VLOOKUP($C163,Letters!$C$81:$D$104,2,FALSE)</f>
        <v>IT</v>
      </c>
      <c r="E163" s="61" t="s">
        <v>2815</v>
      </c>
      <c r="F163" s="5" t="s">
        <v>2816</v>
      </c>
      <c r="G163" s="55">
        <f t="shared" si="15"/>
        <v>8</v>
      </c>
      <c r="H163" s="55">
        <f t="shared" si="16"/>
        <v>8</v>
      </c>
    </row>
    <row r="164" ht="13.5">
      <c r="A164" s="54"/>
      <c r="B164" s="5" t="s">
        <v>114</v>
      </c>
      <c r="C164" s="5" t="s">
        <v>126</v>
      </c>
      <c r="D164" s="55" t="str">
        <f>VLOOKUP($B164,Letters!$C$81:$D$104,2,FALSE) &amp; VLOOKUP($C164,Letters!$C$81:$D$104,2,FALSE)</f>
        <v>IU</v>
      </c>
      <c r="E164" s="61" t="s">
        <v>2817</v>
      </c>
      <c r="F164" s="5" t="s">
        <v>2818</v>
      </c>
      <c r="G164" s="55">
        <f t="shared" si="15"/>
        <v>10</v>
      </c>
      <c r="H164" s="55">
        <f t="shared" si="16"/>
        <v>12</v>
      </c>
    </row>
    <row r="165" ht="13.5">
      <c r="A165" s="54"/>
      <c r="B165" s="5" t="s">
        <v>114</v>
      </c>
      <c r="C165" s="5" t="s">
        <v>127</v>
      </c>
      <c r="D165" s="55" t="str">
        <f>VLOOKUP($B165,Letters!$C$81:$D$104,2,FALSE) &amp; VLOOKUP($C165,Letters!$C$81:$D$104,2,FALSE)</f>
        <v>IV</v>
      </c>
      <c r="E165" s="61" t="s">
        <v>2819</v>
      </c>
      <c r="F165" s="5" t="s">
        <v>2820</v>
      </c>
      <c r="G165" s="55">
        <f t="shared" si="15"/>
        <v>8</v>
      </c>
      <c r="H165" s="55">
        <f t="shared" si="16"/>
        <v>10</v>
      </c>
    </row>
    <row r="166" ht="13.5">
      <c r="A166" s="54"/>
      <c r="B166" s="5" t="s">
        <v>114</v>
      </c>
      <c r="C166" s="5" t="s">
        <v>128</v>
      </c>
      <c r="D166" s="55" t="str">
        <f>VLOOKUP($B166,Letters!$C$81:$D$104,2,FALSE) &amp; VLOOKUP($C166,Letters!$C$81:$D$104,2,FALSE)</f>
        <v>IW</v>
      </c>
      <c r="E166" s="61" t="s">
        <v>2823</v>
      </c>
      <c r="F166" s="5" t="s">
        <v>2824</v>
      </c>
      <c r="G166" s="55">
        <f t="shared" si="15"/>
        <v>10</v>
      </c>
      <c r="H166" s="55">
        <f t="shared" si="16"/>
        <v>12</v>
      </c>
    </row>
    <row r="167" ht="13.5">
      <c r="A167" s="54"/>
      <c r="B167" s="5" t="s">
        <v>114</v>
      </c>
      <c r="C167" s="5" t="s">
        <v>129</v>
      </c>
      <c r="D167" s="55" t="str">
        <f>VLOOKUP($B167,Letters!$C$81:$D$104,2,FALSE) &amp; VLOOKUP($C167,Letters!$C$81:$D$104,2,FALSE)</f>
        <v>IX</v>
      </c>
      <c r="E167" s="61" t="s">
        <v>2828</v>
      </c>
      <c r="F167" s="5" t="s">
        <v>2829</v>
      </c>
      <c r="G167" s="55">
        <f t="shared" si="15"/>
        <v>10</v>
      </c>
      <c r="H167" s="55">
        <f t="shared" si="16"/>
        <v>14</v>
      </c>
    </row>
    <row r="168" ht="13.5">
      <c r="A168" s="60"/>
      <c r="B168" s="5"/>
      <c r="C168" s="5"/>
      <c r="D168" s="55"/>
      <c r="E168" s="5"/>
      <c r="F168" s="5">
        <v>0.0</v>
      </c>
      <c r="G168" s="55"/>
      <c r="H168" s="55"/>
    </row>
    <row r="169" ht="13.5">
      <c r="A169" s="60"/>
      <c r="B169" s="5" t="s">
        <v>115</v>
      </c>
      <c r="C169" s="5" t="s">
        <v>107</v>
      </c>
      <c r="D169" s="55" t="str">
        <f>VLOOKUP($B169,Letters!$C$81:$D$104,2,FALSE) &amp; VLOOKUP($C169,Letters!$C$81:$D$104,2,FALSE)</f>
        <v>JB</v>
      </c>
      <c r="E169" s="61" t="s">
        <v>2831</v>
      </c>
      <c r="F169" s="5" t="s">
        <v>2084</v>
      </c>
      <c r="G169" s="55">
        <f t="shared" ref="G169:G187" si="17">(len($F169)-len(SUBSTITUTE($F169,"R","")))+(len($F169)-len(SUBSTITUTE($F169,"L","")))+(len($F169)-len(SUBSTITUTE($F169,"U","")))+(len($F169)-len(SUBSTITUTE($F169,"D","")))+(len($F169)-len(SUBSTITUTE($F169,"F","")))+(len($F169)-len(SUBSTITUTE($F169,"B","")))+(len($F169)-len(SUBSTITUTE($F169,"r","")))+(len($F169)-len(SUBSTITUTE($F169,"l","")))+(len($F169)-len(SUBSTITUTE($F169,"u","")))+(len($F169)-len(SUBSTITUTE($F169,"d","")))</f>
        <v>10</v>
      </c>
      <c r="H169" s="55">
        <f t="shared" ref="H169:H187" si="18">(len($F169)-len(SUBSTITUTE($F169,"R","")))+(len($F169)-len(SUBSTITUTE($F169,"L","")))+(len($F169)-len(SUBSTITUTE($F169,"U","")))+(len($F169)-len(SUBSTITUTE($F169,"D","")))+(len($F169)-len(SUBSTITUTE($F169,"F","")))+(len($F169)-len(SUBSTITUTE($F169,"B","")))+(len($F169)-len(SUBSTITUTE($F169,"r","")))+(len($F169)-len(SUBSTITUTE($F169,"l","")))+(len($F169)-len(SUBSTITUTE($F169,"u","")))+(len($F169)-len(SUBSTITUTE($F169,"d","")))+(len($F169)-len(SUBSTITUTE($F169,"2","")))</f>
        <v>10</v>
      </c>
    </row>
    <row r="170" ht="13.5">
      <c r="A170" s="60"/>
      <c r="B170" s="5" t="s">
        <v>115</v>
      </c>
      <c r="C170" s="5" t="s">
        <v>108</v>
      </c>
      <c r="D170" s="55" t="str">
        <f>VLOOKUP($B170,Letters!$C$81:$D$104,2,FALSE) &amp; VLOOKUP($C170,Letters!$C$81:$D$104,2,FALSE)</f>
        <v>JC</v>
      </c>
      <c r="E170" s="61" t="s">
        <v>2835</v>
      </c>
      <c r="F170" s="5" t="s">
        <v>2836</v>
      </c>
      <c r="G170" s="55">
        <f t="shared" si="17"/>
        <v>9</v>
      </c>
      <c r="H170" s="55">
        <f t="shared" si="18"/>
        <v>12</v>
      </c>
    </row>
    <row r="171" ht="13.5">
      <c r="A171" s="60"/>
      <c r="B171" s="5" t="s">
        <v>115</v>
      </c>
      <c r="C171" s="5" t="s">
        <v>109</v>
      </c>
      <c r="D171" s="55" t="str">
        <f>VLOOKUP($B171,Letters!$C$81:$D$104,2,FALSE) &amp; VLOOKUP($C171,Letters!$C$81:$D$104,2,FALSE)</f>
        <v>JD</v>
      </c>
      <c r="E171" s="61" t="s">
        <v>2838</v>
      </c>
      <c r="F171" s="5" t="s">
        <v>2839</v>
      </c>
      <c r="G171" s="55">
        <f t="shared" si="17"/>
        <v>8</v>
      </c>
      <c r="H171" s="55">
        <f t="shared" si="18"/>
        <v>10</v>
      </c>
    </row>
    <row r="172" ht="13.5">
      <c r="A172" s="54"/>
      <c r="B172" s="5" t="s">
        <v>115</v>
      </c>
      <c r="C172" s="5" t="s">
        <v>110</v>
      </c>
      <c r="D172" s="55" t="str">
        <f>VLOOKUP($B172,Letters!$C$81:$D$104,2,FALSE) &amp; VLOOKUP($C172,Letters!$C$81:$D$104,2,FALSE)</f>
        <v>JE</v>
      </c>
      <c r="E172" s="74" t="s">
        <v>2841</v>
      </c>
      <c r="F172" s="5" t="s">
        <v>2842</v>
      </c>
      <c r="G172" s="55">
        <f t="shared" si="17"/>
        <v>10</v>
      </c>
      <c r="H172" s="55">
        <f t="shared" si="18"/>
        <v>10</v>
      </c>
    </row>
    <row r="173" ht="13.5">
      <c r="A173" s="54"/>
      <c r="B173" s="5" t="s">
        <v>115</v>
      </c>
      <c r="C173" s="5" t="s">
        <v>111</v>
      </c>
      <c r="D173" s="55" t="str">
        <f>VLOOKUP($B173,Letters!$C$81:$D$104,2,FALSE) &amp; VLOOKUP($C173,Letters!$C$81:$D$104,2,FALSE)</f>
        <v>JF</v>
      </c>
      <c r="E173" s="74" t="s">
        <v>2844</v>
      </c>
      <c r="F173" s="5" t="s">
        <v>2845</v>
      </c>
      <c r="G173" s="55">
        <f t="shared" si="17"/>
        <v>8</v>
      </c>
      <c r="H173" s="55">
        <f t="shared" si="18"/>
        <v>8</v>
      </c>
    </row>
    <row r="174" ht="13.5">
      <c r="A174" s="54"/>
      <c r="B174" s="5" t="s">
        <v>115</v>
      </c>
      <c r="C174" s="5" t="s">
        <v>112</v>
      </c>
      <c r="D174" s="55" t="str">
        <f>VLOOKUP($B174,Letters!$C$81:$D$104,2,FALSE) &amp; VLOOKUP($C174,Letters!$C$81:$D$104,2,FALSE)</f>
        <v>JG</v>
      </c>
      <c r="E174" s="74" t="s">
        <v>2846</v>
      </c>
      <c r="F174" s="5" t="s">
        <v>2847</v>
      </c>
      <c r="G174" s="55">
        <f t="shared" si="17"/>
        <v>9</v>
      </c>
      <c r="H174" s="55">
        <f t="shared" si="18"/>
        <v>9</v>
      </c>
    </row>
    <row r="175" ht="13.5">
      <c r="A175" s="54"/>
      <c r="B175" s="5" t="s">
        <v>115</v>
      </c>
      <c r="C175" s="5" t="s">
        <v>113</v>
      </c>
      <c r="D175" s="55" t="str">
        <f>VLOOKUP($B175,Letters!$C$81:$D$104,2,FALSE) &amp; VLOOKUP($C175,Letters!$C$81:$D$104,2,FALSE)</f>
        <v>JH</v>
      </c>
      <c r="E175" s="74" t="s">
        <v>2848</v>
      </c>
      <c r="F175" s="5" t="s">
        <v>2849</v>
      </c>
      <c r="G175" s="55">
        <f t="shared" si="17"/>
        <v>10</v>
      </c>
      <c r="H175" s="55">
        <f t="shared" si="18"/>
        <v>12</v>
      </c>
    </row>
    <row r="176" ht="13.5">
      <c r="A176" s="54"/>
      <c r="B176" s="5" t="s">
        <v>115</v>
      </c>
      <c r="C176" s="5" t="s">
        <v>118</v>
      </c>
      <c r="D176" s="55" t="str">
        <f>VLOOKUP($B176,Letters!$C$81:$D$104,2,FALSE) &amp; VLOOKUP($C176,Letters!$C$81:$D$104,2,FALSE)</f>
        <v>JM</v>
      </c>
      <c r="E176" s="61" t="s">
        <v>2852</v>
      </c>
      <c r="F176" s="5" t="s">
        <v>2853</v>
      </c>
      <c r="G176" s="55">
        <f t="shared" si="17"/>
        <v>9</v>
      </c>
      <c r="H176" s="55">
        <f t="shared" si="18"/>
        <v>9</v>
      </c>
    </row>
    <row r="177" ht="13.5">
      <c r="A177" s="60"/>
      <c r="B177" s="5" t="s">
        <v>115</v>
      </c>
      <c r="C177" s="5" t="s">
        <v>119</v>
      </c>
      <c r="D177" s="55" t="str">
        <f>VLOOKUP($B177,Letters!$C$81:$D$104,2,FALSE) &amp; VLOOKUP($C177,Letters!$C$81:$D$104,2,FALSE)</f>
        <v>JN</v>
      </c>
      <c r="E177" s="61" t="s">
        <v>2855</v>
      </c>
      <c r="F177" s="5" t="s">
        <v>2856</v>
      </c>
      <c r="G177" s="55">
        <f t="shared" si="17"/>
        <v>8</v>
      </c>
      <c r="H177" s="55">
        <f t="shared" si="18"/>
        <v>8</v>
      </c>
    </row>
    <row r="178" ht="13.5">
      <c r="A178" s="54"/>
      <c r="B178" s="5" t="s">
        <v>115</v>
      </c>
      <c r="C178" s="5" t="s">
        <v>120</v>
      </c>
      <c r="D178" s="55" t="str">
        <f>VLOOKUP($B178,Letters!$C$81:$D$104,2,FALSE) &amp; VLOOKUP($C178,Letters!$C$81:$D$104,2,FALSE)</f>
        <v>JO</v>
      </c>
      <c r="E178" s="61" t="s">
        <v>2857</v>
      </c>
      <c r="F178" s="5" t="s">
        <v>2858</v>
      </c>
      <c r="G178" s="55">
        <f t="shared" si="17"/>
        <v>10</v>
      </c>
      <c r="H178" s="55">
        <f t="shared" si="18"/>
        <v>11</v>
      </c>
    </row>
    <row r="179" ht="13.5">
      <c r="A179" s="54"/>
      <c r="B179" s="5" t="s">
        <v>115</v>
      </c>
      <c r="C179" s="5" t="s">
        <v>121</v>
      </c>
      <c r="D179" s="55" t="str">
        <f>VLOOKUP($B179,Letters!$C$81:$D$104,2,FALSE) &amp; VLOOKUP($C179,Letters!$C$81:$D$104,2,FALSE)</f>
        <v>JP</v>
      </c>
      <c r="E179" s="61" t="s">
        <v>2860</v>
      </c>
      <c r="F179" s="5" t="s">
        <v>2861</v>
      </c>
      <c r="G179" s="55">
        <f t="shared" si="17"/>
        <v>10</v>
      </c>
      <c r="H179" s="55">
        <f t="shared" si="18"/>
        <v>11</v>
      </c>
    </row>
    <row r="180" ht="13.5">
      <c r="A180" s="54"/>
      <c r="B180" s="5" t="s">
        <v>115</v>
      </c>
      <c r="C180" s="5" t="s">
        <v>122</v>
      </c>
      <c r="D180" s="55" t="str">
        <f>VLOOKUP($B180,Letters!$C$81:$D$104,2,FALSE) &amp; VLOOKUP($C180,Letters!$C$81:$D$104,2,FALSE)</f>
        <v>JA</v>
      </c>
      <c r="E180" s="61" t="s">
        <v>2863</v>
      </c>
      <c r="F180" s="5" t="s">
        <v>2864</v>
      </c>
      <c r="G180" s="55">
        <f t="shared" si="17"/>
        <v>9</v>
      </c>
      <c r="H180" s="55">
        <f t="shared" si="18"/>
        <v>12</v>
      </c>
    </row>
    <row r="181" ht="13.5">
      <c r="A181" s="60"/>
      <c r="B181" s="5" t="s">
        <v>115</v>
      </c>
      <c r="C181" s="5" t="s">
        <v>123</v>
      </c>
      <c r="D181" s="55" t="str">
        <f>VLOOKUP($B181,Letters!$C$81:$D$104,2,FALSE) &amp; VLOOKUP($C181,Letters!$C$81:$D$104,2,FALSE)</f>
        <v>JR</v>
      </c>
      <c r="E181" s="61" t="s">
        <v>2866</v>
      </c>
      <c r="F181" s="5" t="s">
        <v>2867</v>
      </c>
      <c r="G181" s="55">
        <f t="shared" si="17"/>
        <v>8</v>
      </c>
      <c r="H181" s="55">
        <f t="shared" si="18"/>
        <v>10</v>
      </c>
    </row>
    <row r="182" ht="13.5">
      <c r="A182" s="54"/>
      <c r="B182" s="5" t="s">
        <v>115</v>
      </c>
      <c r="C182" s="5" t="s">
        <v>124</v>
      </c>
      <c r="D182" s="55" t="str">
        <f>VLOOKUP($B182,Letters!$C$81:$D$104,2,FALSE) &amp; VLOOKUP($C182,Letters!$C$81:$D$104,2,FALSE)</f>
        <v>JS</v>
      </c>
      <c r="E182" s="61" t="s">
        <v>2869</v>
      </c>
      <c r="F182" s="5" t="s">
        <v>2870</v>
      </c>
      <c r="G182" s="55">
        <f t="shared" si="17"/>
        <v>8</v>
      </c>
      <c r="H182" s="55">
        <f t="shared" si="18"/>
        <v>8</v>
      </c>
    </row>
    <row r="183" ht="13.5">
      <c r="A183" s="54"/>
      <c r="B183" s="5" t="s">
        <v>115</v>
      </c>
      <c r="C183" s="5" t="s">
        <v>125</v>
      </c>
      <c r="D183" s="55" t="str">
        <f>VLOOKUP($B183,Letters!$C$81:$D$104,2,FALSE) &amp; VLOOKUP($C183,Letters!$C$81:$D$104,2,FALSE)</f>
        <v>JT</v>
      </c>
      <c r="E183" s="61" t="s">
        <v>2871</v>
      </c>
      <c r="F183" s="5" t="s">
        <v>2872</v>
      </c>
      <c r="G183" s="55">
        <f t="shared" si="17"/>
        <v>8</v>
      </c>
      <c r="H183" s="55">
        <f t="shared" si="18"/>
        <v>10</v>
      </c>
    </row>
    <row r="184" ht="13.5">
      <c r="A184" s="54"/>
      <c r="B184" s="5" t="s">
        <v>115</v>
      </c>
      <c r="C184" s="5" t="s">
        <v>126</v>
      </c>
      <c r="D184" s="55" t="str">
        <f>VLOOKUP($B184,Letters!$C$81:$D$104,2,FALSE) &amp; VLOOKUP($C184,Letters!$C$81:$D$104,2,FALSE)</f>
        <v>JU</v>
      </c>
      <c r="E184" s="61" t="s">
        <v>2874</v>
      </c>
      <c r="F184" s="5" t="s">
        <v>2875</v>
      </c>
      <c r="G184" s="55">
        <f t="shared" si="17"/>
        <v>8</v>
      </c>
      <c r="H184" s="55">
        <f t="shared" si="18"/>
        <v>10</v>
      </c>
    </row>
    <row r="185" ht="13.5">
      <c r="A185" s="54"/>
      <c r="B185" s="5" t="s">
        <v>115</v>
      </c>
      <c r="C185" s="5" t="s">
        <v>127</v>
      </c>
      <c r="D185" s="55" t="str">
        <f>VLOOKUP($B185,Letters!$C$81:$D$104,2,FALSE) &amp; VLOOKUP($C185,Letters!$C$81:$D$104,2,FALSE)</f>
        <v>JV</v>
      </c>
      <c r="E185" s="61" t="s">
        <v>2877</v>
      </c>
      <c r="F185" s="5" t="s">
        <v>2878</v>
      </c>
      <c r="G185" s="55">
        <f t="shared" si="17"/>
        <v>10</v>
      </c>
      <c r="H185" s="55">
        <f t="shared" si="18"/>
        <v>12</v>
      </c>
    </row>
    <row r="186" ht="13.5">
      <c r="A186" s="60"/>
      <c r="B186" s="5" t="s">
        <v>115</v>
      </c>
      <c r="C186" s="5" t="s">
        <v>128</v>
      </c>
      <c r="D186" s="55" t="str">
        <f>VLOOKUP($B186,Letters!$C$81:$D$104,2,FALSE) &amp; VLOOKUP($C186,Letters!$C$81:$D$104,2,FALSE)</f>
        <v>JW</v>
      </c>
      <c r="E186" s="61" t="s">
        <v>2880</v>
      </c>
      <c r="F186" s="5" t="s">
        <v>2881</v>
      </c>
      <c r="G186" s="55">
        <f t="shared" si="17"/>
        <v>10</v>
      </c>
      <c r="H186" s="55">
        <f t="shared" si="18"/>
        <v>14</v>
      </c>
    </row>
    <row r="187" ht="13.5">
      <c r="A187" s="54"/>
      <c r="B187" s="5" t="s">
        <v>115</v>
      </c>
      <c r="C187" s="5" t="s">
        <v>129</v>
      </c>
      <c r="D187" s="55" t="str">
        <f>VLOOKUP($B187,Letters!$C$81:$D$104,2,FALSE) &amp; VLOOKUP($C187,Letters!$C$81:$D$104,2,FALSE)</f>
        <v>JX</v>
      </c>
      <c r="E187" s="61" t="s">
        <v>2882</v>
      </c>
      <c r="F187" s="5" t="s">
        <v>2883</v>
      </c>
      <c r="G187" s="55">
        <f t="shared" si="17"/>
        <v>10</v>
      </c>
      <c r="H187" s="55">
        <f t="shared" si="18"/>
        <v>12</v>
      </c>
    </row>
    <row r="188">
      <c r="A188" s="60"/>
      <c r="B188" s="5"/>
      <c r="C188" s="5"/>
      <c r="D188" s="55"/>
      <c r="E188" s="5"/>
      <c r="F188" s="5"/>
      <c r="G188" s="55"/>
      <c r="H188" s="55"/>
    </row>
    <row r="189" ht="13.5">
      <c r="A189" s="60"/>
      <c r="B189" s="5" t="s">
        <v>116</v>
      </c>
      <c r="C189" s="5" t="s">
        <v>107</v>
      </c>
      <c r="D189" s="55" t="str">
        <f>VLOOKUP($B189,Letters!$C$81:$D$104,2,FALSE) &amp; VLOOKUP($C189,Letters!$C$81:$D$104,2,FALSE)</f>
        <v>KB</v>
      </c>
      <c r="E189" s="61" t="s">
        <v>2884</v>
      </c>
      <c r="F189" s="5" t="s">
        <v>2885</v>
      </c>
      <c r="G189" s="55">
        <f t="shared" ref="G189:G207" si="19">(len($F189)-len(SUBSTITUTE($F189,"R","")))+(len($F189)-len(SUBSTITUTE($F189,"L","")))+(len($F189)-len(SUBSTITUTE($F189,"U","")))+(len($F189)-len(SUBSTITUTE($F189,"D","")))+(len($F189)-len(SUBSTITUTE($F189,"F","")))+(len($F189)-len(SUBSTITUTE($F189,"B","")))+(len($F189)-len(SUBSTITUTE($F189,"r","")))+(len($F189)-len(SUBSTITUTE($F189,"l","")))+(len($F189)-len(SUBSTITUTE($F189,"u","")))+(len($F189)-len(SUBSTITUTE($F189,"d","")))</f>
        <v>8</v>
      </c>
      <c r="H189" s="55">
        <f t="shared" ref="H189:H207" si="20">(len($F189)-len(SUBSTITUTE($F189,"R","")))+(len($F189)-len(SUBSTITUTE($F189,"L","")))+(len($F189)-len(SUBSTITUTE($F189,"U","")))+(len($F189)-len(SUBSTITUTE($F189,"D","")))+(len($F189)-len(SUBSTITUTE($F189,"F","")))+(len($F189)-len(SUBSTITUTE($F189,"B","")))+(len($F189)-len(SUBSTITUTE($F189,"r","")))+(len($F189)-len(SUBSTITUTE($F189,"l","")))+(len($F189)-len(SUBSTITUTE($F189,"u","")))+(len($F189)-len(SUBSTITUTE($F189,"d","")))+(len($F189)-len(SUBSTITUTE($F189,"2","")))</f>
        <v>10</v>
      </c>
    </row>
    <row r="190" ht="13.5">
      <c r="A190" s="54"/>
      <c r="B190" s="5" t="s">
        <v>116</v>
      </c>
      <c r="C190" s="5" t="s">
        <v>108</v>
      </c>
      <c r="D190" s="55" t="str">
        <f>VLOOKUP($B190,Letters!$C$81:$D$104,2,FALSE) &amp; VLOOKUP($C190,Letters!$C$81:$D$104,2,FALSE)</f>
        <v>KC</v>
      </c>
      <c r="E190" s="61" t="s">
        <v>2890</v>
      </c>
      <c r="F190" s="5" t="s">
        <v>2891</v>
      </c>
      <c r="G190" s="55">
        <f t="shared" si="19"/>
        <v>8</v>
      </c>
      <c r="H190" s="55">
        <f t="shared" si="20"/>
        <v>12</v>
      </c>
    </row>
    <row r="191" ht="13.5">
      <c r="A191" s="60"/>
      <c r="B191" s="5" t="s">
        <v>116</v>
      </c>
      <c r="C191" s="5" t="s">
        <v>109</v>
      </c>
      <c r="D191" s="55" t="str">
        <f>VLOOKUP($B191,Letters!$C$81:$D$104,2,FALSE) &amp; VLOOKUP($C191,Letters!$C$81:$D$104,2,FALSE)</f>
        <v>KD</v>
      </c>
      <c r="E191" s="61" t="s">
        <v>2894</v>
      </c>
      <c r="F191" s="5" t="s">
        <v>2895</v>
      </c>
      <c r="G191" s="55">
        <f t="shared" si="19"/>
        <v>8</v>
      </c>
      <c r="H191" s="55">
        <f t="shared" si="20"/>
        <v>10</v>
      </c>
    </row>
    <row r="192" ht="13.5">
      <c r="A192" s="54"/>
      <c r="B192" s="5" t="s">
        <v>116</v>
      </c>
      <c r="C192" s="5" t="s">
        <v>110</v>
      </c>
      <c r="D192" s="55" t="str">
        <f>VLOOKUP($B192,Letters!$C$81:$D$104,2,FALSE) &amp; VLOOKUP($C192,Letters!$C$81:$D$104,2,FALSE)</f>
        <v>KE</v>
      </c>
      <c r="E192" s="61" t="s">
        <v>2898</v>
      </c>
      <c r="F192" s="5" t="s">
        <v>2899</v>
      </c>
      <c r="G192" s="55">
        <f t="shared" si="19"/>
        <v>9</v>
      </c>
      <c r="H192" s="55">
        <f t="shared" si="20"/>
        <v>12</v>
      </c>
    </row>
    <row r="193" ht="13.5">
      <c r="A193" s="54"/>
      <c r="B193" s="5" t="s">
        <v>116</v>
      </c>
      <c r="C193" s="5" t="s">
        <v>111</v>
      </c>
      <c r="D193" s="55" t="str">
        <f>VLOOKUP($B193,Letters!$C$81:$D$104,2,FALSE) &amp; VLOOKUP($C193,Letters!$C$81:$D$104,2,FALSE)</f>
        <v>KF</v>
      </c>
      <c r="E193" s="61" t="s">
        <v>2900</v>
      </c>
      <c r="F193" s="5" t="s">
        <v>2901</v>
      </c>
      <c r="G193" s="55">
        <f t="shared" si="19"/>
        <v>10</v>
      </c>
      <c r="H193" s="55">
        <f t="shared" si="20"/>
        <v>10</v>
      </c>
    </row>
    <row r="194" ht="13.5">
      <c r="A194" s="54"/>
      <c r="B194" s="5" t="s">
        <v>116</v>
      </c>
      <c r="C194" s="5" t="s">
        <v>112</v>
      </c>
      <c r="D194" s="55" t="str">
        <f>VLOOKUP($B194,Letters!$C$81:$D$104,2,FALSE) &amp; VLOOKUP($C194,Letters!$C$81:$D$104,2,FALSE)</f>
        <v>KG</v>
      </c>
      <c r="E194" s="61" t="s">
        <v>2903</v>
      </c>
      <c r="F194" s="5" t="s">
        <v>2904</v>
      </c>
      <c r="G194" s="55">
        <f t="shared" si="19"/>
        <v>8</v>
      </c>
      <c r="H194" s="55">
        <f t="shared" si="20"/>
        <v>10</v>
      </c>
    </row>
    <row r="195" ht="13.5">
      <c r="A195" s="54"/>
      <c r="B195" s="5" t="s">
        <v>116</v>
      </c>
      <c r="C195" s="5" t="s">
        <v>113</v>
      </c>
      <c r="D195" s="55" t="str">
        <f>VLOOKUP($B195,Letters!$C$81:$D$104,2,FALSE) &amp; VLOOKUP($C195,Letters!$C$81:$D$104,2,FALSE)</f>
        <v>KH</v>
      </c>
      <c r="E195" s="61" t="s">
        <v>2907</v>
      </c>
      <c r="F195" s="5" t="s">
        <v>2908</v>
      </c>
      <c r="G195" s="55">
        <f t="shared" si="19"/>
        <v>10</v>
      </c>
      <c r="H195" s="55">
        <f t="shared" si="20"/>
        <v>12</v>
      </c>
    </row>
    <row r="196" ht="13.5">
      <c r="A196" s="60"/>
      <c r="B196" s="5" t="s">
        <v>116</v>
      </c>
      <c r="C196" s="5" t="s">
        <v>118</v>
      </c>
      <c r="D196" s="55" t="str">
        <f>VLOOKUP($B196,Letters!$C$81:$D$104,2,FALSE) &amp; VLOOKUP($C196,Letters!$C$81:$D$104,2,FALSE)</f>
        <v>KM</v>
      </c>
      <c r="E196" s="61" t="s">
        <v>2910</v>
      </c>
      <c r="F196" s="5" t="s">
        <v>2911</v>
      </c>
      <c r="G196" s="55">
        <f t="shared" si="19"/>
        <v>9</v>
      </c>
      <c r="H196" s="55">
        <f t="shared" si="20"/>
        <v>12</v>
      </c>
    </row>
    <row r="197" ht="13.5">
      <c r="A197" s="54"/>
      <c r="B197" s="5" t="s">
        <v>116</v>
      </c>
      <c r="C197" s="5" t="s">
        <v>119</v>
      </c>
      <c r="D197" s="55" t="str">
        <f>VLOOKUP($B197,Letters!$C$81:$D$104,2,FALSE) &amp; VLOOKUP($C197,Letters!$C$81:$D$104,2,FALSE)</f>
        <v>KN</v>
      </c>
      <c r="E197" s="61" t="s">
        <v>2912</v>
      </c>
      <c r="F197" s="5" t="s">
        <v>2913</v>
      </c>
      <c r="G197" s="55">
        <f t="shared" si="19"/>
        <v>9</v>
      </c>
      <c r="H197" s="55">
        <f t="shared" si="20"/>
        <v>11</v>
      </c>
    </row>
    <row r="198" ht="13.5">
      <c r="A198" s="54"/>
      <c r="B198" s="5" t="s">
        <v>116</v>
      </c>
      <c r="C198" s="5" t="s">
        <v>120</v>
      </c>
      <c r="D198" s="55" t="str">
        <f>VLOOKUP($B198,Letters!$C$81:$D$104,2,FALSE) &amp; VLOOKUP($C198,Letters!$C$81:$D$104,2,FALSE)</f>
        <v>KO</v>
      </c>
      <c r="E198" s="61" t="s">
        <v>2916</v>
      </c>
      <c r="F198" s="5" t="s">
        <v>2917</v>
      </c>
      <c r="G198" s="55">
        <f t="shared" si="19"/>
        <v>8</v>
      </c>
      <c r="H198" s="55">
        <f t="shared" si="20"/>
        <v>10</v>
      </c>
    </row>
    <row r="199" ht="13.5">
      <c r="A199" s="54"/>
      <c r="B199" s="5" t="s">
        <v>116</v>
      </c>
      <c r="C199" s="5" t="s">
        <v>121</v>
      </c>
      <c r="D199" s="55" t="str">
        <f>VLOOKUP($B199,Letters!$C$81:$D$104,2,FALSE) &amp; VLOOKUP($C199,Letters!$C$81:$D$104,2,FALSE)</f>
        <v>KP</v>
      </c>
      <c r="E199" s="61" t="s">
        <v>2920</v>
      </c>
      <c r="F199" s="5" t="s">
        <v>2921</v>
      </c>
      <c r="G199" s="55">
        <f t="shared" si="19"/>
        <v>10</v>
      </c>
      <c r="H199" s="55">
        <f t="shared" si="20"/>
        <v>13</v>
      </c>
    </row>
    <row r="200" ht="13.5">
      <c r="A200" s="54"/>
      <c r="B200" s="5" t="s">
        <v>116</v>
      </c>
      <c r="C200" s="5" t="s">
        <v>122</v>
      </c>
      <c r="D200" s="55" t="str">
        <f>VLOOKUP($B200,Letters!$C$81:$D$104,2,FALSE) &amp; VLOOKUP($C200,Letters!$C$81:$D$104,2,FALSE)</f>
        <v>KA</v>
      </c>
      <c r="E200" s="61" t="s">
        <v>2923</v>
      </c>
      <c r="F200" s="5" t="s">
        <v>2924</v>
      </c>
      <c r="G200" s="55">
        <f t="shared" si="19"/>
        <v>10</v>
      </c>
      <c r="H200" s="55">
        <f t="shared" si="20"/>
        <v>12</v>
      </c>
    </row>
    <row r="201" ht="13.5">
      <c r="A201" s="54"/>
      <c r="B201" s="5" t="s">
        <v>116</v>
      </c>
      <c r="C201" s="5" t="s">
        <v>123</v>
      </c>
      <c r="D201" s="55" t="str">
        <f>VLOOKUP($B201,Letters!$C$81:$D$104,2,FALSE) &amp; VLOOKUP($C201,Letters!$C$81:$D$104,2,FALSE)</f>
        <v>KR</v>
      </c>
      <c r="E201" s="61" t="s">
        <v>2926</v>
      </c>
      <c r="F201" s="5" t="s">
        <v>2927</v>
      </c>
      <c r="G201" s="55">
        <f t="shared" si="19"/>
        <v>9</v>
      </c>
      <c r="H201" s="55">
        <f t="shared" si="20"/>
        <v>10</v>
      </c>
    </row>
    <row r="202" ht="13.5">
      <c r="A202" s="54"/>
      <c r="B202" s="5" t="s">
        <v>116</v>
      </c>
      <c r="C202" s="5" t="s">
        <v>124</v>
      </c>
      <c r="D202" s="55" t="str">
        <f>VLOOKUP($B202,Letters!$C$81:$D$104,2,FALSE) &amp; VLOOKUP($C202,Letters!$C$81:$D$104,2,FALSE)</f>
        <v>KS</v>
      </c>
      <c r="E202" s="61" t="s">
        <v>2929</v>
      </c>
      <c r="F202" s="5" t="s">
        <v>2930</v>
      </c>
      <c r="G202" s="55">
        <f t="shared" si="19"/>
        <v>8</v>
      </c>
      <c r="H202" s="55">
        <f t="shared" si="20"/>
        <v>12</v>
      </c>
    </row>
    <row r="203" ht="13.5">
      <c r="A203" s="54"/>
      <c r="B203" s="5" t="s">
        <v>116</v>
      </c>
      <c r="C203" s="5" t="s">
        <v>125</v>
      </c>
      <c r="D203" s="55" t="str">
        <f>VLOOKUP($B203,Letters!$C$81:$D$104,2,FALSE) &amp; VLOOKUP($C203,Letters!$C$81:$D$104,2,FALSE)</f>
        <v>KT</v>
      </c>
      <c r="E203" s="61" t="s">
        <v>2931</v>
      </c>
      <c r="F203" s="5" t="s">
        <v>2933</v>
      </c>
      <c r="G203" s="55">
        <f t="shared" si="19"/>
        <v>9</v>
      </c>
      <c r="H203" s="55">
        <f t="shared" si="20"/>
        <v>12</v>
      </c>
    </row>
    <row r="204" ht="13.5">
      <c r="A204" s="60"/>
      <c r="B204" s="5" t="s">
        <v>116</v>
      </c>
      <c r="C204" s="5" t="s">
        <v>126</v>
      </c>
      <c r="D204" s="55" t="str">
        <f>VLOOKUP($B204,Letters!$C$81:$D$104,2,FALSE) &amp; VLOOKUP($C204,Letters!$C$81:$D$104,2,FALSE)</f>
        <v>KU</v>
      </c>
      <c r="E204" s="61" t="s">
        <v>2935</v>
      </c>
      <c r="F204" s="5" t="s">
        <v>2936</v>
      </c>
      <c r="G204" s="55">
        <f t="shared" si="19"/>
        <v>10</v>
      </c>
      <c r="H204" s="55">
        <f t="shared" si="20"/>
        <v>12</v>
      </c>
    </row>
    <row r="205" ht="13.5">
      <c r="A205" s="54"/>
      <c r="B205" s="5" t="s">
        <v>116</v>
      </c>
      <c r="C205" s="5" t="s">
        <v>127</v>
      </c>
      <c r="D205" s="55" t="str">
        <f>VLOOKUP($B205,Letters!$C$81:$D$104,2,FALSE) &amp; VLOOKUP($C205,Letters!$C$81:$D$104,2,FALSE)</f>
        <v>KV</v>
      </c>
      <c r="E205" s="61" t="s">
        <v>2938</v>
      </c>
      <c r="F205" s="5" t="s">
        <v>2939</v>
      </c>
      <c r="G205" s="55">
        <f t="shared" si="19"/>
        <v>10</v>
      </c>
      <c r="H205" s="55">
        <f t="shared" si="20"/>
        <v>14</v>
      </c>
    </row>
    <row r="206" ht="13.5">
      <c r="A206" s="54"/>
      <c r="B206" s="5" t="s">
        <v>116</v>
      </c>
      <c r="C206" s="5" t="s">
        <v>128</v>
      </c>
      <c r="D206" s="55" t="str">
        <f>VLOOKUP($B206,Letters!$C$81:$D$104,2,FALSE) &amp; VLOOKUP($C206,Letters!$C$81:$D$104,2,FALSE)</f>
        <v>KW</v>
      </c>
      <c r="E206" s="61" t="s">
        <v>2941</v>
      </c>
      <c r="F206" s="5" t="s">
        <v>2942</v>
      </c>
      <c r="G206" s="55">
        <f t="shared" si="19"/>
        <v>11</v>
      </c>
      <c r="H206" s="55">
        <f t="shared" si="20"/>
        <v>14</v>
      </c>
    </row>
    <row r="207" ht="13.5">
      <c r="A207" s="60"/>
      <c r="B207" s="5" t="s">
        <v>116</v>
      </c>
      <c r="C207" s="5" t="s">
        <v>129</v>
      </c>
      <c r="D207" s="55" t="str">
        <f>VLOOKUP($B207,Letters!$C$81:$D$104,2,FALSE) &amp; VLOOKUP($C207,Letters!$C$81:$D$104,2,FALSE)</f>
        <v>KX</v>
      </c>
      <c r="E207" s="61" t="s">
        <v>2945</v>
      </c>
      <c r="F207" s="5" t="s">
        <v>2946</v>
      </c>
      <c r="G207" s="55">
        <f t="shared" si="19"/>
        <v>9</v>
      </c>
      <c r="H207" s="55">
        <f t="shared" si="20"/>
        <v>12</v>
      </c>
    </row>
    <row r="208">
      <c r="A208" s="54"/>
      <c r="B208" s="5"/>
      <c r="C208" s="5"/>
      <c r="D208" s="55"/>
      <c r="E208" s="5"/>
      <c r="F208" s="5"/>
      <c r="G208" s="55"/>
      <c r="H208" s="55"/>
    </row>
    <row r="209" ht="13.5">
      <c r="A209" s="54"/>
      <c r="B209" s="5" t="s">
        <v>117</v>
      </c>
      <c r="C209" s="5" t="s">
        <v>107</v>
      </c>
      <c r="D209" s="55" t="str">
        <f>VLOOKUP($B209,Letters!$C$81:$D$104,2,FALSE) &amp; VLOOKUP($C209,Letters!$C$81:$D$104,2,FALSE)</f>
        <v>LB</v>
      </c>
      <c r="E209" s="61" t="s">
        <v>2947</v>
      </c>
      <c r="F209" s="5" t="s">
        <v>2948</v>
      </c>
      <c r="G209" s="55">
        <f t="shared" ref="G209:G227" si="21">(len($F209)-len(SUBSTITUTE($F209,"R","")))+(len($F209)-len(SUBSTITUTE($F209,"L","")))+(len($F209)-len(SUBSTITUTE($F209,"U","")))+(len($F209)-len(SUBSTITUTE($F209,"D","")))+(len($F209)-len(SUBSTITUTE($F209,"F","")))+(len($F209)-len(SUBSTITUTE($F209,"B","")))+(len($F209)-len(SUBSTITUTE($F209,"r","")))+(len($F209)-len(SUBSTITUTE($F209,"l","")))+(len($F209)-len(SUBSTITUTE($F209,"u","")))+(len($F209)-len(SUBSTITUTE($F209,"d","")))</f>
        <v>8</v>
      </c>
      <c r="H209" s="55">
        <f t="shared" ref="H209:H227" si="22">(len($F209)-len(SUBSTITUTE($F209,"R","")))+(len($F209)-len(SUBSTITUTE($F209,"L","")))+(len($F209)-len(SUBSTITUTE($F209,"U","")))+(len($F209)-len(SUBSTITUTE($F209,"D","")))+(len($F209)-len(SUBSTITUTE($F209,"F","")))+(len($F209)-len(SUBSTITUTE($F209,"B","")))+(len($F209)-len(SUBSTITUTE($F209,"r","")))+(len($F209)-len(SUBSTITUTE($F209,"l","")))+(len($F209)-len(SUBSTITUTE($F209,"u","")))+(len($F209)-len(SUBSTITUTE($F209,"d","")))+(len($F209)-len(SUBSTITUTE($F209,"2","")))</f>
        <v>10</v>
      </c>
    </row>
    <row r="210" ht="13.5">
      <c r="A210" s="54"/>
      <c r="B210" s="5" t="s">
        <v>117</v>
      </c>
      <c r="C210" s="5" t="s">
        <v>108</v>
      </c>
      <c r="D210" s="55" t="str">
        <f>VLOOKUP($B210,Letters!$C$81:$D$104,2,FALSE) &amp; VLOOKUP($C210,Letters!$C$81:$D$104,2,FALSE)</f>
        <v>LC</v>
      </c>
      <c r="E210" s="61" t="s">
        <v>2955</v>
      </c>
      <c r="F210" s="5" t="s">
        <v>2956</v>
      </c>
      <c r="G210" s="55">
        <f t="shared" si="21"/>
        <v>9</v>
      </c>
      <c r="H210" s="55">
        <f t="shared" si="22"/>
        <v>12</v>
      </c>
    </row>
    <row r="211" ht="13.5">
      <c r="A211" s="54"/>
      <c r="B211" s="5" t="s">
        <v>117</v>
      </c>
      <c r="C211" s="5" t="s">
        <v>109</v>
      </c>
      <c r="D211" s="55" t="str">
        <f>VLOOKUP($B211,Letters!$C$81:$D$104,2,FALSE) &amp; VLOOKUP($C211,Letters!$C$81:$D$104,2,FALSE)</f>
        <v>LD</v>
      </c>
      <c r="E211" s="61" t="s">
        <v>2959</v>
      </c>
      <c r="F211" s="5" t="s">
        <v>2960</v>
      </c>
      <c r="G211" s="55">
        <f t="shared" si="21"/>
        <v>9</v>
      </c>
      <c r="H211" s="55">
        <f t="shared" si="22"/>
        <v>12</v>
      </c>
    </row>
    <row r="212" ht="13.5">
      <c r="A212" s="54"/>
      <c r="B212" s="5" t="s">
        <v>117</v>
      </c>
      <c r="C212" s="5" t="s">
        <v>110</v>
      </c>
      <c r="D212" s="55" t="str">
        <f>VLOOKUP($B212,Letters!$C$81:$D$104,2,FALSE) &amp; VLOOKUP($C212,Letters!$C$81:$D$104,2,FALSE)</f>
        <v>LE</v>
      </c>
      <c r="E212" s="61" t="s">
        <v>2961</v>
      </c>
      <c r="F212" s="5" t="s">
        <v>2962</v>
      </c>
      <c r="G212" s="55">
        <f t="shared" si="21"/>
        <v>10</v>
      </c>
      <c r="H212" s="55">
        <f t="shared" si="22"/>
        <v>10</v>
      </c>
    </row>
    <row r="213" ht="13.5">
      <c r="A213" s="54"/>
      <c r="B213" s="5" t="s">
        <v>117</v>
      </c>
      <c r="C213" s="5" t="s">
        <v>111</v>
      </c>
      <c r="D213" s="55" t="str">
        <f>VLOOKUP($B213,Letters!$C$81:$D$104,2,FALSE) &amp; VLOOKUP($C213,Letters!$C$81:$D$104,2,FALSE)</f>
        <v>LF</v>
      </c>
      <c r="E213" s="61" t="s">
        <v>2964</v>
      </c>
      <c r="F213" s="5" t="s">
        <v>2965</v>
      </c>
      <c r="G213" s="55">
        <f t="shared" si="21"/>
        <v>10</v>
      </c>
      <c r="H213" s="55">
        <f t="shared" si="22"/>
        <v>12</v>
      </c>
    </row>
    <row r="214" ht="13.5">
      <c r="A214" s="54"/>
      <c r="B214" s="5" t="s">
        <v>117</v>
      </c>
      <c r="C214" s="5" t="s">
        <v>112</v>
      </c>
      <c r="D214" s="55" t="str">
        <f>VLOOKUP($B214,Letters!$C$81:$D$104,2,FALSE) &amp; VLOOKUP($C214,Letters!$C$81:$D$104,2,FALSE)</f>
        <v>LG</v>
      </c>
      <c r="E214" s="61" t="s">
        <v>2967</v>
      </c>
      <c r="F214" s="5" t="s">
        <v>2968</v>
      </c>
      <c r="G214" s="55">
        <f t="shared" si="21"/>
        <v>10</v>
      </c>
      <c r="H214" s="55">
        <f t="shared" si="22"/>
        <v>12</v>
      </c>
    </row>
    <row r="215" ht="13.5">
      <c r="A215" s="60"/>
      <c r="B215" s="5" t="s">
        <v>117</v>
      </c>
      <c r="C215" s="5" t="s">
        <v>113</v>
      </c>
      <c r="D215" s="55" t="str">
        <f>VLOOKUP($B215,Letters!$C$81:$D$104,2,FALSE) &amp; VLOOKUP($C215,Letters!$C$81:$D$104,2,FALSE)</f>
        <v>LH</v>
      </c>
      <c r="E215" s="61" t="s">
        <v>2970</v>
      </c>
      <c r="F215" s="5" t="s">
        <v>2971</v>
      </c>
      <c r="G215" s="55">
        <f t="shared" si="21"/>
        <v>9</v>
      </c>
      <c r="H215" s="55">
        <f t="shared" si="22"/>
        <v>10</v>
      </c>
    </row>
    <row r="216" ht="13.5">
      <c r="A216" s="60"/>
      <c r="B216" s="5" t="s">
        <v>117</v>
      </c>
      <c r="C216" s="5" t="s">
        <v>118</v>
      </c>
      <c r="D216" s="55" t="str">
        <f>VLOOKUP($B216,Letters!$C$81:$D$104,2,FALSE) &amp; VLOOKUP($C216,Letters!$C$81:$D$104,2,FALSE)</f>
        <v>LM</v>
      </c>
      <c r="E216" s="61" t="s">
        <v>2972</v>
      </c>
      <c r="F216" s="5" t="s">
        <v>2973</v>
      </c>
      <c r="G216" s="55">
        <f t="shared" si="21"/>
        <v>10</v>
      </c>
      <c r="H216" s="55">
        <f t="shared" si="22"/>
        <v>10</v>
      </c>
    </row>
    <row r="217" ht="13.5">
      <c r="A217" s="60"/>
      <c r="B217" s="5" t="s">
        <v>117</v>
      </c>
      <c r="C217" s="5" t="s">
        <v>119</v>
      </c>
      <c r="D217" s="55" t="str">
        <f>VLOOKUP($B217,Letters!$C$81:$D$104,2,FALSE) &amp; VLOOKUP($C217,Letters!$C$81:$D$104,2,FALSE)</f>
        <v>LN</v>
      </c>
      <c r="E217" s="61" t="s">
        <v>2976</v>
      </c>
      <c r="F217" s="5" t="s">
        <v>2977</v>
      </c>
      <c r="G217" s="55">
        <f t="shared" si="21"/>
        <v>10</v>
      </c>
      <c r="H217" s="55">
        <f t="shared" si="22"/>
        <v>14</v>
      </c>
    </row>
    <row r="218" ht="13.5">
      <c r="A218" s="60"/>
      <c r="B218" s="5" t="s">
        <v>117</v>
      </c>
      <c r="C218" s="5" t="s">
        <v>120</v>
      </c>
      <c r="D218" s="55" t="str">
        <f>VLOOKUP($B218,Letters!$C$81:$D$104,2,FALSE) &amp; VLOOKUP($C218,Letters!$C$81:$D$104,2,FALSE)</f>
        <v>LO</v>
      </c>
      <c r="E218" s="61" t="s">
        <v>2979</v>
      </c>
      <c r="F218" s="5" t="s">
        <v>2980</v>
      </c>
      <c r="G218" s="55">
        <f t="shared" si="21"/>
        <v>10</v>
      </c>
      <c r="H218" s="55">
        <f t="shared" si="22"/>
        <v>12</v>
      </c>
    </row>
    <row r="219" ht="13.5">
      <c r="A219" s="60"/>
      <c r="B219" s="5" t="s">
        <v>117</v>
      </c>
      <c r="C219" s="5" t="s">
        <v>121</v>
      </c>
      <c r="D219" s="55" t="str">
        <f>VLOOKUP($B219,Letters!$C$81:$D$104,2,FALSE) &amp; VLOOKUP($C219,Letters!$C$81:$D$104,2,FALSE)</f>
        <v>LP</v>
      </c>
      <c r="E219" s="61" t="s">
        <v>2982</v>
      </c>
      <c r="F219" s="5" t="s">
        <v>2983</v>
      </c>
      <c r="G219" s="55">
        <f t="shared" si="21"/>
        <v>9</v>
      </c>
      <c r="H219" s="55">
        <f t="shared" si="22"/>
        <v>10</v>
      </c>
    </row>
    <row r="220" ht="13.5">
      <c r="A220" s="60"/>
      <c r="B220" s="5" t="s">
        <v>117</v>
      </c>
      <c r="C220" s="5" t="s">
        <v>122</v>
      </c>
      <c r="D220" s="55" t="str">
        <f>VLOOKUP($B220,Letters!$C$81:$D$104,2,FALSE) &amp; VLOOKUP($C220,Letters!$C$81:$D$104,2,FALSE)</f>
        <v>LA</v>
      </c>
      <c r="E220" s="61" t="s">
        <v>2985</v>
      </c>
      <c r="F220" s="5" t="s">
        <v>2986</v>
      </c>
      <c r="G220" s="55">
        <f t="shared" si="21"/>
        <v>9</v>
      </c>
      <c r="H220" s="55">
        <f t="shared" si="22"/>
        <v>10</v>
      </c>
    </row>
    <row r="221" ht="13.5">
      <c r="A221" s="60"/>
      <c r="B221" s="5" t="s">
        <v>117</v>
      </c>
      <c r="C221" s="5" t="s">
        <v>123</v>
      </c>
      <c r="D221" s="55" t="str">
        <f>VLOOKUP($B221,Letters!$C$81:$D$104,2,FALSE) &amp; VLOOKUP($C221,Letters!$C$81:$D$104,2,FALSE)</f>
        <v>LR</v>
      </c>
      <c r="E221" s="61" t="s">
        <v>2988</v>
      </c>
      <c r="F221" s="5" t="s">
        <v>2989</v>
      </c>
      <c r="G221" s="55">
        <f t="shared" si="21"/>
        <v>10</v>
      </c>
      <c r="H221" s="55">
        <f t="shared" si="22"/>
        <v>14</v>
      </c>
    </row>
    <row r="222" ht="13.5">
      <c r="A222" s="60"/>
      <c r="B222" s="5" t="s">
        <v>117</v>
      </c>
      <c r="C222" s="5" t="s">
        <v>124</v>
      </c>
      <c r="D222" s="55" t="str">
        <f>VLOOKUP($B222,Letters!$C$81:$D$104,2,FALSE) &amp; VLOOKUP($C222,Letters!$C$81:$D$104,2,FALSE)</f>
        <v>LS</v>
      </c>
      <c r="E222" s="61" t="s">
        <v>2991</v>
      </c>
      <c r="F222" s="5" t="s">
        <v>2992</v>
      </c>
      <c r="G222" s="55">
        <f t="shared" si="21"/>
        <v>10</v>
      </c>
      <c r="H222" s="55">
        <f t="shared" si="22"/>
        <v>14</v>
      </c>
    </row>
    <row r="223" ht="13.5">
      <c r="A223" s="60"/>
      <c r="B223" s="5" t="s">
        <v>117</v>
      </c>
      <c r="C223" s="5" t="s">
        <v>125</v>
      </c>
      <c r="D223" s="55" t="str">
        <f>VLOOKUP($B223,Letters!$C$81:$D$104,2,FALSE) &amp; VLOOKUP($C223,Letters!$C$81:$D$104,2,FALSE)</f>
        <v>LT</v>
      </c>
      <c r="E223" s="61" t="s">
        <v>2994</v>
      </c>
      <c r="F223" s="5" t="s">
        <v>2995</v>
      </c>
      <c r="G223" s="55">
        <f t="shared" si="21"/>
        <v>8</v>
      </c>
      <c r="H223" s="55">
        <f t="shared" si="22"/>
        <v>10</v>
      </c>
    </row>
    <row r="224" ht="13.5">
      <c r="A224" s="60"/>
      <c r="B224" s="5" t="s">
        <v>117</v>
      </c>
      <c r="C224" s="5" t="s">
        <v>126</v>
      </c>
      <c r="D224" s="55" t="str">
        <f>VLOOKUP($B224,Letters!$C$81:$D$104,2,FALSE) &amp; VLOOKUP($C224,Letters!$C$81:$D$104,2,FALSE)</f>
        <v>LU</v>
      </c>
      <c r="E224" s="61" t="s">
        <v>2997</v>
      </c>
      <c r="F224" s="5" t="s">
        <v>2998</v>
      </c>
      <c r="G224" s="55">
        <f t="shared" si="21"/>
        <v>9</v>
      </c>
      <c r="H224" s="55">
        <f t="shared" si="22"/>
        <v>12</v>
      </c>
    </row>
    <row r="225" ht="13.5">
      <c r="A225" s="60"/>
      <c r="B225" s="5" t="s">
        <v>117</v>
      </c>
      <c r="C225" s="5" t="s">
        <v>127</v>
      </c>
      <c r="D225" s="55" t="str">
        <f>VLOOKUP($B225,Letters!$C$81:$D$104,2,FALSE) &amp; VLOOKUP($C225,Letters!$C$81:$D$104,2,FALSE)</f>
        <v>LV</v>
      </c>
      <c r="E225" s="61" t="s">
        <v>3000</v>
      </c>
      <c r="F225" s="5" t="s">
        <v>3002</v>
      </c>
      <c r="G225" s="55">
        <f t="shared" si="21"/>
        <v>10</v>
      </c>
      <c r="H225" s="55">
        <f t="shared" si="22"/>
        <v>12</v>
      </c>
    </row>
    <row r="226" ht="13.5">
      <c r="A226" s="60"/>
      <c r="B226" s="5" t="s">
        <v>117</v>
      </c>
      <c r="C226" s="5" t="s">
        <v>128</v>
      </c>
      <c r="D226" s="55" t="str">
        <f>VLOOKUP($B226,Letters!$C$81:$D$104,2,FALSE) &amp; VLOOKUP($C226,Letters!$C$81:$D$104,2,FALSE)</f>
        <v>LW</v>
      </c>
      <c r="E226" s="61" t="s">
        <v>3003</v>
      </c>
      <c r="F226" s="5" t="s">
        <v>3004</v>
      </c>
      <c r="G226" s="55">
        <f t="shared" si="21"/>
        <v>9</v>
      </c>
      <c r="H226" s="55">
        <f t="shared" si="22"/>
        <v>12</v>
      </c>
    </row>
    <row r="227" ht="13.5">
      <c r="A227" s="60"/>
      <c r="B227" s="5" t="s">
        <v>117</v>
      </c>
      <c r="C227" s="5" t="s">
        <v>129</v>
      </c>
      <c r="D227" s="55" t="str">
        <f>VLOOKUP($B227,Letters!$C$81:$D$104,2,FALSE) &amp; VLOOKUP($C227,Letters!$C$81:$D$104,2,FALSE)</f>
        <v>LX</v>
      </c>
      <c r="E227" s="61" t="s">
        <v>3005</v>
      </c>
      <c r="F227" s="5" t="s">
        <v>3006</v>
      </c>
      <c r="G227" s="55">
        <f t="shared" si="21"/>
        <v>11</v>
      </c>
      <c r="H227" s="55">
        <f t="shared" si="22"/>
        <v>14</v>
      </c>
    </row>
    <row r="228">
      <c r="A228" s="60"/>
      <c r="B228" s="5"/>
      <c r="C228" s="5"/>
      <c r="D228" s="55"/>
      <c r="E228" s="5"/>
      <c r="F228" s="5"/>
      <c r="G228" s="55"/>
      <c r="H228" s="55"/>
    </row>
    <row r="229" ht="13.5">
      <c r="A229" s="60"/>
      <c r="B229" s="5" t="s">
        <v>118</v>
      </c>
      <c r="C229" s="5" t="s">
        <v>107</v>
      </c>
      <c r="D229" s="55" t="str">
        <f>VLOOKUP($B229,Letters!$C$81:$D$104,2,FALSE) &amp; VLOOKUP($C229,Letters!$C$81:$D$104,2,FALSE)</f>
        <v>MB</v>
      </c>
      <c r="E229" s="61" t="s">
        <v>3007</v>
      </c>
      <c r="F229" s="5" t="s">
        <v>3008</v>
      </c>
      <c r="G229" s="55">
        <f t="shared" ref="G229:G247" si="23">(len($F229)-len(SUBSTITUTE($F229,"R","")))+(len($F229)-len(SUBSTITUTE($F229,"L","")))+(len($F229)-len(SUBSTITUTE($F229,"U","")))+(len($F229)-len(SUBSTITUTE($F229,"D","")))+(len($F229)-len(SUBSTITUTE($F229,"F","")))+(len($F229)-len(SUBSTITUTE($F229,"B","")))+(len($F229)-len(SUBSTITUTE($F229,"r","")))+(len($F229)-len(SUBSTITUTE($F229,"l","")))+(len($F229)-len(SUBSTITUTE($F229,"u","")))+(len($F229)-len(SUBSTITUTE($F229,"d","")))</f>
        <v>8</v>
      </c>
      <c r="H229" s="55">
        <f t="shared" ref="H229:H247" si="24">(len($F229)-len(SUBSTITUTE($F229,"R","")))+(len($F229)-len(SUBSTITUTE($F229,"L","")))+(len($F229)-len(SUBSTITUTE($F229,"U","")))+(len($F229)-len(SUBSTITUTE($F229,"D","")))+(len($F229)-len(SUBSTITUTE($F229,"F","")))+(len($F229)-len(SUBSTITUTE($F229,"B","")))+(len($F229)-len(SUBSTITUTE($F229,"r","")))+(len($F229)-len(SUBSTITUTE($F229,"l","")))+(len($F229)-len(SUBSTITUTE($F229,"u","")))+(len($F229)-len(SUBSTITUTE($F229,"d","")))+(len($F229)-len(SUBSTITUTE($F229,"2","")))</f>
        <v>8</v>
      </c>
    </row>
    <row r="230" ht="13.5">
      <c r="A230" s="60"/>
      <c r="B230" s="5" t="s">
        <v>118</v>
      </c>
      <c r="C230" s="5" t="s">
        <v>108</v>
      </c>
      <c r="D230" s="55" t="str">
        <f>VLOOKUP($B230,Letters!$C$81:$D$104,2,FALSE) &amp; VLOOKUP($C230,Letters!$C$81:$D$104,2,FALSE)</f>
        <v>MC</v>
      </c>
      <c r="E230" s="61" t="s">
        <v>3015</v>
      </c>
      <c r="F230" s="5" t="s">
        <v>3016</v>
      </c>
      <c r="G230" s="55">
        <f t="shared" si="23"/>
        <v>8</v>
      </c>
      <c r="H230" s="55">
        <f t="shared" si="24"/>
        <v>10</v>
      </c>
    </row>
    <row r="231" ht="13.5">
      <c r="A231" s="60"/>
      <c r="B231" s="5" t="s">
        <v>118</v>
      </c>
      <c r="C231" s="5" t="s">
        <v>109</v>
      </c>
      <c r="D231" s="55" t="str">
        <f>VLOOKUP($B231,Letters!$C$81:$D$104,2,FALSE) &amp; VLOOKUP($C231,Letters!$C$81:$D$104,2,FALSE)</f>
        <v>MD</v>
      </c>
      <c r="E231" s="61" t="s">
        <v>3019</v>
      </c>
      <c r="F231" s="5" t="s">
        <v>3020</v>
      </c>
      <c r="G231" s="55">
        <f t="shared" si="23"/>
        <v>8</v>
      </c>
      <c r="H231" s="55">
        <f t="shared" si="24"/>
        <v>8</v>
      </c>
    </row>
    <row r="232" ht="13.5">
      <c r="A232" s="60"/>
      <c r="B232" s="5" t="s">
        <v>118</v>
      </c>
      <c r="C232" s="5" t="s">
        <v>110</v>
      </c>
      <c r="D232" s="55" t="str">
        <f>VLOOKUP($B232,Letters!$C$81:$D$104,2,FALSE) &amp; VLOOKUP($C232,Letters!$C$81:$D$104,2,FALSE)</f>
        <v>ME</v>
      </c>
      <c r="E232" s="61" t="s">
        <v>3021</v>
      </c>
      <c r="F232" s="5" t="s">
        <v>3022</v>
      </c>
      <c r="G232" s="55">
        <f t="shared" si="23"/>
        <v>9</v>
      </c>
      <c r="H232" s="55">
        <f t="shared" si="24"/>
        <v>12</v>
      </c>
    </row>
    <row r="233" ht="13.5">
      <c r="A233" s="54"/>
      <c r="B233" s="5" t="s">
        <v>118</v>
      </c>
      <c r="C233" s="5" t="s">
        <v>111</v>
      </c>
      <c r="D233" s="55" t="str">
        <f>VLOOKUP($B233,Letters!$C$81:$D$104,2,FALSE) &amp; VLOOKUP($C233,Letters!$C$81:$D$104,2,FALSE)</f>
        <v>MF</v>
      </c>
      <c r="E233" s="61" t="s">
        <v>3023</v>
      </c>
      <c r="F233" s="5" t="s">
        <v>3024</v>
      </c>
      <c r="G233" s="55">
        <f t="shared" si="23"/>
        <v>11</v>
      </c>
      <c r="H233" s="55">
        <f t="shared" si="24"/>
        <v>12</v>
      </c>
    </row>
    <row r="234" ht="13.5">
      <c r="A234" s="60"/>
      <c r="B234" s="5" t="s">
        <v>118</v>
      </c>
      <c r="C234" s="5" t="s">
        <v>112</v>
      </c>
      <c r="D234" s="55" t="str">
        <f>VLOOKUP($B234,Letters!$C$81:$D$104,2,FALSE) &amp; VLOOKUP($C234,Letters!$C$81:$D$104,2,FALSE)</f>
        <v>MG</v>
      </c>
      <c r="E234" s="61" t="s">
        <v>3025</v>
      </c>
      <c r="F234" s="5" t="s">
        <v>3026</v>
      </c>
      <c r="G234" s="55">
        <f t="shared" si="23"/>
        <v>8</v>
      </c>
      <c r="H234" s="55">
        <f t="shared" si="24"/>
        <v>10</v>
      </c>
    </row>
    <row r="235" ht="13.5">
      <c r="A235" s="54"/>
      <c r="B235" s="5" t="s">
        <v>118</v>
      </c>
      <c r="C235" s="5" t="s">
        <v>113</v>
      </c>
      <c r="D235" s="55" t="str">
        <f>VLOOKUP($B235,Letters!$C$81:$D$104,2,FALSE) &amp; VLOOKUP($C235,Letters!$C$81:$D$104,2,FALSE)</f>
        <v>MH</v>
      </c>
      <c r="E235" s="61" t="s">
        <v>3028</v>
      </c>
      <c r="F235" s="5" t="s">
        <v>3029</v>
      </c>
      <c r="G235" s="55">
        <f t="shared" si="23"/>
        <v>8</v>
      </c>
      <c r="H235" s="55">
        <f t="shared" si="24"/>
        <v>8</v>
      </c>
    </row>
    <row r="236" ht="13.5">
      <c r="A236" s="60"/>
      <c r="B236" s="5" t="s">
        <v>118</v>
      </c>
      <c r="C236" s="5" t="s">
        <v>114</v>
      </c>
      <c r="D236" s="55" t="str">
        <f>VLOOKUP($B236,Letters!$C$81:$D$104,2,FALSE) &amp; VLOOKUP($C236,Letters!$C$81:$D$104,2,FALSE)</f>
        <v>MI</v>
      </c>
      <c r="E236" s="61" t="s">
        <v>3031</v>
      </c>
      <c r="F236" s="5" t="s">
        <v>3032</v>
      </c>
      <c r="G236" s="55">
        <f t="shared" si="23"/>
        <v>9</v>
      </c>
      <c r="H236" s="55">
        <f t="shared" si="24"/>
        <v>9</v>
      </c>
    </row>
    <row r="237" ht="13.5">
      <c r="A237" s="54"/>
      <c r="B237" s="5" t="s">
        <v>118</v>
      </c>
      <c r="C237" s="5" t="s">
        <v>115</v>
      </c>
      <c r="D237" s="55" t="str">
        <f>VLOOKUP($B237,Letters!$C$81:$D$104,2,FALSE) &amp; VLOOKUP($C237,Letters!$C$81:$D$104,2,FALSE)</f>
        <v>MJ</v>
      </c>
      <c r="E237" s="61" t="s">
        <v>3034</v>
      </c>
      <c r="F237" s="5" t="s">
        <v>3035</v>
      </c>
      <c r="G237" s="55">
        <f t="shared" si="23"/>
        <v>9</v>
      </c>
      <c r="H237" s="55">
        <f t="shared" si="24"/>
        <v>9</v>
      </c>
    </row>
    <row r="238" ht="13.5">
      <c r="A238" s="54"/>
      <c r="B238" s="5" t="s">
        <v>118</v>
      </c>
      <c r="C238" s="5" t="s">
        <v>116</v>
      </c>
      <c r="D238" s="55" t="str">
        <f>VLOOKUP($B238,Letters!$C$81:$D$104,2,FALSE) &amp; VLOOKUP($C238,Letters!$C$81:$D$104,2,FALSE)</f>
        <v>MK</v>
      </c>
      <c r="E238" s="61" t="s">
        <v>3038</v>
      </c>
      <c r="F238" s="5" t="s">
        <v>3039</v>
      </c>
      <c r="G238" s="55">
        <f t="shared" si="23"/>
        <v>9</v>
      </c>
      <c r="H238" s="55">
        <f t="shared" si="24"/>
        <v>12</v>
      </c>
    </row>
    <row r="239" ht="13.5">
      <c r="A239" s="54"/>
      <c r="B239" s="5" t="s">
        <v>118</v>
      </c>
      <c r="C239" s="5" t="s">
        <v>117</v>
      </c>
      <c r="D239" s="55" t="str">
        <f>VLOOKUP($B239,Letters!$C$81:$D$104,2,FALSE) &amp; VLOOKUP($C239,Letters!$C$81:$D$104,2,FALSE)</f>
        <v>ML</v>
      </c>
      <c r="E239" s="61" t="s">
        <v>3041</v>
      </c>
      <c r="F239" s="5" t="s">
        <v>3042</v>
      </c>
      <c r="G239" s="55">
        <f t="shared" si="23"/>
        <v>10</v>
      </c>
      <c r="H239" s="55">
        <f t="shared" si="24"/>
        <v>10</v>
      </c>
    </row>
    <row r="240" ht="13.5">
      <c r="A240" s="54"/>
      <c r="B240" s="5" t="s">
        <v>118</v>
      </c>
      <c r="C240" s="5" t="s">
        <v>122</v>
      </c>
      <c r="D240" s="55" t="str">
        <f>VLOOKUP($B240,Letters!$C$81:$D$104,2,FALSE) &amp; VLOOKUP($C240,Letters!$C$81:$D$104,2,FALSE)</f>
        <v>MA</v>
      </c>
      <c r="E240" s="61" t="s">
        <v>3044</v>
      </c>
      <c r="F240" s="5" t="s">
        <v>3045</v>
      </c>
      <c r="G240" s="55">
        <f t="shared" si="23"/>
        <v>8</v>
      </c>
      <c r="H240" s="55">
        <f t="shared" si="24"/>
        <v>10</v>
      </c>
    </row>
    <row r="241" ht="13.5">
      <c r="A241" s="54"/>
      <c r="B241" s="5" t="s">
        <v>118</v>
      </c>
      <c r="C241" s="5" t="s">
        <v>123</v>
      </c>
      <c r="D241" s="55" t="str">
        <f>VLOOKUP($B241,Letters!$C$81:$D$104,2,FALSE) &amp; VLOOKUP($C241,Letters!$C$81:$D$104,2,FALSE)</f>
        <v>MR</v>
      </c>
      <c r="E241" s="61" t="s">
        <v>3047</v>
      </c>
      <c r="F241" s="5" t="s">
        <v>3048</v>
      </c>
      <c r="G241" s="55">
        <f t="shared" si="23"/>
        <v>11</v>
      </c>
      <c r="H241" s="55">
        <f t="shared" si="24"/>
        <v>12</v>
      </c>
    </row>
    <row r="242" ht="13.5">
      <c r="A242" s="60"/>
      <c r="B242" s="5" t="s">
        <v>118</v>
      </c>
      <c r="C242" s="5" t="s">
        <v>124</v>
      </c>
      <c r="D242" s="55" t="str">
        <f>VLOOKUP($B242,Letters!$C$81:$D$104,2,FALSE) &amp; VLOOKUP($C242,Letters!$C$81:$D$104,2,FALSE)</f>
        <v>MS</v>
      </c>
      <c r="E242" s="61" t="s">
        <v>3050</v>
      </c>
      <c r="F242" s="5" t="s">
        <v>3051</v>
      </c>
      <c r="G242" s="55">
        <f t="shared" si="23"/>
        <v>10</v>
      </c>
      <c r="H242" s="55">
        <f t="shared" si="24"/>
        <v>11</v>
      </c>
    </row>
    <row r="243" ht="13.5">
      <c r="A243" s="54"/>
      <c r="B243" s="5" t="s">
        <v>118</v>
      </c>
      <c r="C243" s="5" t="s">
        <v>125</v>
      </c>
      <c r="D243" s="55" t="str">
        <f>VLOOKUP($B243,Letters!$C$81:$D$104,2,FALSE) &amp; VLOOKUP($C243,Letters!$C$81:$D$104,2,FALSE)</f>
        <v>MT</v>
      </c>
      <c r="E243" s="61" t="s">
        <v>3053</v>
      </c>
      <c r="F243" s="5" t="s">
        <v>3054</v>
      </c>
      <c r="G243" s="55">
        <f t="shared" si="23"/>
        <v>9</v>
      </c>
      <c r="H243" s="55">
        <f t="shared" si="24"/>
        <v>9</v>
      </c>
    </row>
    <row r="244" ht="13.5">
      <c r="A244" s="54"/>
      <c r="B244" s="5" t="s">
        <v>118</v>
      </c>
      <c r="C244" s="5" t="s">
        <v>126</v>
      </c>
      <c r="D244" s="55" t="str">
        <f>VLOOKUP($B244,Letters!$C$81:$D$104,2,FALSE) &amp; VLOOKUP($C244,Letters!$C$81:$D$104,2,FALSE)</f>
        <v>MU</v>
      </c>
      <c r="E244" s="61" t="s">
        <v>3056</v>
      </c>
      <c r="F244" s="5" t="s">
        <v>3057</v>
      </c>
      <c r="G244" s="55">
        <f t="shared" si="23"/>
        <v>10</v>
      </c>
      <c r="H244" s="55">
        <f t="shared" si="24"/>
        <v>12</v>
      </c>
    </row>
    <row r="245" ht="13.5">
      <c r="A245" s="60"/>
      <c r="B245" s="5" t="s">
        <v>118</v>
      </c>
      <c r="C245" s="5" t="s">
        <v>127</v>
      </c>
      <c r="D245" s="55" t="str">
        <f>VLOOKUP($B245,Letters!$C$81:$D$104,2,FALSE) &amp; VLOOKUP($C245,Letters!$C$81:$D$104,2,FALSE)</f>
        <v>MV</v>
      </c>
      <c r="E245" s="61" t="s">
        <v>3059</v>
      </c>
      <c r="F245" s="5" t="s">
        <v>3060</v>
      </c>
      <c r="G245" s="55">
        <f t="shared" si="23"/>
        <v>10</v>
      </c>
      <c r="H245" s="55">
        <f t="shared" si="24"/>
        <v>11</v>
      </c>
    </row>
    <row r="246" ht="13.5">
      <c r="A246" s="54"/>
      <c r="B246" s="5" t="s">
        <v>118</v>
      </c>
      <c r="C246" s="5" t="s">
        <v>128</v>
      </c>
      <c r="D246" s="55" t="str">
        <f>VLOOKUP($B246,Letters!$C$81:$D$104,2,FALSE) &amp; VLOOKUP($C246,Letters!$C$81:$D$104,2,FALSE)</f>
        <v>MW</v>
      </c>
      <c r="E246" s="61" t="s">
        <v>3063</v>
      </c>
      <c r="F246" s="5" t="s">
        <v>3064</v>
      </c>
      <c r="G246" s="55">
        <f t="shared" si="23"/>
        <v>9</v>
      </c>
      <c r="H246" s="55">
        <f t="shared" si="24"/>
        <v>12</v>
      </c>
    </row>
    <row r="247" ht="13.5">
      <c r="A247" s="60"/>
      <c r="B247" s="5" t="s">
        <v>118</v>
      </c>
      <c r="C247" s="5" t="s">
        <v>129</v>
      </c>
      <c r="D247" s="55" t="str">
        <f>VLOOKUP($B247,Letters!$C$81:$D$104,2,FALSE) &amp; VLOOKUP($C247,Letters!$C$81:$D$104,2,FALSE)</f>
        <v>MX</v>
      </c>
      <c r="E247" s="61" t="s">
        <v>3065</v>
      </c>
      <c r="F247" s="5" t="s">
        <v>3066</v>
      </c>
      <c r="G247" s="55">
        <f t="shared" si="23"/>
        <v>10</v>
      </c>
      <c r="H247" s="55">
        <f t="shared" si="24"/>
        <v>12</v>
      </c>
    </row>
    <row r="248">
      <c r="A248" s="54"/>
      <c r="B248" s="5"/>
      <c r="C248" s="5"/>
      <c r="D248" s="55"/>
      <c r="E248" s="5"/>
      <c r="F248" s="5"/>
      <c r="G248" s="55"/>
      <c r="H248" s="55"/>
    </row>
    <row r="249" ht="13.5">
      <c r="A249" s="54"/>
      <c r="B249" s="5" t="s">
        <v>119</v>
      </c>
      <c r="C249" s="5" t="s">
        <v>107</v>
      </c>
      <c r="D249" s="55" t="str">
        <f>VLOOKUP($B249,Letters!$C$81:$D$104,2,FALSE) &amp; VLOOKUP($C249,Letters!$C$81:$D$104,2,FALSE)</f>
        <v>NB</v>
      </c>
      <c r="E249" s="61" t="s">
        <v>3067</v>
      </c>
      <c r="F249" s="5" t="s">
        <v>3068</v>
      </c>
      <c r="G249" s="55">
        <f t="shared" ref="G249:G267" si="25">(len($F249)-len(SUBSTITUTE($F249,"R","")))+(len($F249)-len(SUBSTITUTE($F249,"L","")))+(len($F249)-len(SUBSTITUTE($F249,"U","")))+(len($F249)-len(SUBSTITUTE($F249,"D","")))+(len($F249)-len(SUBSTITUTE($F249,"F","")))+(len($F249)-len(SUBSTITUTE($F249,"B","")))+(len($F249)-len(SUBSTITUTE($F249,"r","")))+(len($F249)-len(SUBSTITUTE($F249,"l","")))+(len($F249)-len(SUBSTITUTE($F249,"u","")))+(len($F249)-len(SUBSTITUTE($F249,"d","")))</f>
        <v>8</v>
      </c>
      <c r="H249" s="55">
        <f t="shared" ref="H249:H267" si="26">(len($F249)-len(SUBSTITUTE($F249,"R","")))+(len($F249)-len(SUBSTITUTE($F249,"L","")))+(len($F249)-len(SUBSTITUTE($F249,"U","")))+(len($F249)-len(SUBSTITUTE($F249,"D","")))+(len($F249)-len(SUBSTITUTE($F249,"F","")))+(len($F249)-len(SUBSTITUTE($F249,"B","")))+(len($F249)-len(SUBSTITUTE($F249,"r","")))+(len($F249)-len(SUBSTITUTE($F249,"l","")))+(len($F249)-len(SUBSTITUTE($F249,"u","")))+(len($F249)-len(SUBSTITUTE($F249,"d","")))+(len($F249)-len(SUBSTITUTE($F249,"2","")))</f>
        <v>8</v>
      </c>
    </row>
    <row r="250" ht="13.5">
      <c r="A250" s="54"/>
      <c r="B250" s="5" t="s">
        <v>119</v>
      </c>
      <c r="C250" s="5" t="s">
        <v>108</v>
      </c>
      <c r="D250" s="55" t="str">
        <f>VLOOKUP($B250,Letters!$C$81:$D$104,2,FALSE) &amp; VLOOKUP($C250,Letters!$C$81:$D$104,2,FALSE)</f>
        <v>NC</v>
      </c>
      <c r="E250" s="61" t="s">
        <v>3073</v>
      </c>
      <c r="F250" s="5" t="s">
        <v>3074</v>
      </c>
      <c r="G250" s="55">
        <f t="shared" si="25"/>
        <v>9</v>
      </c>
      <c r="H250" s="55">
        <f t="shared" si="26"/>
        <v>10</v>
      </c>
    </row>
    <row r="251" ht="13.5">
      <c r="A251" s="54"/>
      <c r="B251" s="5" t="s">
        <v>119</v>
      </c>
      <c r="C251" s="5" t="s">
        <v>109</v>
      </c>
      <c r="D251" s="55" t="str">
        <f>VLOOKUP($B251,Letters!$C$81:$D$104,2,FALSE) &amp; VLOOKUP($C251,Letters!$C$81:$D$104,2,FALSE)</f>
        <v>ND</v>
      </c>
      <c r="E251" s="61" t="s">
        <v>3077</v>
      </c>
      <c r="F251" s="5" t="s">
        <v>3078</v>
      </c>
      <c r="G251" s="55">
        <f t="shared" si="25"/>
        <v>8</v>
      </c>
      <c r="H251" s="55">
        <f t="shared" si="26"/>
        <v>8</v>
      </c>
    </row>
    <row r="252" ht="13.5">
      <c r="A252" s="54"/>
      <c r="B252" s="5" t="s">
        <v>119</v>
      </c>
      <c r="C252" s="5" t="s">
        <v>110</v>
      </c>
      <c r="D252" s="55" t="str">
        <f>VLOOKUP($B252,Letters!$C$81:$D$104,2,FALSE) &amp; VLOOKUP($C252,Letters!$C$81:$D$104,2,FALSE)</f>
        <v>NE</v>
      </c>
      <c r="E252" s="61" t="s">
        <v>3081</v>
      </c>
      <c r="F252" s="5" t="s">
        <v>3082</v>
      </c>
      <c r="G252" s="55">
        <f t="shared" si="25"/>
        <v>11</v>
      </c>
      <c r="H252" s="55">
        <f t="shared" si="26"/>
        <v>14</v>
      </c>
    </row>
    <row r="253" ht="13.5">
      <c r="A253" s="60"/>
      <c r="B253" s="5" t="s">
        <v>119</v>
      </c>
      <c r="C253" s="5" t="s">
        <v>111</v>
      </c>
      <c r="D253" s="55" t="str">
        <f>VLOOKUP($B253,Letters!$C$81:$D$104,2,FALSE) &amp; VLOOKUP($C253,Letters!$C$81:$D$104,2,FALSE)</f>
        <v>NF</v>
      </c>
      <c r="E253" s="61" t="s">
        <v>3083</v>
      </c>
      <c r="F253" s="5" t="s">
        <v>3084</v>
      </c>
      <c r="G253" s="55">
        <f t="shared" si="25"/>
        <v>9</v>
      </c>
      <c r="H253" s="55">
        <f t="shared" si="26"/>
        <v>10</v>
      </c>
    </row>
    <row r="254" ht="13.5">
      <c r="A254" s="60"/>
      <c r="B254" s="5" t="s">
        <v>119</v>
      </c>
      <c r="C254" s="5" t="s">
        <v>112</v>
      </c>
      <c r="D254" s="55" t="str">
        <f>VLOOKUP($B254,Letters!$C$81:$D$104,2,FALSE) &amp; VLOOKUP($C254,Letters!$C$81:$D$104,2,FALSE)</f>
        <v>NG</v>
      </c>
      <c r="E254" s="61" t="s">
        <v>3085</v>
      </c>
      <c r="F254" s="5" t="s">
        <v>3086</v>
      </c>
      <c r="G254" s="55">
        <f t="shared" si="25"/>
        <v>8</v>
      </c>
      <c r="H254" s="55">
        <f t="shared" si="26"/>
        <v>8</v>
      </c>
    </row>
    <row r="255" ht="13.5">
      <c r="A255" s="60"/>
      <c r="B255" s="5" t="s">
        <v>119</v>
      </c>
      <c r="C255" s="5" t="s">
        <v>113</v>
      </c>
      <c r="D255" s="55" t="str">
        <f>VLOOKUP($B255,Letters!$C$81:$D$104,2,FALSE) &amp; VLOOKUP($C255,Letters!$C$81:$D$104,2,FALSE)</f>
        <v>NH</v>
      </c>
      <c r="E255" s="61" t="s">
        <v>3087</v>
      </c>
      <c r="F255" s="5" t="s">
        <v>3088</v>
      </c>
      <c r="G255" s="55">
        <f t="shared" si="25"/>
        <v>10</v>
      </c>
      <c r="H255" s="55">
        <f t="shared" si="26"/>
        <v>10</v>
      </c>
    </row>
    <row r="256" ht="13.5">
      <c r="A256" s="54"/>
      <c r="B256" s="5" t="s">
        <v>119</v>
      </c>
      <c r="C256" s="5" t="s">
        <v>114</v>
      </c>
      <c r="D256" s="55" t="str">
        <f>VLOOKUP($B256,Letters!$C$81:$D$104,2,FALSE) &amp; VLOOKUP($C256,Letters!$C$81:$D$104,2,FALSE)</f>
        <v>NI</v>
      </c>
      <c r="E256" s="61" t="s">
        <v>3090</v>
      </c>
      <c r="F256" s="5" t="s">
        <v>3091</v>
      </c>
      <c r="G256" s="55">
        <f t="shared" si="25"/>
        <v>8</v>
      </c>
      <c r="H256" s="55">
        <f t="shared" si="26"/>
        <v>8</v>
      </c>
    </row>
    <row r="257" ht="13.5">
      <c r="A257" s="54"/>
      <c r="B257" s="5" t="s">
        <v>119</v>
      </c>
      <c r="C257" s="5" t="s">
        <v>115</v>
      </c>
      <c r="D257" s="55" t="str">
        <f>VLOOKUP($B257,Letters!$C$81:$D$104,2,FALSE) &amp; VLOOKUP($C257,Letters!$C$81:$D$104,2,FALSE)</f>
        <v>NJ</v>
      </c>
      <c r="E257" s="61" t="s">
        <v>3093</v>
      </c>
      <c r="F257" s="67" t="s">
        <v>3094</v>
      </c>
      <c r="G257" s="55">
        <f t="shared" si="25"/>
        <v>8</v>
      </c>
      <c r="H257" s="55">
        <f t="shared" si="26"/>
        <v>8</v>
      </c>
    </row>
    <row r="258" ht="13.5">
      <c r="A258" s="54"/>
      <c r="B258" s="5" t="s">
        <v>119</v>
      </c>
      <c r="C258" s="5" t="s">
        <v>116</v>
      </c>
      <c r="D258" s="55" t="str">
        <f>VLOOKUP($B258,Letters!$C$81:$D$104,2,FALSE) &amp; VLOOKUP($C258,Letters!$C$81:$D$104,2,FALSE)</f>
        <v>NK</v>
      </c>
      <c r="E258" s="61" t="s">
        <v>3095</v>
      </c>
      <c r="F258" s="5" t="s">
        <v>3096</v>
      </c>
      <c r="G258" s="55">
        <f t="shared" si="25"/>
        <v>9</v>
      </c>
      <c r="H258" s="55">
        <f t="shared" si="26"/>
        <v>11</v>
      </c>
    </row>
    <row r="259" ht="13.5">
      <c r="A259" s="54"/>
      <c r="B259" s="5" t="s">
        <v>119</v>
      </c>
      <c r="C259" s="5" t="s">
        <v>117</v>
      </c>
      <c r="D259" s="55" t="str">
        <f>VLOOKUP($B259,Letters!$C$81:$D$104,2,FALSE) &amp; VLOOKUP($C259,Letters!$C$81:$D$104,2,FALSE)</f>
        <v>NL</v>
      </c>
      <c r="E259" s="61" t="s">
        <v>3097</v>
      </c>
      <c r="F259" s="5" t="s">
        <v>3098</v>
      </c>
      <c r="G259" s="55">
        <f t="shared" si="25"/>
        <v>10</v>
      </c>
      <c r="H259" s="55">
        <f t="shared" si="26"/>
        <v>14</v>
      </c>
    </row>
    <row r="260" ht="13.5">
      <c r="A260" s="54"/>
      <c r="B260" s="5" t="s">
        <v>119</v>
      </c>
      <c r="C260" s="5" t="s">
        <v>122</v>
      </c>
      <c r="D260" s="55" t="str">
        <f>VLOOKUP($B260,Letters!$C$81:$D$104,2,FALSE) &amp; VLOOKUP($C260,Letters!$C$81:$D$104,2,FALSE)</f>
        <v>NA</v>
      </c>
      <c r="E260" s="61" t="s">
        <v>3100</v>
      </c>
      <c r="F260" s="5" t="s">
        <v>3101</v>
      </c>
      <c r="G260" s="55">
        <f t="shared" si="25"/>
        <v>9</v>
      </c>
      <c r="H260" s="55">
        <f t="shared" si="26"/>
        <v>11</v>
      </c>
    </row>
    <row r="261" ht="13.5">
      <c r="A261" s="60"/>
      <c r="B261" s="5" t="s">
        <v>119</v>
      </c>
      <c r="C261" s="5" t="s">
        <v>123</v>
      </c>
      <c r="D261" s="55" t="str">
        <f>VLOOKUP($B261,Letters!$C$81:$D$104,2,FALSE) &amp; VLOOKUP($C261,Letters!$C$81:$D$104,2,FALSE)</f>
        <v>NR</v>
      </c>
      <c r="E261" s="61" t="s">
        <v>3103</v>
      </c>
      <c r="F261" s="5" t="s">
        <v>3104</v>
      </c>
      <c r="G261" s="55">
        <f t="shared" si="25"/>
        <v>9</v>
      </c>
      <c r="H261" s="55">
        <f t="shared" si="26"/>
        <v>10</v>
      </c>
    </row>
    <row r="262" ht="13.5">
      <c r="A262" s="54"/>
      <c r="B262" s="5" t="s">
        <v>119</v>
      </c>
      <c r="C262" s="5" t="s">
        <v>124</v>
      </c>
      <c r="D262" s="55" t="str">
        <f>VLOOKUP($B262,Letters!$C$81:$D$104,2,FALSE) &amp; VLOOKUP($C262,Letters!$C$81:$D$104,2,FALSE)</f>
        <v>NS</v>
      </c>
      <c r="E262" s="61" t="s">
        <v>3106</v>
      </c>
      <c r="F262" s="5" t="s">
        <v>3107</v>
      </c>
      <c r="G262" s="55">
        <f t="shared" si="25"/>
        <v>8</v>
      </c>
      <c r="H262" s="55">
        <f t="shared" si="26"/>
        <v>8</v>
      </c>
    </row>
    <row r="263" ht="13.5">
      <c r="A263" s="60"/>
      <c r="B263" s="5" t="s">
        <v>119</v>
      </c>
      <c r="C263" s="5" t="s">
        <v>125</v>
      </c>
      <c r="D263" s="55" t="str">
        <f>VLOOKUP($B263,Letters!$C$81:$D$104,2,FALSE) &amp; VLOOKUP($C263,Letters!$C$81:$D$104,2,FALSE)</f>
        <v>NT</v>
      </c>
      <c r="E263" s="61" t="s">
        <v>3109</v>
      </c>
      <c r="F263" s="5" t="s">
        <v>3110</v>
      </c>
      <c r="G263" s="55">
        <f t="shared" si="25"/>
        <v>9</v>
      </c>
      <c r="H263" s="55">
        <f t="shared" si="26"/>
        <v>10</v>
      </c>
    </row>
    <row r="264" ht="13.5">
      <c r="A264" s="54"/>
      <c r="B264" s="5" t="s">
        <v>119</v>
      </c>
      <c r="C264" s="5" t="s">
        <v>126</v>
      </c>
      <c r="D264" s="55" t="str">
        <f>VLOOKUP($B264,Letters!$C$81:$D$104,2,FALSE) &amp; VLOOKUP($C264,Letters!$C$81:$D$104,2,FALSE)</f>
        <v>NU</v>
      </c>
      <c r="E264" s="61" t="s">
        <v>3112</v>
      </c>
      <c r="F264" s="5" t="s">
        <v>3113</v>
      </c>
      <c r="G264" s="55">
        <f t="shared" si="25"/>
        <v>8</v>
      </c>
      <c r="H264" s="55">
        <f t="shared" si="26"/>
        <v>10</v>
      </c>
    </row>
    <row r="265" ht="13.5">
      <c r="A265" s="60"/>
      <c r="B265" s="5" t="s">
        <v>119</v>
      </c>
      <c r="C265" s="5" t="s">
        <v>127</v>
      </c>
      <c r="D265" s="55" t="str">
        <f>VLOOKUP($B265,Letters!$C$81:$D$104,2,FALSE) &amp; VLOOKUP($C265,Letters!$C$81:$D$104,2,FALSE)</f>
        <v>NV</v>
      </c>
      <c r="E265" s="61" t="s">
        <v>3115</v>
      </c>
      <c r="F265" s="5" t="s">
        <v>3116</v>
      </c>
      <c r="G265" s="55">
        <f t="shared" si="25"/>
        <v>9</v>
      </c>
      <c r="H265" s="55">
        <f t="shared" si="26"/>
        <v>12</v>
      </c>
    </row>
    <row r="266" ht="13.5">
      <c r="A266" s="54"/>
      <c r="B266" s="5" t="s">
        <v>119</v>
      </c>
      <c r="C266" s="5" t="s">
        <v>128</v>
      </c>
      <c r="D266" s="55" t="str">
        <f>VLOOKUP($B266,Letters!$C$81:$D$104,2,FALSE) &amp; VLOOKUP($C266,Letters!$C$81:$D$104,2,FALSE)</f>
        <v>NW</v>
      </c>
      <c r="E266" s="61" t="s">
        <v>3118</v>
      </c>
      <c r="F266" s="5" t="s">
        <v>3119</v>
      </c>
      <c r="G266" s="55">
        <f t="shared" si="25"/>
        <v>10</v>
      </c>
      <c r="H266" s="55">
        <f t="shared" si="26"/>
        <v>12</v>
      </c>
    </row>
    <row r="267" ht="13.5">
      <c r="A267" s="60"/>
      <c r="B267" s="5" t="s">
        <v>119</v>
      </c>
      <c r="C267" s="5" t="s">
        <v>129</v>
      </c>
      <c r="D267" s="55" t="str">
        <f>VLOOKUP($B267,Letters!$C$81:$D$104,2,FALSE) &amp; VLOOKUP($C267,Letters!$C$81:$D$104,2,FALSE)</f>
        <v>NX</v>
      </c>
      <c r="E267" s="61" t="s">
        <v>3120</v>
      </c>
      <c r="F267" s="5" t="s">
        <v>3121</v>
      </c>
      <c r="G267" s="55">
        <f t="shared" si="25"/>
        <v>10</v>
      </c>
      <c r="H267" s="55">
        <f t="shared" si="26"/>
        <v>12</v>
      </c>
    </row>
    <row r="268">
      <c r="A268" s="54"/>
      <c r="B268" s="5"/>
      <c r="C268" s="5"/>
      <c r="D268" s="55"/>
      <c r="E268" s="5"/>
      <c r="F268" s="5"/>
      <c r="G268" s="55"/>
      <c r="H268" s="55"/>
    </row>
    <row r="269" ht="13.5">
      <c r="A269" s="54"/>
      <c r="B269" s="5" t="s">
        <v>120</v>
      </c>
      <c r="C269" s="5" t="s">
        <v>107</v>
      </c>
      <c r="D269" s="55" t="str">
        <f>VLOOKUP($B269,Letters!$C$81:$D$104,2,FALSE) &amp; VLOOKUP($C269,Letters!$C$81:$D$104,2,FALSE)</f>
        <v>OB</v>
      </c>
      <c r="E269" s="61" t="s">
        <v>3123</v>
      </c>
      <c r="F269" s="5" t="s">
        <v>3124</v>
      </c>
      <c r="G269" s="55">
        <f t="shared" ref="G269:G287" si="27">(len($F269)-len(SUBSTITUTE($F269,"R","")))+(len($F269)-len(SUBSTITUTE($F269,"L","")))+(len($F269)-len(SUBSTITUTE($F269,"U","")))+(len($F269)-len(SUBSTITUTE($F269,"D","")))+(len($F269)-len(SUBSTITUTE($F269,"F","")))+(len($F269)-len(SUBSTITUTE($F269,"B","")))+(len($F269)-len(SUBSTITUTE($F269,"r","")))+(len($F269)-len(SUBSTITUTE($F269,"l","")))+(len($F269)-len(SUBSTITUTE($F269,"u","")))+(len($F269)-len(SUBSTITUTE($F269,"d","")))</f>
        <v>8</v>
      </c>
      <c r="H269" s="55">
        <f t="shared" ref="H269:H287" si="28">(len($F269)-len(SUBSTITUTE($F269,"R","")))+(len($F269)-len(SUBSTITUTE($F269,"L","")))+(len($F269)-len(SUBSTITUTE($F269,"U","")))+(len($F269)-len(SUBSTITUTE($F269,"D","")))+(len($F269)-len(SUBSTITUTE($F269,"F","")))+(len($F269)-len(SUBSTITUTE($F269,"B","")))+(len($F269)-len(SUBSTITUTE($F269,"r","")))+(len($F269)-len(SUBSTITUTE($F269,"l","")))+(len($F269)-len(SUBSTITUTE($F269,"u","")))+(len($F269)-len(SUBSTITUTE($F269,"d","")))+(len($F269)-len(SUBSTITUTE($F269,"2","")))</f>
        <v>8</v>
      </c>
    </row>
    <row r="270" ht="13.5">
      <c r="A270" s="54"/>
      <c r="B270" s="5" t="s">
        <v>120</v>
      </c>
      <c r="C270" s="5" t="s">
        <v>108</v>
      </c>
      <c r="D270" s="55" t="str">
        <f>VLOOKUP($B270,Letters!$C$81:$D$104,2,FALSE) &amp; VLOOKUP($C270,Letters!$C$81:$D$104,2,FALSE)</f>
        <v>OC</v>
      </c>
      <c r="E270" s="61" t="s">
        <v>3127</v>
      </c>
      <c r="F270" s="5" t="s">
        <v>3128</v>
      </c>
      <c r="G270" s="55">
        <f t="shared" si="27"/>
        <v>8</v>
      </c>
      <c r="H270" s="55">
        <f t="shared" si="28"/>
        <v>10</v>
      </c>
    </row>
    <row r="271" ht="13.5">
      <c r="A271" s="54"/>
      <c r="B271" s="5" t="s">
        <v>120</v>
      </c>
      <c r="C271" s="5" t="s">
        <v>109</v>
      </c>
      <c r="D271" s="55" t="str">
        <f>VLOOKUP($B271,Letters!$C$81:$D$104,2,FALSE) &amp; VLOOKUP($C271,Letters!$C$81:$D$104,2,FALSE)</f>
        <v>OD</v>
      </c>
      <c r="E271" s="61" t="s">
        <v>3131</v>
      </c>
      <c r="F271" s="5" t="s">
        <v>3132</v>
      </c>
      <c r="G271" s="55">
        <f t="shared" si="27"/>
        <v>8</v>
      </c>
      <c r="H271" s="55">
        <f t="shared" si="28"/>
        <v>8</v>
      </c>
    </row>
    <row r="272" ht="13.5">
      <c r="A272" s="60"/>
      <c r="B272" s="5" t="s">
        <v>120</v>
      </c>
      <c r="C272" s="5" t="s">
        <v>110</v>
      </c>
      <c r="D272" s="55" t="str">
        <f>VLOOKUP($B272,Letters!$C$81:$D$104,2,FALSE) &amp; VLOOKUP($C272,Letters!$C$81:$D$104,2,FALSE)</f>
        <v>OE</v>
      </c>
      <c r="E272" s="61" t="s">
        <v>3133</v>
      </c>
      <c r="F272" s="5" t="s">
        <v>3134</v>
      </c>
      <c r="G272" s="55">
        <f t="shared" si="27"/>
        <v>11</v>
      </c>
      <c r="H272" s="55">
        <f t="shared" si="28"/>
        <v>16</v>
      </c>
    </row>
    <row r="273" ht="13.5">
      <c r="A273" s="60"/>
      <c r="B273" s="5" t="s">
        <v>120</v>
      </c>
      <c r="C273" s="5" t="s">
        <v>111</v>
      </c>
      <c r="D273" s="55" t="str">
        <f>VLOOKUP($B273,Letters!$C$81:$D$104,2,FALSE) &amp; VLOOKUP($C273,Letters!$C$81:$D$104,2,FALSE)</f>
        <v>OF</v>
      </c>
      <c r="E273" s="61" t="s">
        <v>3135</v>
      </c>
      <c r="F273" s="5" t="s">
        <v>3136</v>
      </c>
      <c r="G273" s="55">
        <f t="shared" si="27"/>
        <v>11</v>
      </c>
      <c r="H273" s="55">
        <f t="shared" si="28"/>
        <v>12</v>
      </c>
    </row>
    <row r="274" ht="13.5">
      <c r="A274" s="60"/>
      <c r="B274" s="5" t="s">
        <v>120</v>
      </c>
      <c r="C274" s="5" t="s">
        <v>112</v>
      </c>
      <c r="D274" s="55" t="str">
        <f>VLOOKUP($B274,Letters!$C$81:$D$104,2,FALSE) &amp; VLOOKUP($C274,Letters!$C$81:$D$104,2,FALSE)</f>
        <v>OG</v>
      </c>
      <c r="E274" s="61" t="s">
        <v>2634</v>
      </c>
      <c r="F274" s="5" t="s">
        <v>2635</v>
      </c>
      <c r="G274" s="55">
        <f t="shared" si="27"/>
        <v>9</v>
      </c>
      <c r="H274" s="55">
        <f t="shared" si="28"/>
        <v>12</v>
      </c>
    </row>
    <row r="275" ht="13.5">
      <c r="A275" s="60"/>
      <c r="B275" s="5" t="s">
        <v>120</v>
      </c>
      <c r="C275" s="5" t="s">
        <v>113</v>
      </c>
      <c r="D275" s="55" t="str">
        <f>VLOOKUP($B275,Letters!$C$81:$D$104,2,FALSE) &amp; VLOOKUP($C275,Letters!$C$81:$D$104,2,FALSE)</f>
        <v>OH</v>
      </c>
      <c r="E275" s="61" t="s">
        <v>3139</v>
      </c>
      <c r="F275" s="5" t="s">
        <v>3140</v>
      </c>
      <c r="G275" s="55">
        <f t="shared" si="27"/>
        <v>10</v>
      </c>
      <c r="H275" s="55">
        <f t="shared" si="28"/>
        <v>12</v>
      </c>
    </row>
    <row r="276" ht="13.5">
      <c r="A276" s="60"/>
      <c r="B276" s="5" t="s">
        <v>120</v>
      </c>
      <c r="C276" s="5" t="s">
        <v>114</v>
      </c>
      <c r="D276" s="55" t="str">
        <f>VLOOKUP($B276,Letters!$C$81:$D$104,2,FALSE) &amp; VLOOKUP($C276,Letters!$C$81:$D$104,2,FALSE)</f>
        <v>OI</v>
      </c>
      <c r="E276" s="61" t="s">
        <v>3143</v>
      </c>
      <c r="F276" s="5" t="s">
        <v>3144</v>
      </c>
      <c r="G276" s="55">
        <f t="shared" si="27"/>
        <v>8</v>
      </c>
      <c r="H276" s="55">
        <f t="shared" si="28"/>
        <v>10</v>
      </c>
    </row>
    <row r="277" ht="13.5">
      <c r="A277" s="60"/>
      <c r="B277" s="5" t="s">
        <v>120</v>
      </c>
      <c r="C277" s="5" t="s">
        <v>115</v>
      </c>
      <c r="D277" s="55" t="str">
        <f>VLOOKUP($B277,Letters!$C$81:$D$104,2,FALSE) &amp; VLOOKUP($C277,Letters!$C$81:$D$104,2,FALSE)</f>
        <v>OJ</v>
      </c>
      <c r="E277" s="61" t="s">
        <v>3147</v>
      </c>
      <c r="F277" s="5" t="s">
        <v>3148</v>
      </c>
      <c r="G277" s="55">
        <f t="shared" si="27"/>
        <v>10</v>
      </c>
      <c r="H277" s="55">
        <f t="shared" si="28"/>
        <v>11</v>
      </c>
    </row>
    <row r="278" ht="13.5">
      <c r="A278" s="60"/>
      <c r="B278" s="5" t="s">
        <v>120</v>
      </c>
      <c r="C278" s="5" t="s">
        <v>116</v>
      </c>
      <c r="D278" s="55" t="str">
        <f>VLOOKUP($B278,Letters!$C$81:$D$104,2,FALSE) &amp; VLOOKUP($C278,Letters!$C$81:$D$104,2,FALSE)</f>
        <v>OK</v>
      </c>
      <c r="E278" s="61" t="s">
        <v>3151</v>
      </c>
      <c r="F278" s="5" t="s">
        <v>3152</v>
      </c>
      <c r="G278" s="55">
        <f t="shared" si="27"/>
        <v>8</v>
      </c>
      <c r="H278" s="55">
        <f t="shared" si="28"/>
        <v>10</v>
      </c>
    </row>
    <row r="279" ht="13.5">
      <c r="A279" s="60"/>
      <c r="B279" s="5" t="s">
        <v>120</v>
      </c>
      <c r="C279" s="5" t="s">
        <v>117</v>
      </c>
      <c r="D279" s="55" t="str">
        <f>VLOOKUP($B279,Letters!$C$81:$D$104,2,FALSE) &amp; VLOOKUP($C279,Letters!$C$81:$D$104,2,FALSE)</f>
        <v>OL</v>
      </c>
      <c r="E279" s="61" t="s">
        <v>3153</v>
      </c>
      <c r="F279" s="5" t="s">
        <v>3154</v>
      </c>
      <c r="G279" s="55">
        <f t="shared" si="27"/>
        <v>10</v>
      </c>
      <c r="H279" s="55">
        <f t="shared" si="28"/>
        <v>12</v>
      </c>
    </row>
    <row r="280" ht="13.5">
      <c r="A280" s="60"/>
      <c r="B280" s="5" t="s">
        <v>120</v>
      </c>
      <c r="C280" s="5" t="s">
        <v>122</v>
      </c>
      <c r="D280" s="55" t="str">
        <f>VLOOKUP($B280,Letters!$C$81:$D$104,2,FALSE) &amp; VLOOKUP($C280,Letters!$C$81:$D$104,2,FALSE)</f>
        <v>OA</v>
      </c>
      <c r="E280" s="61" t="s">
        <v>3155</v>
      </c>
      <c r="F280" s="5" t="s">
        <v>3156</v>
      </c>
      <c r="G280" s="55">
        <f t="shared" si="27"/>
        <v>9</v>
      </c>
      <c r="H280" s="55">
        <f t="shared" si="28"/>
        <v>12</v>
      </c>
    </row>
    <row r="281" ht="13.5">
      <c r="A281" s="60"/>
      <c r="B281" s="5" t="s">
        <v>120</v>
      </c>
      <c r="C281" s="5" t="s">
        <v>123</v>
      </c>
      <c r="D281" s="55" t="str">
        <f>VLOOKUP($B281,Letters!$C$81:$D$104,2,FALSE) &amp; VLOOKUP($C281,Letters!$C$81:$D$104,2,FALSE)</f>
        <v>OR</v>
      </c>
      <c r="E281" s="61" t="s">
        <v>3157</v>
      </c>
      <c r="F281" s="5" t="s">
        <v>3158</v>
      </c>
      <c r="G281" s="55">
        <f t="shared" si="27"/>
        <v>11</v>
      </c>
      <c r="H281" s="55">
        <f t="shared" si="28"/>
        <v>12</v>
      </c>
    </row>
    <row r="282" ht="13.5">
      <c r="A282" s="60"/>
      <c r="B282" s="5" t="s">
        <v>120</v>
      </c>
      <c r="C282" s="5" t="s">
        <v>124</v>
      </c>
      <c r="D282" s="55" t="str">
        <f>VLOOKUP($B282,Letters!$C$81:$D$104,2,FALSE) &amp; VLOOKUP($C282,Letters!$C$81:$D$104,2,FALSE)</f>
        <v>OS</v>
      </c>
      <c r="E282" s="61" t="s">
        <v>3159</v>
      </c>
      <c r="F282" s="5" t="s">
        <v>3160</v>
      </c>
      <c r="G282" s="55">
        <f t="shared" si="27"/>
        <v>9</v>
      </c>
      <c r="H282" s="55">
        <f t="shared" si="28"/>
        <v>9</v>
      </c>
    </row>
    <row r="283" ht="13.5">
      <c r="A283" s="60"/>
      <c r="B283" s="5" t="s">
        <v>120</v>
      </c>
      <c r="C283" s="5" t="s">
        <v>125</v>
      </c>
      <c r="D283" s="55" t="str">
        <f>VLOOKUP($B283,Letters!$C$81:$D$104,2,FALSE) &amp; VLOOKUP($C283,Letters!$C$81:$D$104,2,FALSE)</f>
        <v>OT</v>
      </c>
      <c r="E283" s="61" t="s">
        <v>3161</v>
      </c>
      <c r="F283" s="5" t="s">
        <v>3162</v>
      </c>
      <c r="G283" s="55">
        <f t="shared" si="27"/>
        <v>10</v>
      </c>
      <c r="H283" s="55">
        <f t="shared" si="28"/>
        <v>11</v>
      </c>
    </row>
    <row r="284" ht="13.5">
      <c r="A284" s="60"/>
      <c r="B284" s="5" t="s">
        <v>120</v>
      </c>
      <c r="C284" s="5" t="s">
        <v>126</v>
      </c>
      <c r="D284" s="55" t="str">
        <f>VLOOKUP($B284,Letters!$C$81:$D$104,2,FALSE) &amp; VLOOKUP($C284,Letters!$C$81:$D$104,2,FALSE)</f>
        <v>OU</v>
      </c>
      <c r="E284" s="61" t="s">
        <v>3163</v>
      </c>
      <c r="F284" s="5" t="s">
        <v>3164</v>
      </c>
      <c r="G284" s="55">
        <f t="shared" si="27"/>
        <v>10</v>
      </c>
      <c r="H284" s="55">
        <f t="shared" si="28"/>
        <v>12</v>
      </c>
    </row>
    <row r="285" ht="13.5">
      <c r="A285" s="60"/>
      <c r="B285" s="5" t="s">
        <v>120</v>
      </c>
      <c r="C285" s="5" t="s">
        <v>127</v>
      </c>
      <c r="D285" s="55" t="str">
        <f>VLOOKUP($B285,Letters!$C$81:$D$104,2,FALSE) &amp; VLOOKUP($C285,Letters!$C$81:$D$104,2,FALSE)</f>
        <v>OV</v>
      </c>
      <c r="E285" s="61" t="s">
        <v>3165</v>
      </c>
      <c r="F285" s="5" t="s">
        <v>3166</v>
      </c>
      <c r="G285" s="55">
        <f t="shared" si="27"/>
        <v>11</v>
      </c>
      <c r="H285" s="55">
        <f t="shared" si="28"/>
        <v>14</v>
      </c>
    </row>
    <row r="286" ht="13.5">
      <c r="A286" s="54"/>
      <c r="B286" s="5" t="s">
        <v>120</v>
      </c>
      <c r="C286" s="5" t="s">
        <v>128</v>
      </c>
      <c r="D286" s="55" t="str">
        <f>VLOOKUP($B286,Letters!$C$81:$D$104,2,FALSE) &amp; VLOOKUP($C286,Letters!$C$81:$D$104,2,FALSE)</f>
        <v>OW</v>
      </c>
      <c r="E286" s="61" t="s">
        <v>3168</v>
      </c>
      <c r="F286" s="5" t="s">
        <v>3169</v>
      </c>
      <c r="G286" s="55">
        <f t="shared" si="27"/>
        <v>9</v>
      </c>
      <c r="H286" s="55">
        <f t="shared" si="28"/>
        <v>12</v>
      </c>
    </row>
    <row r="287" ht="13.5">
      <c r="A287" s="54"/>
      <c r="B287" s="5" t="s">
        <v>120</v>
      </c>
      <c r="C287" s="5" t="s">
        <v>129</v>
      </c>
      <c r="D287" s="55" t="str">
        <f>VLOOKUP($B287,Letters!$C$81:$D$104,2,FALSE) &amp; VLOOKUP($C287,Letters!$C$81:$D$104,2,FALSE)</f>
        <v>OX</v>
      </c>
      <c r="E287" s="61" t="s">
        <v>3171</v>
      </c>
      <c r="F287" s="5" t="s">
        <v>3172</v>
      </c>
      <c r="G287" s="55">
        <f t="shared" si="27"/>
        <v>11</v>
      </c>
      <c r="H287" s="55">
        <f t="shared" si="28"/>
        <v>14</v>
      </c>
    </row>
    <row r="288">
      <c r="A288" s="54"/>
      <c r="B288" s="5"/>
      <c r="C288" s="5"/>
      <c r="D288" s="55"/>
      <c r="E288" s="5"/>
      <c r="F288" s="5"/>
      <c r="G288" s="55"/>
      <c r="H288" s="55"/>
    </row>
    <row r="289" ht="13.5">
      <c r="A289" s="54"/>
      <c r="B289" s="5" t="s">
        <v>121</v>
      </c>
      <c r="C289" s="5" t="s">
        <v>107</v>
      </c>
      <c r="D289" s="55" t="str">
        <f>VLOOKUP($B289,Letters!$C$81:$D$104,2,FALSE) &amp; VLOOKUP($C289,Letters!$C$81:$D$104,2,FALSE)</f>
        <v>PB</v>
      </c>
      <c r="E289" s="61" t="s">
        <v>3175</v>
      </c>
      <c r="F289" s="5" t="s">
        <v>3176</v>
      </c>
      <c r="G289" s="55">
        <f t="shared" ref="G289:G307" si="29">(len($F289)-len(SUBSTITUTE($F289,"R","")))+(len($F289)-len(SUBSTITUTE($F289,"L","")))+(len($F289)-len(SUBSTITUTE($F289,"U","")))+(len($F289)-len(SUBSTITUTE($F289,"D","")))+(len($F289)-len(SUBSTITUTE($F289,"F","")))+(len($F289)-len(SUBSTITUTE($F289,"B","")))+(len($F289)-len(SUBSTITUTE($F289,"r","")))+(len($F289)-len(SUBSTITUTE($F289,"l","")))+(len($F289)-len(SUBSTITUTE($F289,"u","")))+(len($F289)-len(SUBSTITUTE($F289,"d","")))</f>
        <v>8</v>
      </c>
      <c r="H289" s="55">
        <f t="shared" ref="H289:H307" si="30">(len($F289)-len(SUBSTITUTE($F289,"R","")))+(len($F289)-len(SUBSTITUTE($F289,"L","")))+(len($F289)-len(SUBSTITUTE($F289,"U","")))+(len($F289)-len(SUBSTITUTE($F289,"D","")))+(len($F289)-len(SUBSTITUTE($F289,"F","")))+(len($F289)-len(SUBSTITUTE($F289,"B","")))+(len($F289)-len(SUBSTITUTE($F289,"r","")))+(len($F289)-len(SUBSTITUTE($F289,"l","")))+(len($F289)-len(SUBSTITUTE($F289,"u","")))+(len($F289)-len(SUBSTITUTE($F289,"d","")))+(len($F289)-len(SUBSTITUTE($F289,"2","")))</f>
        <v>8</v>
      </c>
    </row>
    <row r="290" ht="13.5">
      <c r="A290" s="54"/>
      <c r="B290" s="5" t="s">
        <v>121</v>
      </c>
      <c r="C290" s="5" t="s">
        <v>108</v>
      </c>
      <c r="D290" s="55" t="str">
        <f>VLOOKUP($B290,Letters!$C$81:$D$104,2,FALSE) &amp; VLOOKUP($C290,Letters!$C$81:$D$104,2,FALSE)</f>
        <v>PC</v>
      </c>
      <c r="E290" s="61" t="s">
        <v>3180</v>
      </c>
      <c r="F290" s="5" t="s">
        <v>3181</v>
      </c>
      <c r="G290" s="55">
        <f t="shared" si="29"/>
        <v>9</v>
      </c>
      <c r="H290" s="55">
        <f t="shared" si="30"/>
        <v>10</v>
      </c>
    </row>
    <row r="291" ht="13.5">
      <c r="A291" s="60"/>
      <c r="B291" s="5" t="s">
        <v>121</v>
      </c>
      <c r="C291" s="5" t="s">
        <v>109</v>
      </c>
      <c r="D291" s="55" t="str">
        <f>VLOOKUP($B291,Letters!$C$81:$D$104,2,FALSE) &amp; VLOOKUP($C291,Letters!$C$81:$D$104,2,FALSE)</f>
        <v>PD</v>
      </c>
      <c r="E291" s="61" t="s">
        <v>3183</v>
      </c>
      <c r="F291" s="5" t="s">
        <v>3184</v>
      </c>
      <c r="G291" s="55">
        <f t="shared" si="29"/>
        <v>8</v>
      </c>
      <c r="H291" s="55">
        <f t="shared" si="30"/>
        <v>8</v>
      </c>
    </row>
    <row r="292" ht="13.5">
      <c r="A292" s="54"/>
      <c r="B292" s="5" t="s">
        <v>121</v>
      </c>
      <c r="C292" s="5" t="s">
        <v>110</v>
      </c>
      <c r="D292" s="55" t="str">
        <f>VLOOKUP($B292,Letters!$C$81:$D$104,2,FALSE) &amp; VLOOKUP($C292,Letters!$C$81:$D$104,2,FALSE)</f>
        <v>PE</v>
      </c>
      <c r="E292" s="61" t="s">
        <v>3186</v>
      </c>
      <c r="F292" s="5" t="s">
        <v>3187</v>
      </c>
      <c r="G292" s="55">
        <f t="shared" si="29"/>
        <v>11</v>
      </c>
      <c r="H292" s="55">
        <f t="shared" si="30"/>
        <v>14</v>
      </c>
    </row>
    <row r="293" ht="13.5">
      <c r="A293" s="54"/>
      <c r="B293" s="5" t="s">
        <v>121</v>
      </c>
      <c r="C293" s="5" t="s">
        <v>111</v>
      </c>
      <c r="D293" s="55" t="str">
        <f>VLOOKUP($B293,Letters!$C$81:$D$104,2,FALSE) &amp; VLOOKUP($C293,Letters!$C$81:$D$104,2,FALSE)</f>
        <v>PF</v>
      </c>
      <c r="E293" s="61" t="s">
        <v>3190</v>
      </c>
      <c r="F293" s="5" t="s">
        <v>3191</v>
      </c>
      <c r="G293" s="55">
        <f t="shared" si="29"/>
        <v>11</v>
      </c>
      <c r="H293" s="55">
        <f t="shared" si="30"/>
        <v>14</v>
      </c>
    </row>
    <row r="294" ht="13.5">
      <c r="A294" s="54"/>
      <c r="B294" s="5" t="s">
        <v>121</v>
      </c>
      <c r="C294" s="5" t="s">
        <v>112</v>
      </c>
      <c r="D294" s="55" t="str">
        <f>VLOOKUP($B294,Letters!$C$81:$D$104,2,FALSE) &amp; VLOOKUP($C294,Letters!$C$81:$D$104,2,FALSE)</f>
        <v>PG</v>
      </c>
      <c r="E294" s="61" t="s">
        <v>3192</v>
      </c>
      <c r="F294" s="5" t="s">
        <v>3193</v>
      </c>
      <c r="G294" s="55">
        <f t="shared" si="29"/>
        <v>10</v>
      </c>
      <c r="H294" s="55">
        <f t="shared" si="30"/>
        <v>12</v>
      </c>
    </row>
    <row r="295" ht="13.5">
      <c r="A295" s="54"/>
      <c r="B295" s="5" t="s">
        <v>121</v>
      </c>
      <c r="C295" s="5" t="s">
        <v>113</v>
      </c>
      <c r="D295" s="55" t="str">
        <f>VLOOKUP($B295,Letters!$C$81:$D$104,2,FALSE) &amp; VLOOKUP($C295,Letters!$C$81:$D$104,2,FALSE)</f>
        <v>PH</v>
      </c>
      <c r="E295" s="61" t="s">
        <v>3196</v>
      </c>
      <c r="F295" s="5" t="s">
        <v>3197</v>
      </c>
      <c r="G295" s="55">
        <f t="shared" si="29"/>
        <v>9</v>
      </c>
      <c r="H295" s="55">
        <f t="shared" si="30"/>
        <v>10</v>
      </c>
    </row>
    <row r="296" ht="13.5">
      <c r="A296" s="54"/>
      <c r="B296" s="5" t="s">
        <v>121</v>
      </c>
      <c r="C296" s="5" t="s">
        <v>114</v>
      </c>
      <c r="D296" s="55" t="str">
        <f>VLOOKUP($B296,Letters!$C$81:$D$104,2,FALSE) &amp; VLOOKUP($C296,Letters!$C$81:$D$104,2,FALSE)</f>
        <v>PI</v>
      </c>
      <c r="E296" s="61" t="s">
        <v>3200</v>
      </c>
      <c r="F296" s="5" t="s">
        <v>3201</v>
      </c>
      <c r="G296" s="55">
        <f t="shared" si="29"/>
        <v>8</v>
      </c>
      <c r="H296" s="55">
        <f t="shared" si="30"/>
        <v>8</v>
      </c>
    </row>
    <row r="297" ht="13.5">
      <c r="A297" s="54"/>
      <c r="B297" s="5" t="s">
        <v>121</v>
      </c>
      <c r="C297" s="5" t="s">
        <v>115</v>
      </c>
      <c r="D297" s="55" t="str">
        <f>VLOOKUP($B297,Letters!$C$81:$D$104,2,FALSE) &amp; VLOOKUP($C297,Letters!$C$81:$D$104,2,FALSE)</f>
        <v>PJ</v>
      </c>
      <c r="E297" s="61" t="s">
        <v>3204</v>
      </c>
      <c r="F297" s="5" t="s">
        <v>3205</v>
      </c>
      <c r="G297" s="55">
        <f t="shared" si="29"/>
        <v>10</v>
      </c>
      <c r="H297" s="55">
        <f t="shared" si="30"/>
        <v>11</v>
      </c>
    </row>
    <row r="298" ht="13.5">
      <c r="A298" s="60"/>
      <c r="B298" s="5" t="s">
        <v>121</v>
      </c>
      <c r="C298" s="5" t="s">
        <v>116</v>
      </c>
      <c r="D298" s="55" t="str">
        <f>VLOOKUP($B298,Letters!$C$81:$D$104,2,FALSE) &amp; VLOOKUP($C298,Letters!$C$81:$D$104,2,FALSE)</f>
        <v>PK</v>
      </c>
      <c r="E298" s="61" t="s">
        <v>3208</v>
      </c>
      <c r="F298" s="5" t="s">
        <v>3209</v>
      </c>
      <c r="G298" s="55">
        <f t="shared" si="29"/>
        <v>10</v>
      </c>
      <c r="H298" s="55">
        <f t="shared" si="30"/>
        <v>13</v>
      </c>
    </row>
    <row r="299" ht="13.5">
      <c r="A299" s="54"/>
      <c r="B299" s="5" t="s">
        <v>121</v>
      </c>
      <c r="C299" s="5" t="s">
        <v>117</v>
      </c>
      <c r="D299" s="55" t="str">
        <f>VLOOKUP($B299,Letters!$C$81:$D$104,2,FALSE) &amp; VLOOKUP($C299,Letters!$C$81:$D$104,2,FALSE)</f>
        <v>PL</v>
      </c>
      <c r="E299" s="61" t="s">
        <v>3210</v>
      </c>
      <c r="F299" s="5" t="s">
        <v>3211</v>
      </c>
      <c r="G299" s="55">
        <f t="shared" si="29"/>
        <v>9</v>
      </c>
      <c r="H299" s="55">
        <f t="shared" si="30"/>
        <v>10</v>
      </c>
    </row>
    <row r="300" ht="13.5">
      <c r="A300" s="54"/>
      <c r="B300" s="5" t="s">
        <v>121</v>
      </c>
      <c r="C300" s="5" t="s">
        <v>122</v>
      </c>
      <c r="D300" s="55" t="str">
        <f>VLOOKUP($B300,Letters!$C$81:$D$104,2,FALSE) &amp; VLOOKUP($C300,Letters!$C$81:$D$104,2,FALSE)</f>
        <v>PA</v>
      </c>
      <c r="E300" s="61" t="s">
        <v>3212</v>
      </c>
      <c r="F300" s="5" t="s">
        <v>3213</v>
      </c>
      <c r="G300" s="55">
        <f t="shared" si="29"/>
        <v>10</v>
      </c>
      <c r="H300" s="55">
        <f t="shared" si="30"/>
        <v>13</v>
      </c>
    </row>
    <row r="301" ht="13.5">
      <c r="A301" s="60"/>
      <c r="B301" s="5" t="s">
        <v>121</v>
      </c>
      <c r="C301" s="5" t="s">
        <v>123</v>
      </c>
      <c r="D301" s="55" t="str">
        <f>VLOOKUP($B301,Letters!$C$81:$D$104,2,FALSE) &amp; VLOOKUP($C301,Letters!$C$81:$D$104,2,FALSE)</f>
        <v>PR</v>
      </c>
      <c r="E301" s="61" t="s">
        <v>3214</v>
      </c>
      <c r="F301" s="5" t="s">
        <v>3215</v>
      </c>
      <c r="G301" s="55">
        <f t="shared" si="29"/>
        <v>11</v>
      </c>
      <c r="H301" s="55">
        <f t="shared" si="30"/>
        <v>14</v>
      </c>
    </row>
    <row r="302" ht="13.5">
      <c r="A302" s="54"/>
      <c r="B302" s="5" t="s">
        <v>121</v>
      </c>
      <c r="C302" s="5" t="s">
        <v>124</v>
      </c>
      <c r="D302" s="55" t="str">
        <f>VLOOKUP($B302,Letters!$C$81:$D$104,2,FALSE) &amp; VLOOKUP($C302,Letters!$C$81:$D$104,2,FALSE)</f>
        <v>PS</v>
      </c>
      <c r="E302" s="61" t="s">
        <v>3216</v>
      </c>
      <c r="F302" s="5" t="s">
        <v>3217</v>
      </c>
      <c r="G302" s="55">
        <f t="shared" si="29"/>
        <v>10</v>
      </c>
      <c r="H302" s="55">
        <f t="shared" si="30"/>
        <v>12</v>
      </c>
    </row>
    <row r="303" ht="13.5">
      <c r="A303" s="54"/>
      <c r="B303" s="5" t="s">
        <v>121</v>
      </c>
      <c r="C303" s="5" t="s">
        <v>125</v>
      </c>
      <c r="D303" s="55" t="str">
        <f>VLOOKUP($B303,Letters!$C$81:$D$104,2,FALSE) &amp; VLOOKUP($C303,Letters!$C$81:$D$104,2,FALSE)</f>
        <v>PT</v>
      </c>
      <c r="E303" s="61" t="s">
        <v>3219</v>
      </c>
      <c r="F303" s="5" t="s">
        <v>3220</v>
      </c>
      <c r="G303" s="55">
        <f t="shared" si="29"/>
        <v>8</v>
      </c>
      <c r="H303" s="55">
        <f t="shared" si="30"/>
        <v>8</v>
      </c>
    </row>
    <row r="304" ht="13.5">
      <c r="A304" s="60"/>
      <c r="B304" s="5" t="s">
        <v>121</v>
      </c>
      <c r="C304" s="5" t="s">
        <v>126</v>
      </c>
      <c r="D304" s="55" t="str">
        <f>VLOOKUP($B304,Letters!$C$81:$D$104,2,FALSE) &amp; VLOOKUP($C304,Letters!$C$81:$D$104,2,FALSE)</f>
        <v>PU</v>
      </c>
      <c r="E304" s="61" t="s">
        <v>3222</v>
      </c>
      <c r="F304" s="5" t="s">
        <v>3223</v>
      </c>
      <c r="G304" s="55">
        <f t="shared" si="29"/>
        <v>9</v>
      </c>
      <c r="H304" s="55">
        <f t="shared" si="30"/>
        <v>12</v>
      </c>
    </row>
    <row r="305" ht="13.5">
      <c r="A305" s="54"/>
      <c r="B305" s="5" t="s">
        <v>121</v>
      </c>
      <c r="C305" s="5" t="s">
        <v>127</v>
      </c>
      <c r="D305" s="55" t="str">
        <f>VLOOKUP($B305,Letters!$C$81:$D$104,2,FALSE) &amp; VLOOKUP($C305,Letters!$C$81:$D$104,2,FALSE)</f>
        <v>PV</v>
      </c>
      <c r="E305" s="61" t="s">
        <v>3225</v>
      </c>
      <c r="F305" s="5" t="s">
        <v>3226</v>
      </c>
      <c r="G305" s="55">
        <f t="shared" si="29"/>
        <v>9</v>
      </c>
      <c r="H305" s="55">
        <f t="shared" si="30"/>
        <v>10</v>
      </c>
    </row>
    <row r="306" ht="13.5">
      <c r="A306" s="54"/>
      <c r="B306" s="5" t="s">
        <v>121</v>
      </c>
      <c r="C306" s="5" t="s">
        <v>128</v>
      </c>
      <c r="D306" s="55" t="str">
        <f>VLOOKUP($B306,Letters!$C$81:$D$104,2,FALSE) &amp; VLOOKUP($C306,Letters!$C$81:$D$104,2,FALSE)</f>
        <v>PW</v>
      </c>
      <c r="E306" s="61" t="s">
        <v>3229</v>
      </c>
      <c r="F306" s="5" t="s">
        <v>3230</v>
      </c>
      <c r="G306" s="55">
        <f t="shared" si="29"/>
        <v>11</v>
      </c>
      <c r="H306" s="55">
        <f t="shared" si="30"/>
        <v>14</v>
      </c>
    </row>
    <row r="307" ht="13.5">
      <c r="A307" s="54"/>
      <c r="B307" s="5" t="s">
        <v>121</v>
      </c>
      <c r="C307" s="5" t="s">
        <v>129</v>
      </c>
      <c r="D307" s="55" t="str">
        <f>VLOOKUP($B307,Letters!$C$81:$D$104,2,FALSE) &amp; VLOOKUP($C307,Letters!$C$81:$D$104,2,FALSE)</f>
        <v>PX</v>
      </c>
      <c r="E307" s="61" t="s">
        <v>3233</v>
      </c>
      <c r="F307" s="5" t="s">
        <v>3234</v>
      </c>
      <c r="G307" s="55">
        <f t="shared" si="29"/>
        <v>10</v>
      </c>
      <c r="H307" s="55">
        <f t="shared" si="30"/>
        <v>12</v>
      </c>
    </row>
    <row r="308">
      <c r="A308" s="54"/>
      <c r="B308" s="5"/>
      <c r="C308" s="5"/>
      <c r="D308" s="55"/>
      <c r="E308" s="5"/>
      <c r="F308" s="5"/>
      <c r="G308" s="55"/>
      <c r="H308" s="55"/>
    </row>
    <row r="309" ht="13.5">
      <c r="A309" s="54"/>
      <c r="B309" s="5" t="s">
        <v>122</v>
      </c>
      <c r="C309" s="5" t="s">
        <v>107</v>
      </c>
      <c r="D309" s="55" t="str">
        <f>VLOOKUP($B309,Letters!$C$81:$D$104,2,FALSE) &amp; VLOOKUP($C309,Letters!$C$81:$D$104,2,FALSE)</f>
        <v>AB</v>
      </c>
      <c r="E309" s="61" t="s">
        <v>3236</v>
      </c>
      <c r="F309" s="5" t="s">
        <v>3237</v>
      </c>
      <c r="G309" s="55">
        <f t="shared" ref="G309:G327" si="31">(len($F309)-len(SUBSTITUTE($F309,"R","")))+(len($F309)-len(SUBSTITUTE($F309,"L","")))+(len($F309)-len(SUBSTITUTE($F309,"U","")))+(len($F309)-len(SUBSTITUTE($F309,"D","")))+(len($F309)-len(SUBSTITUTE($F309,"F","")))+(len($F309)-len(SUBSTITUTE($F309,"B","")))+(len($F309)-len(SUBSTITUTE($F309,"r","")))+(len($F309)-len(SUBSTITUTE($F309,"l","")))+(len($F309)-len(SUBSTITUTE($F309,"u","")))+(len($F309)-len(SUBSTITUTE($F309,"d","")))</f>
        <v>8</v>
      </c>
      <c r="H309" s="55">
        <f t="shared" ref="H309:H327" si="32">(len($F309)-len(SUBSTITUTE($F309,"R","")))+(len($F309)-len(SUBSTITUTE($F309,"L","")))+(len($F309)-len(SUBSTITUTE($F309,"U","")))+(len($F309)-len(SUBSTITUTE($F309,"D","")))+(len($F309)-len(SUBSTITUTE($F309,"F","")))+(len($F309)-len(SUBSTITUTE($F309,"B","")))+(len($F309)-len(SUBSTITUTE($F309,"r","")))+(len($F309)-len(SUBSTITUTE($F309,"l","")))+(len($F309)-len(SUBSTITUTE($F309,"u","")))+(len($F309)-len(SUBSTITUTE($F309,"d","")))+(len($F309)-len(SUBSTITUTE($F309,"2","")))</f>
        <v>10</v>
      </c>
    </row>
    <row r="310" ht="13.5">
      <c r="A310" s="60"/>
      <c r="B310" s="5" t="s">
        <v>122</v>
      </c>
      <c r="C310" s="5" t="s">
        <v>108</v>
      </c>
      <c r="D310" s="55" t="str">
        <f>VLOOKUP($B310,Letters!$C$81:$D$104,2,FALSE) &amp; VLOOKUP($C310,Letters!$C$81:$D$104,2,FALSE)</f>
        <v>AC</v>
      </c>
      <c r="E310" s="61" t="s">
        <v>3241</v>
      </c>
      <c r="F310" s="5" t="s">
        <v>3242</v>
      </c>
      <c r="G310" s="55">
        <f t="shared" si="31"/>
        <v>8</v>
      </c>
      <c r="H310" s="55">
        <f t="shared" si="32"/>
        <v>12</v>
      </c>
    </row>
    <row r="311" ht="13.5">
      <c r="A311" s="54"/>
      <c r="B311" s="5" t="s">
        <v>122</v>
      </c>
      <c r="C311" s="5" t="s">
        <v>109</v>
      </c>
      <c r="D311" s="55" t="str">
        <f>VLOOKUP($B311,Letters!$C$81:$D$104,2,FALSE) &amp; VLOOKUP($C311,Letters!$C$81:$D$104,2,FALSE)</f>
        <v>AD</v>
      </c>
      <c r="E311" s="61" t="s">
        <v>3243</v>
      </c>
      <c r="F311" s="5" t="s">
        <v>3244</v>
      </c>
      <c r="G311" s="55">
        <f t="shared" si="31"/>
        <v>8</v>
      </c>
      <c r="H311" s="55">
        <f t="shared" si="32"/>
        <v>10</v>
      </c>
    </row>
    <row r="312" ht="13.5">
      <c r="A312" s="54"/>
      <c r="B312" s="5" t="s">
        <v>122</v>
      </c>
      <c r="C312" s="5" t="s">
        <v>110</v>
      </c>
      <c r="D312" s="55" t="str">
        <f>VLOOKUP($B312,Letters!$C$81:$D$104,2,FALSE) &amp; VLOOKUP($C312,Letters!$C$81:$D$104,2,FALSE)</f>
        <v>AE</v>
      </c>
      <c r="E312" s="61" t="s">
        <v>3247</v>
      </c>
      <c r="F312" s="5" t="s">
        <v>3248</v>
      </c>
      <c r="G312" s="55">
        <f t="shared" si="31"/>
        <v>8</v>
      </c>
      <c r="H312" s="55">
        <f t="shared" si="32"/>
        <v>10</v>
      </c>
    </row>
    <row r="313" ht="13.5">
      <c r="A313" s="54"/>
      <c r="B313" s="5" t="s">
        <v>122</v>
      </c>
      <c r="C313" s="5" t="s">
        <v>111</v>
      </c>
      <c r="D313" s="55" t="str">
        <f>VLOOKUP($B313,Letters!$C$81:$D$104,2,FALSE) &amp; VLOOKUP($C313,Letters!$C$81:$D$104,2,FALSE)</f>
        <v>AF</v>
      </c>
      <c r="E313" s="61" t="s">
        <v>3251</v>
      </c>
      <c r="F313" s="5" t="s">
        <v>3252</v>
      </c>
      <c r="G313" s="55">
        <f t="shared" si="31"/>
        <v>10</v>
      </c>
      <c r="H313" s="55">
        <f t="shared" si="32"/>
        <v>12</v>
      </c>
    </row>
    <row r="314" ht="13.5">
      <c r="A314" s="54"/>
      <c r="B314" s="5" t="s">
        <v>122</v>
      </c>
      <c r="C314" s="5" t="s">
        <v>112</v>
      </c>
      <c r="D314" s="55" t="str">
        <f>VLOOKUP($B314,Letters!$C$81:$D$104,2,FALSE) &amp; VLOOKUP($C314,Letters!$C$81:$D$104,2,FALSE)</f>
        <v>AG</v>
      </c>
      <c r="E314" s="61" t="s">
        <v>3255</v>
      </c>
      <c r="F314" s="5" t="s">
        <v>3256</v>
      </c>
      <c r="G314" s="55">
        <f t="shared" si="31"/>
        <v>9</v>
      </c>
      <c r="H314" s="55">
        <f t="shared" si="32"/>
        <v>12</v>
      </c>
    </row>
    <row r="315" ht="13.5">
      <c r="A315" s="60"/>
      <c r="B315" s="5" t="s">
        <v>122</v>
      </c>
      <c r="C315" s="5" t="s">
        <v>113</v>
      </c>
      <c r="D315" s="55" t="str">
        <f>VLOOKUP($B315,Letters!$C$81:$D$104,2,FALSE) &amp; VLOOKUP($C315,Letters!$C$81:$D$104,2,FALSE)</f>
        <v>AH</v>
      </c>
      <c r="E315" s="61" t="s">
        <v>3257</v>
      </c>
      <c r="F315" s="5" t="s">
        <v>3258</v>
      </c>
      <c r="G315" s="55">
        <f t="shared" si="31"/>
        <v>10</v>
      </c>
      <c r="H315" s="55">
        <f t="shared" si="32"/>
        <v>12</v>
      </c>
    </row>
    <row r="316" ht="13.5">
      <c r="A316" s="54"/>
      <c r="B316" s="5" t="s">
        <v>122</v>
      </c>
      <c r="C316" s="5" t="s">
        <v>114</v>
      </c>
      <c r="D316" s="55" t="str">
        <f>VLOOKUP($B316,Letters!$C$81:$D$104,2,FALSE) &amp; VLOOKUP($C316,Letters!$C$81:$D$104,2,FALSE)</f>
        <v>AI</v>
      </c>
      <c r="E316" s="61" t="s">
        <v>3259</v>
      </c>
      <c r="F316" s="5" t="s">
        <v>3260</v>
      </c>
      <c r="G316" s="55">
        <f t="shared" si="31"/>
        <v>8</v>
      </c>
      <c r="H316" s="55">
        <f t="shared" si="32"/>
        <v>12</v>
      </c>
    </row>
    <row r="317" ht="13.5">
      <c r="A317" s="54"/>
      <c r="B317" s="5" t="s">
        <v>122</v>
      </c>
      <c r="C317" s="5" t="s">
        <v>115</v>
      </c>
      <c r="D317" s="55" t="str">
        <f>VLOOKUP($B317,Letters!$C$81:$D$104,2,FALSE) &amp; VLOOKUP($C317,Letters!$C$81:$D$104,2,FALSE)</f>
        <v>AJ</v>
      </c>
      <c r="E317" s="61" t="s">
        <v>3261</v>
      </c>
      <c r="F317" s="5" t="s">
        <v>3262</v>
      </c>
      <c r="G317" s="55">
        <f t="shared" si="31"/>
        <v>9</v>
      </c>
      <c r="H317" s="55">
        <f t="shared" si="32"/>
        <v>12</v>
      </c>
    </row>
    <row r="318" ht="13.5">
      <c r="A318" s="54"/>
      <c r="B318" s="5" t="s">
        <v>122</v>
      </c>
      <c r="C318" s="5" t="s">
        <v>116</v>
      </c>
      <c r="D318" s="55" t="str">
        <f>VLOOKUP($B318,Letters!$C$81:$D$104,2,FALSE) &amp; VLOOKUP($C318,Letters!$C$81:$D$104,2,FALSE)</f>
        <v>AK</v>
      </c>
      <c r="E318" s="61" t="s">
        <v>3263</v>
      </c>
      <c r="F318" s="5" t="s">
        <v>3264</v>
      </c>
      <c r="G318" s="55">
        <f t="shared" si="31"/>
        <v>10</v>
      </c>
      <c r="H318" s="55">
        <f t="shared" si="32"/>
        <v>12</v>
      </c>
    </row>
    <row r="319" ht="13.5">
      <c r="A319" s="60"/>
      <c r="B319" s="5" t="s">
        <v>122</v>
      </c>
      <c r="C319" s="5" t="s">
        <v>117</v>
      </c>
      <c r="D319" s="55" t="str">
        <f>VLOOKUP($B319,Letters!$C$81:$D$104,2,FALSE) &amp; VLOOKUP($C319,Letters!$C$81:$D$104,2,FALSE)</f>
        <v>AL</v>
      </c>
      <c r="E319" s="61" t="s">
        <v>3265</v>
      </c>
      <c r="F319" s="5" t="s">
        <v>3266</v>
      </c>
      <c r="G319" s="55">
        <f t="shared" si="31"/>
        <v>9</v>
      </c>
      <c r="H319" s="55">
        <f t="shared" si="32"/>
        <v>10</v>
      </c>
    </row>
    <row r="320" ht="13.5">
      <c r="A320" s="54"/>
      <c r="B320" s="5" t="s">
        <v>122</v>
      </c>
      <c r="C320" s="5" t="s">
        <v>118</v>
      </c>
      <c r="D320" s="55" t="str">
        <f>VLOOKUP($B320,Letters!$C$81:$D$104,2,FALSE) &amp; VLOOKUP($C320,Letters!$C$81:$D$104,2,FALSE)</f>
        <v>AM</v>
      </c>
      <c r="E320" s="61" t="s">
        <v>3268</v>
      </c>
      <c r="F320" s="5" t="s">
        <v>3269</v>
      </c>
      <c r="G320" s="55">
        <f t="shared" si="31"/>
        <v>8</v>
      </c>
      <c r="H320" s="55">
        <f t="shared" si="32"/>
        <v>10</v>
      </c>
    </row>
    <row r="321" ht="13.5">
      <c r="A321" s="60"/>
      <c r="B321" s="5" t="s">
        <v>122</v>
      </c>
      <c r="C321" s="5" t="s">
        <v>119</v>
      </c>
      <c r="D321" s="55" t="str">
        <f>VLOOKUP($B321,Letters!$C$81:$D$104,2,FALSE) &amp; VLOOKUP($C321,Letters!$C$81:$D$104,2,FALSE)</f>
        <v>AN</v>
      </c>
      <c r="E321" s="61" t="s">
        <v>3270</v>
      </c>
      <c r="F321" s="5" t="s">
        <v>3271</v>
      </c>
      <c r="G321" s="55">
        <f t="shared" si="31"/>
        <v>9</v>
      </c>
      <c r="H321" s="55">
        <f t="shared" si="32"/>
        <v>11</v>
      </c>
    </row>
    <row r="322" ht="13.5">
      <c r="A322" s="60"/>
      <c r="B322" s="5" t="s">
        <v>122</v>
      </c>
      <c r="C322" s="5" t="s">
        <v>120</v>
      </c>
      <c r="D322" s="55" t="str">
        <f>VLOOKUP($B322,Letters!$C$81:$D$104,2,FALSE) &amp; VLOOKUP($C322,Letters!$C$81:$D$104,2,FALSE)</f>
        <v>AO</v>
      </c>
      <c r="E322" s="61" t="s">
        <v>3273</v>
      </c>
      <c r="F322" s="5" t="s">
        <v>3274</v>
      </c>
      <c r="G322" s="55">
        <f t="shared" si="31"/>
        <v>9</v>
      </c>
      <c r="H322" s="55">
        <f t="shared" si="32"/>
        <v>12</v>
      </c>
    </row>
    <row r="323" ht="13.5">
      <c r="A323" s="60"/>
      <c r="B323" s="5" t="s">
        <v>122</v>
      </c>
      <c r="C323" s="5" t="s">
        <v>121</v>
      </c>
      <c r="D323" s="55" t="str">
        <f>VLOOKUP($B323,Letters!$C$81:$D$104,2,FALSE) &amp; VLOOKUP($C323,Letters!$C$81:$D$104,2,FALSE)</f>
        <v>AP</v>
      </c>
      <c r="E323" s="61" t="s">
        <v>3275</v>
      </c>
      <c r="F323" s="5" t="s">
        <v>3276</v>
      </c>
      <c r="G323" s="55">
        <f t="shared" si="31"/>
        <v>10</v>
      </c>
      <c r="H323" s="55">
        <f t="shared" si="32"/>
        <v>13</v>
      </c>
    </row>
    <row r="324" ht="13.5">
      <c r="A324" s="54"/>
      <c r="B324" s="5" t="s">
        <v>122</v>
      </c>
      <c r="C324" s="5" t="s">
        <v>126</v>
      </c>
      <c r="D324" s="55" t="str">
        <f>VLOOKUP($B324,Letters!$C$81:$D$104,2,FALSE) &amp; VLOOKUP($C324,Letters!$C$81:$D$104,2,FALSE)</f>
        <v>AU</v>
      </c>
      <c r="E324" s="61" t="s">
        <v>3278</v>
      </c>
      <c r="F324" s="5" t="s">
        <v>3279</v>
      </c>
      <c r="G324" s="55">
        <f t="shared" si="31"/>
        <v>11</v>
      </c>
      <c r="H324" s="55">
        <f t="shared" si="32"/>
        <v>14</v>
      </c>
    </row>
    <row r="325" ht="13.5">
      <c r="A325" s="54"/>
      <c r="B325" s="5" t="s">
        <v>122</v>
      </c>
      <c r="C325" s="5" t="s">
        <v>127</v>
      </c>
      <c r="D325" s="55" t="str">
        <f>VLOOKUP($B325,Letters!$C$81:$D$104,2,FALSE) &amp; VLOOKUP($C325,Letters!$C$81:$D$104,2,FALSE)</f>
        <v>AV</v>
      </c>
      <c r="E325" s="61" t="s">
        <v>3281</v>
      </c>
      <c r="F325" s="5" t="s">
        <v>3282</v>
      </c>
      <c r="G325" s="55">
        <f t="shared" si="31"/>
        <v>9</v>
      </c>
      <c r="H325" s="55">
        <f t="shared" si="32"/>
        <v>10</v>
      </c>
    </row>
    <row r="326" ht="13.5">
      <c r="A326" s="54"/>
      <c r="B326" s="5" t="s">
        <v>122</v>
      </c>
      <c r="C326" s="5" t="s">
        <v>128</v>
      </c>
      <c r="D326" s="55" t="str">
        <f>VLOOKUP($B326,Letters!$C$81:$D$104,2,FALSE) &amp; VLOOKUP($C326,Letters!$C$81:$D$104,2,FALSE)</f>
        <v>AW</v>
      </c>
      <c r="E326" s="61" t="s">
        <v>3284</v>
      </c>
      <c r="F326" s="5" t="s">
        <v>3285</v>
      </c>
      <c r="G326" s="55">
        <f t="shared" si="31"/>
        <v>11</v>
      </c>
      <c r="H326" s="55">
        <f t="shared" si="32"/>
        <v>14</v>
      </c>
    </row>
    <row r="327" ht="13.5">
      <c r="A327" s="54"/>
      <c r="B327" s="5" t="s">
        <v>122</v>
      </c>
      <c r="C327" s="5" t="s">
        <v>129</v>
      </c>
      <c r="D327" s="55" t="str">
        <f>VLOOKUP($B327,Letters!$C$81:$D$104,2,FALSE) &amp; VLOOKUP($C327,Letters!$C$81:$D$104,2,FALSE)</f>
        <v>AX</v>
      </c>
      <c r="E327" s="61" t="s">
        <v>3287</v>
      </c>
      <c r="F327" s="5" t="s">
        <v>3288</v>
      </c>
      <c r="G327" s="55">
        <f t="shared" si="31"/>
        <v>9</v>
      </c>
      <c r="H327" s="55">
        <f t="shared" si="32"/>
        <v>12</v>
      </c>
    </row>
    <row r="328">
      <c r="A328" s="54"/>
      <c r="B328" s="5"/>
      <c r="C328" s="5"/>
      <c r="D328" s="55"/>
      <c r="E328" s="5"/>
      <c r="F328" s="5"/>
      <c r="G328" s="55"/>
      <c r="H328" s="55"/>
    </row>
    <row r="329" ht="13.5">
      <c r="A329" s="60"/>
      <c r="B329" s="5" t="s">
        <v>123</v>
      </c>
      <c r="C329" s="5" t="s">
        <v>107</v>
      </c>
      <c r="D329" s="55" t="str">
        <f>VLOOKUP($B329,Letters!$C$81:$D$104,2,FALSE) &amp; VLOOKUP($C329,Letters!$C$81:$D$104,2,FALSE)</f>
        <v>RB</v>
      </c>
      <c r="E329" s="61" t="s">
        <v>3290</v>
      </c>
      <c r="F329" s="5" t="s">
        <v>3291</v>
      </c>
      <c r="G329" s="55">
        <f t="shared" ref="G329:G347" si="33">(len($F329)-len(SUBSTITUTE($F329,"R","")))+(len($F329)-len(SUBSTITUTE($F329,"L","")))+(len($F329)-len(SUBSTITUTE($F329,"U","")))+(len($F329)-len(SUBSTITUTE($F329,"D","")))+(len($F329)-len(SUBSTITUTE($F329,"F","")))+(len($F329)-len(SUBSTITUTE($F329,"B","")))+(len($F329)-len(SUBSTITUTE($F329,"r","")))+(len($F329)-len(SUBSTITUTE($F329,"l","")))+(len($F329)-len(SUBSTITUTE($F329,"u","")))+(len($F329)-len(SUBSTITUTE($F329,"d","")))</f>
        <v>8</v>
      </c>
      <c r="H329" s="55">
        <f t="shared" ref="H329:H347" si="34">(len($F329)-len(SUBSTITUTE($F329,"R","")))+(len($F329)-len(SUBSTITUTE($F329,"L","")))+(len($F329)-len(SUBSTITUTE($F329,"U","")))+(len($F329)-len(SUBSTITUTE($F329,"D","")))+(len($F329)-len(SUBSTITUTE($F329,"F","")))+(len($F329)-len(SUBSTITUTE($F329,"B","")))+(len($F329)-len(SUBSTITUTE($F329,"r","")))+(len($F329)-len(SUBSTITUTE($F329,"l","")))+(len($F329)-len(SUBSTITUTE($F329,"u","")))+(len($F329)-len(SUBSTITUTE($F329,"d","")))+(len($F329)-len(SUBSTITUTE($F329,"2","")))</f>
        <v>10</v>
      </c>
    </row>
    <row r="330" ht="13.5">
      <c r="A330" s="54"/>
      <c r="B330" s="5" t="s">
        <v>123</v>
      </c>
      <c r="C330" s="5" t="s">
        <v>108</v>
      </c>
      <c r="D330" s="55" t="str">
        <f>VLOOKUP($B330,Letters!$C$81:$D$104,2,FALSE) &amp; VLOOKUP($C330,Letters!$C$81:$D$104,2,FALSE)</f>
        <v>RC</v>
      </c>
      <c r="E330" s="61" t="s">
        <v>3296</v>
      </c>
      <c r="F330" s="5" t="s">
        <v>3297</v>
      </c>
      <c r="G330" s="55">
        <f t="shared" si="33"/>
        <v>9</v>
      </c>
      <c r="H330" s="55">
        <f t="shared" si="34"/>
        <v>12</v>
      </c>
    </row>
    <row r="331" ht="13.5">
      <c r="A331" s="54"/>
      <c r="B331" s="5" t="s">
        <v>123</v>
      </c>
      <c r="C331" s="5" t="s">
        <v>109</v>
      </c>
      <c r="D331" s="55" t="str">
        <f>VLOOKUP($B331,Letters!$C$81:$D$104,2,FALSE) &amp; VLOOKUP($C331,Letters!$C$81:$D$104,2,FALSE)</f>
        <v>RD</v>
      </c>
      <c r="E331" s="61" t="s">
        <v>3298</v>
      </c>
      <c r="F331" s="5" t="s">
        <v>3300</v>
      </c>
      <c r="G331" s="55">
        <f t="shared" si="33"/>
        <v>9</v>
      </c>
      <c r="H331" s="55">
        <f t="shared" si="34"/>
        <v>12</v>
      </c>
    </row>
    <row r="332" ht="13.5">
      <c r="A332" s="54"/>
      <c r="B332" s="5" t="s">
        <v>123</v>
      </c>
      <c r="C332" s="5" t="s">
        <v>110</v>
      </c>
      <c r="D332" s="55" t="str">
        <f>VLOOKUP($B332,Letters!$C$81:$D$104,2,FALSE) &amp; VLOOKUP($C332,Letters!$C$81:$D$104,2,FALSE)</f>
        <v>RE</v>
      </c>
      <c r="E332" s="61" t="s">
        <v>3304</v>
      </c>
      <c r="F332" s="5" t="s">
        <v>3305</v>
      </c>
      <c r="G332" s="55">
        <f t="shared" si="33"/>
        <v>11</v>
      </c>
      <c r="H332" s="55">
        <f t="shared" si="34"/>
        <v>11</v>
      </c>
    </row>
    <row r="333" ht="13.5">
      <c r="A333" s="54"/>
      <c r="B333" s="5" t="s">
        <v>123</v>
      </c>
      <c r="C333" s="5" t="s">
        <v>111</v>
      </c>
      <c r="D333" s="55" t="str">
        <f>VLOOKUP($B333,Letters!$C$81:$D$104,2,FALSE) &amp; VLOOKUP($C333,Letters!$C$81:$D$104,2,FALSE)</f>
        <v>RF</v>
      </c>
      <c r="E333" s="61" t="s">
        <v>3306</v>
      </c>
      <c r="F333" s="5" t="s">
        <v>3307</v>
      </c>
      <c r="G333" s="55">
        <f t="shared" si="33"/>
        <v>9</v>
      </c>
      <c r="H333" s="55">
        <f t="shared" si="34"/>
        <v>10</v>
      </c>
    </row>
    <row r="334" ht="13.5">
      <c r="A334" s="54"/>
      <c r="B334" s="5" t="s">
        <v>123</v>
      </c>
      <c r="C334" s="5" t="s">
        <v>112</v>
      </c>
      <c r="D334" s="55" t="str">
        <f>VLOOKUP($B334,Letters!$C$81:$D$104,2,FALSE) &amp; VLOOKUP($C334,Letters!$C$81:$D$104,2,FALSE)</f>
        <v>RG</v>
      </c>
      <c r="E334" s="61" t="s">
        <v>3308</v>
      </c>
      <c r="F334" s="5" t="s">
        <v>3309</v>
      </c>
      <c r="G334" s="55">
        <f t="shared" si="33"/>
        <v>11</v>
      </c>
      <c r="H334" s="55">
        <f t="shared" si="34"/>
        <v>13</v>
      </c>
    </row>
    <row r="335" ht="13.5">
      <c r="A335" s="54"/>
      <c r="B335" s="5" t="s">
        <v>123</v>
      </c>
      <c r="C335" s="5" t="s">
        <v>113</v>
      </c>
      <c r="D335" s="55" t="str">
        <f>VLOOKUP($B335,Letters!$C$81:$D$104,2,FALSE) &amp; VLOOKUP($C335,Letters!$C$81:$D$104,2,FALSE)</f>
        <v>RH</v>
      </c>
      <c r="E335" s="61" t="s">
        <v>3310</v>
      </c>
      <c r="F335" s="5" t="s">
        <v>3311</v>
      </c>
      <c r="G335" s="55">
        <f t="shared" si="33"/>
        <v>11</v>
      </c>
      <c r="H335" s="55">
        <f t="shared" si="34"/>
        <v>15</v>
      </c>
    </row>
    <row r="336" ht="13.5">
      <c r="A336" s="54"/>
      <c r="B336" s="5" t="s">
        <v>123</v>
      </c>
      <c r="C336" s="5" t="s">
        <v>114</v>
      </c>
      <c r="D336" s="55" t="str">
        <f>VLOOKUP($B336,Letters!$C$81:$D$104,2,FALSE) &amp; VLOOKUP($C336,Letters!$C$81:$D$104,2,FALSE)</f>
        <v>RI</v>
      </c>
      <c r="E336" s="61" t="s">
        <v>3312</v>
      </c>
      <c r="F336" s="5" t="s">
        <v>3313</v>
      </c>
      <c r="G336" s="55">
        <f t="shared" si="33"/>
        <v>10</v>
      </c>
      <c r="H336" s="55">
        <f t="shared" si="34"/>
        <v>12</v>
      </c>
    </row>
    <row r="337" ht="13.5">
      <c r="A337" s="54"/>
      <c r="B337" s="5" t="s">
        <v>123</v>
      </c>
      <c r="C337" s="5" t="s">
        <v>115</v>
      </c>
      <c r="D337" s="55" t="str">
        <f>VLOOKUP($B337,Letters!$C$81:$D$104,2,FALSE) &amp; VLOOKUP($C337,Letters!$C$81:$D$104,2,FALSE)</f>
        <v>RJ</v>
      </c>
      <c r="E337" s="61" t="s">
        <v>3315</v>
      </c>
      <c r="F337" s="5" t="s">
        <v>3316</v>
      </c>
      <c r="G337" s="55">
        <f t="shared" si="33"/>
        <v>8</v>
      </c>
      <c r="H337" s="55">
        <f t="shared" si="34"/>
        <v>10</v>
      </c>
    </row>
    <row r="338" ht="13.5">
      <c r="A338" s="60"/>
      <c r="B338" s="5" t="s">
        <v>123</v>
      </c>
      <c r="C338" s="5" t="s">
        <v>116</v>
      </c>
      <c r="D338" s="55" t="str">
        <f>VLOOKUP($B338,Letters!$C$81:$D$104,2,FALSE) &amp; VLOOKUP($C338,Letters!$C$81:$D$104,2,FALSE)</f>
        <v>RK</v>
      </c>
      <c r="E338" s="61" t="s">
        <v>3318</v>
      </c>
      <c r="F338" s="5" t="s">
        <v>3319</v>
      </c>
      <c r="G338" s="55">
        <f t="shared" si="33"/>
        <v>9</v>
      </c>
      <c r="H338" s="55">
        <f t="shared" si="34"/>
        <v>10</v>
      </c>
    </row>
    <row r="339" ht="13.5">
      <c r="A339" s="54"/>
      <c r="B339" s="5" t="s">
        <v>123</v>
      </c>
      <c r="C339" s="5" t="s">
        <v>117</v>
      </c>
      <c r="D339" s="55" t="str">
        <f>VLOOKUP($B339,Letters!$C$81:$D$104,2,FALSE) &amp; VLOOKUP($C339,Letters!$C$81:$D$104,2,FALSE)</f>
        <v>RL</v>
      </c>
      <c r="E339" s="61" t="s">
        <v>3322</v>
      </c>
      <c r="F339" s="5" t="s">
        <v>3323</v>
      </c>
      <c r="G339" s="55">
        <f t="shared" si="33"/>
        <v>10</v>
      </c>
      <c r="H339" s="55">
        <f t="shared" si="34"/>
        <v>14</v>
      </c>
    </row>
    <row r="340" ht="13.5">
      <c r="A340" s="54"/>
      <c r="B340" s="5" t="s">
        <v>123</v>
      </c>
      <c r="C340" s="5" t="s">
        <v>118</v>
      </c>
      <c r="D340" s="55" t="str">
        <f>VLOOKUP($B340,Letters!$C$81:$D$104,2,FALSE) &amp; VLOOKUP($C340,Letters!$C$81:$D$104,2,FALSE)</f>
        <v>RM</v>
      </c>
      <c r="E340" s="61" t="s">
        <v>3325</v>
      </c>
      <c r="F340" s="5" t="s">
        <v>3326</v>
      </c>
      <c r="G340" s="55">
        <f t="shared" si="33"/>
        <v>11</v>
      </c>
      <c r="H340" s="55">
        <f t="shared" si="34"/>
        <v>12</v>
      </c>
    </row>
    <row r="341" ht="13.5">
      <c r="A341" s="54"/>
      <c r="B341" s="5" t="s">
        <v>123</v>
      </c>
      <c r="C341" s="5" t="s">
        <v>119</v>
      </c>
      <c r="D341" s="55" t="str">
        <f>VLOOKUP($B341,Letters!$C$81:$D$104,2,FALSE) &amp; VLOOKUP($C341,Letters!$C$81:$D$104,2,FALSE)</f>
        <v>RN</v>
      </c>
      <c r="E341" s="61" t="s">
        <v>3329</v>
      </c>
      <c r="F341" s="5" t="s">
        <v>3330</v>
      </c>
      <c r="G341" s="55">
        <f t="shared" si="33"/>
        <v>9</v>
      </c>
      <c r="H341" s="55">
        <f t="shared" si="34"/>
        <v>10</v>
      </c>
    </row>
    <row r="342" ht="13.5">
      <c r="A342" s="54"/>
      <c r="B342" s="5" t="s">
        <v>123</v>
      </c>
      <c r="C342" s="5" t="s">
        <v>120</v>
      </c>
      <c r="D342" s="55" t="str">
        <f>VLOOKUP($B342,Letters!$C$81:$D$104,2,FALSE) &amp; VLOOKUP($C342,Letters!$C$81:$D$104,2,FALSE)</f>
        <v>RO</v>
      </c>
      <c r="E342" s="61" t="s">
        <v>3332</v>
      </c>
      <c r="F342" s="5" t="s">
        <v>3333</v>
      </c>
      <c r="G342" s="55">
        <f t="shared" si="33"/>
        <v>11</v>
      </c>
      <c r="H342" s="55">
        <f t="shared" si="34"/>
        <v>12</v>
      </c>
    </row>
    <row r="343" ht="13.5">
      <c r="A343" s="54"/>
      <c r="B343" s="5" t="s">
        <v>123</v>
      </c>
      <c r="C343" s="5" t="s">
        <v>121</v>
      </c>
      <c r="D343" s="55" t="str">
        <f>VLOOKUP($B343,Letters!$C$81:$D$104,2,FALSE) &amp; VLOOKUP($C343,Letters!$C$81:$D$104,2,FALSE)</f>
        <v>RP</v>
      </c>
      <c r="E343" s="61" t="s">
        <v>3336</v>
      </c>
      <c r="F343" s="5" t="s">
        <v>3337</v>
      </c>
      <c r="G343" s="55">
        <f t="shared" si="33"/>
        <v>11</v>
      </c>
      <c r="H343" s="55">
        <f t="shared" si="34"/>
        <v>14</v>
      </c>
    </row>
    <row r="344" ht="13.5">
      <c r="A344" s="54"/>
      <c r="B344" s="5" t="s">
        <v>123</v>
      </c>
      <c r="C344" s="5" t="s">
        <v>126</v>
      </c>
      <c r="D344" s="55" t="str">
        <f>VLOOKUP($B344,Letters!$C$81:$D$104,2,FALSE) &amp; VLOOKUP($C344,Letters!$C$81:$D$104,2,FALSE)</f>
        <v>RU</v>
      </c>
      <c r="E344" s="61" t="s">
        <v>3338</v>
      </c>
      <c r="F344" s="5" t="s">
        <v>3339</v>
      </c>
      <c r="G344" s="55">
        <f t="shared" si="33"/>
        <v>11</v>
      </c>
      <c r="H344" s="55">
        <f t="shared" si="34"/>
        <v>14</v>
      </c>
    </row>
    <row r="345" ht="13.5">
      <c r="A345" s="54"/>
      <c r="B345" s="5" t="s">
        <v>123</v>
      </c>
      <c r="C345" s="5" t="s">
        <v>127</v>
      </c>
      <c r="D345" s="55" t="str">
        <f>VLOOKUP($B345,Letters!$C$81:$D$104,2,FALSE) &amp; VLOOKUP($C345,Letters!$C$81:$D$104,2,FALSE)</f>
        <v>RV</v>
      </c>
      <c r="E345" s="61" t="s">
        <v>3340</v>
      </c>
      <c r="F345" s="67" t="s">
        <v>3341</v>
      </c>
      <c r="G345" s="55">
        <f t="shared" si="33"/>
        <v>9</v>
      </c>
      <c r="H345" s="55">
        <f t="shared" si="34"/>
        <v>12</v>
      </c>
    </row>
    <row r="346" ht="13.5">
      <c r="A346" s="54"/>
      <c r="B346" s="5" t="s">
        <v>123</v>
      </c>
      <c r="C346" s="5" t="s">
        <v>128</v>
      </c>
      <c r="D346" s="55" t="str">
        <f>VLOOKUP($B346,Letters!$C$81:$D$104,2,FALSE) &amp; VLOOKUP($C346,Letters!$C$81:$D$104,2,FALSE)</f>
        <v>RW</v>
      </c>
      <c r="E346" s="61" t="s">
        <v>3344</v>
      </c>
      <c r="F346" s="5" t="s">
        <v>3345</v>
      </c>
      <c r="G346" s="55">
        <f t="shared" si="33"/>
        <v>9</v>
      </c>
      <c r="H346" s="55">
        <f t="shared" si="34"/>
        <v>12</v>
      </c>
    </row>
    <row r="347" ht="13.5">
      <c r="A347" s="54"/>
      <c r="B347" s="5" t="s">
        <v>123</v>
      </c>
      <c r="C347" s="5" t="s">
        <v>129</v>
      </c>
      <c r="D347" s="55" t="str">
        <f>VLOOKUP($B347,Letters!$C$81:$D$104,2,FALSE) &amp; VLOOKUP($C347,Letters!$C$81:$D$104,2,FALSE)</f>
        <v>RX</v>
      </c>
      <c r="E347" s="61" t="s">
        <v>3348</v>
      </c>
      <c r="F347" s="5" t="s">
        <v>3349</v>
      </c>
      <c r="G347" s="55">
        <f t="shared" si="33"/>
        <v>11</v>
      </c>
      <c r="H347" s="55">
        <f t="shared" si="34"/>
        <v>14</v>
      </c>
    </row>
    <row r="348">
      <c r="A348" s="60"/>
      <c r="B348" s="5"/>
      <c r="C348" s="5"/>
      <c r="D348" s="55"/>
      <c r="E348" s="5"/>
      <c r="F348" s="5"/>
      <c r="G348" s="55"/>
      <c r="H348" s="55"/>
    </row>
    <row r="349" ht="13.5">
      <c r="A349" s="54"/>
      <c r="B349" s="5" t="s">
        <v>124</v>
      </c>
      <c r="C349" s="5" t="s">
        <v>107</v>
      </c>
      <c r="D349" s="55" t="str">
        <f>VLOOKUP($B349,Letters!$C$81:$D$104,2,FALSE) &amp; VLOOKUP($C349,Letters!$C$81:$D$104,2,FALSE)</f>
        <v>SB</v>
      </c>
      <c r="E349" s="61" t="s">
        <v>3352</v>
      </c>
      <c r="F349" s="5" t="s">
        <v>3353</v>
      </c>
      <c r="G349" s="55">
        <f t="shared" ref="G349:G367" si="35">(len($F349)-len(SUBSTITUTE($F349,"R","")))+(len($F349)-len(SUBSTITUTE($F349,"L","")))+(len($F349)-len(SUBSTITUTE($F349,"U","")))+(len($F349)-len(SUBSTITUTE($F349,"D","")))+(len($F349)-len(SUBSTITUTE($F349,"F","")))+(len($F349)-len(SUBSTITUTE($F349,"B","")))+(len($F349)-len(SUBSTITUTE($F349,"r","")))+(len($F349)-len(SUBSTITUTE($F349,"l","")))+(len($F349)-len(SUBSTITUTE($F349,"u","")))+(len($F349)-len(SUBSTITUTE($F349,"d","")))</f>
        <v>8</v>
      </c>
      <c r="H349" s="55">
        <f t="shared" ref="H349:H367" si="36">(len($F349)-len(SUBSTITUTE($F349,"R","")))+(len($F349)-len(SUBSTITUTE($F349,"L","")))+(len($F349)-len(SUBSTITUTE($F349,"U","")))+(len($F349)-len(SUBSTITUTE($F349,"D","")))+(len($F349)-len(SUBSTITUTE($F349,"F","")))+(len($F349)-len(SUBSTITUTE($F349,"B","")))+(len($F349)-len(SUBSTITUTE($F349,"r","")))+(len($F349)-len(SUBSTITUTE($F349,"l","")))+(len($F349)-len(SUBSTITUTE($F349,"u","")))+(len($F349)-len(SUBSTITUTE($F349,"d","")))+(len($F349)-len(SUBSTITUTE($F349,"2","")))</f>
        <v>8</v>
      </c>
    </row>
    <row r="350" ht="13.5">
      <c r="A350" s="54"/>
      <c r="B350" s="5" t="s">
        <v>124</v>
      </c>
      <c r="C350" s="5" t="s">
        <v>108</v>
      </c>
      <c r="D350" s="55" t="str">
        <f>VLOOKUP($B350,Letters!$C$81:$D$104,2,FALSE) &amp; VLOOKUP($C350,Letters!$C$81:$D$104,2,FALSE)</f>
        <v>SC</v>
      </c>
      <c r="E350" s="61" t="s">
        <v>3355</v>
      </c>
      <c r="F350" s="5" t="s">
        <v>3356</v>
      </c>
      <c r="G350" s="55">
        <f t="shared" si="35"/>
        <v>8</v>
      </c>
      <c r="H350" s="55">
        <f t="shared" si="36"/>
        <v>12</v>
      </c>
    </row>
    <row r="351" ht="13.5">
      <c r="A351" s="54"/>
      <c r="B351" s="5" t="s">
        <v>124</v>
      </c>
      <c r="C351" s="5" t="s">
        <v>109</v>
      </c>
      <c r="D351" s="55" t="str">
        <f>VLOOKUP($B351,Letters!$C$81:$D$104,2,FALSE) &amp; VLOOKUP($C351,Letters!$C$81:$D$104,2,FALSE)</f>
        <v>SD</v>
      </c>
      <c r="E351" s="61" t="s">
        <v>3357</v>
      </c>
      <c r="F351" s="5" t="s">
        <v>3358</v>
      </c>
      <c r="G351" s="55">
        <f t="shared" si="35"/>
        <v>9</v>
      </c>
      <c r="H351" s="55">
        <f t="shared" si="36"/>
        <v>12</v>
      </c>
    </row>
    <row r="352" ht="13.5">
      <c r="A352" s="54"/>
      <c r="B352" s="5" t="s">
        <v>124</v>
      </c>
      <c r="C352" s="5" t="s">
        <v>110</v>
      </c>
      <c r="D352" s="55" t="str">
        <f>VLOOKUP($B352,Letters!$C$81:$D$104,2,FALSE) &amp; VLOOKUP($C352,Letters!$C$81:$D$104,2,FALSE)</f>
        <v>SE</v>
      </c>
      <c r="E352" s="61" t="s">
        <v>3359</v>
      </c>
      <c r="F352" s="5" t="s">
        <v>3360</v>
      </c>
      <c r="G352" s="55">
        <f t="shared" si="35"/>
        <v>8</v>
      </c>
      <c r="H352" s="55">
        <f t="shared" si="36"/>
        <v>9</v>
      </c>
    </row>
    <row r="353" ht="13.5">
      <c r="A353" s="54"/>
      <c r="B353" s="5" t="s">
        <v>124</v>
      </c>
      <c r="C353" s="5" t="s">
        <v>111</v>
      </c>
      <c r="D353" s="55" t="str">
        <f>VLOOKUP($B353,Letters!$C$81:$D$104,2,FALSE) &amp; VLOOKUP($C353,Letters!$C$81:$D$104,2,FALSE)</f>
        <v>SF</v>
      </c>
      <c r="E353" s="61" t="s">
        <v>3361</v>
      </c>
      <c r="F353" s="5" t="s">
        <v>3362</v>
      </c>
      <c r="G353" s="55">
        <f t="shared" si="35"/>
        <v>8</v>
      </c>
      <c r="H353" s="55">
        <f t="shared" si="36"/>
        <v>8</v>
      </c>
    </row>
    <row r="354" ht="13.5">
      <c r="A354" s="54"/>
      <c r="B354" s="5" t="s">
        <v>124</v>
      </c>
      <c r="C354" s="5" t="s">
        <v>112</v>
      </c>
      <c r="D354" s="55" t="str">
        <f>VLOOKUP($B354,Letters!$C$81:$D$104,2,FALSE) &amp; VLOOKUP($C354,Letters!$C$81:$D$104,2,FALSE)</f>
        <v>SG</v>
      </c>
      <c r="E354" s="61" t="s">
        <v>2612</v>
      </c>
      <c r="F354" s="5" t="s">
        <v>2613</v>
      </c>
      <c r="G354" s="55">
        <f t="shared" si="35"/>
        <v>9</v>
      </c>
      <c r="H354" s="55">
        <f t="shared" si="36"/>
        <v>12</v>
      </c>
    </row>
    <row r="355" ht="13.5">
      <c r="A355" s="54"/>
      <c r="B355" s="5" t="s">
        <v>124</v>
      </c>
      <c r="C355" s="5" t="s">
        <v>113</v>
      </c>
      <c r="D355" s="55" t="str">
        <f>VLOOKUP($B355,Letters!$C$81:$D$104,2,FALSE) &amp; VLOOKUP($C355,Letters!$C$81:$D$104,2,FALSE)</f>
        <v>SH</v>
      </c>
      <c r="E355" s="61" t="s">
        <v>3363</v>
      </c>
      <c r="F355" s="5" t="s">
        <v>3364</v>
      </c>
      <c r="G355" s="55">
        <f t="shared" si="35"/>
        <v>8</v>
      </c>
      <c r="H355" s="55">
        <f t="shared" si="36"/>
        <v>8</v>
      </c>
    </row>
    <row r="356" ht="13.5">
      <c r="A356" s="54"/>
      <c r="B356" s="5" t="s">
        <v>124</v>
      </c>
      <c r="C356" s="5" t="s">
        <v>114</v>
      </c>
      <c r="D356" s="55" t="str">
        <f>VLOOKUP($B356,Letters!$C$81:$D$104,2,FALSE) &amp; VLOOKUP($C356,Letters!$C$81:$D$104,2,FALSE)</f>
        <v>SI</v>
      </c>
      <c r="E356" s="61" t="s">
        <v>3367</v>
      </c>
      <c r="F356" s="5" t="s">
        <v>3368</v>
      </c>
      <c r="G356" s="55">
        <f t="shared" si="35"/>
        <v>10</v>
      </c>
      <c r="H356" s="55">
        <f t="shared" si="36"/>
        <v>10</v>
      </c>
    </row>
    <row r="357" ht="13.5">
      <c r="A357" s="54"/>
      <c r="B357" s="5" t="s">
        <v>124</v>
      </c>
      <c r="C357" s="5" t="s">
        <v>115</v>
      </c>
      <c r="D357" s="55" t="str">
        <f>VLOOKUP($B357,Letters!$C$81:$D$104,2,FALSE) &amp; VLOOKUP($C357,Letters!$C$81:$D$104,2,FALSE)</f>
        <v>SJ</v>
      </c>
      <c r="E357" s="61" t="s">
        <v>3370</v>
      </c>
      <c r="F357" s="5" t="s">
        <v>3371</v>
      </c>
      <c r="G357" s="55">
        <f t="shared" si="35"/>
        <v>8</v>
      </c>
      <c r="H357" s="55">
        <f t="shared" si="36"/>
        <v>8</v>
      </c>
    </row>
    <row r="358" ht="13.5">
      <c r="A358" s="60"/>
      <c r="B358" s="5" t="s">
        <v>124</v>
      </c>
      <c r="C358" s="5" t="s">
        <v>116</v>
      </c>
      <c r="D358" s="55" t="str">
        <f>VLOOKUP($B358,Letters!$C$81:$D$104,2,FALSE) &amp; VLOOKUP($C358,Letters!$C$81:$D$104,2,FALSE)</f>
        <v>SK</v>
      </c>
      <c r="E358" s="61" t="s">
        <v>3373</v>
      </c>
      <c r="F358" s="5" t="s">
        <v>3375</v>
      </c>
      <c r="G358" s="55">
        <f t="shared" si="35"/>
        <v>8</v>
      </c>
      <c r="H358" s="55">
        <f t="shared" si="36"/>
        <v>12</v>
      </c>
    </row>
    <row r="359" ht="13.5">
      <c r="A359" s="54"/>
      <c r="B359" s="5" t="s">
        <v>124</v>
      </c>
      <c r="C359" s="5" t="s">
        <v>117</v>
      </c>
      <c r="D359" s="55" t="str">
        <f>VLOOKUP($B359,Letters!$C$81:$D$104,2,FALSE) &amp; VLOOKUP($C359,Letters!$C$81:$D$104,2,FALSE)</f>
        <v>SL</v>
      </c>
      <c r="E359" s="61" t="s">
        <v>3378</v>
      </c>
      <c r="F359" s="5" t="s">
        <v>3379</v>
      </c>
      <c r="G359" s="55">
        <f t="shared" si="35"/>
        <v>10</v>
      </c>
      <c r="H359" s="55">
        <f t="shared" si="36"/>
        <v>14</v>
      </c>
    </row>
    <row r="360" ht="13.5">
      <c r="A360" s="54"/>
      <c r="B360" s="5" t="s">
        <v>124</v>
      </c>
      <c r="C360" s="5" t="s">
        <v>118</v>
      </c>
      <c r="D360" s="55" t="str">
        <f>VLOOKUP($B360,Letters!$C$81:$D$104,2,FALSE) &amp; VLOOKUP($C360,Letters!$C$81:$D$104,2,FALSE)</f>
        <v>SM</v>
      </c>
      <c r="E360" s="61" t="s">
        <v>3380</v>
      </c>
      <c r="F360" s="5" t="s">
        <v>3381</v>
      </c>
      <c r="G360" s="55">
        <f t="shared" si="35"/>
        <v>10</v>
      </c>
      <c r="H360" s="55">
        <f t="shared" si="36"/>
        <v>11</v>
      </c>
    </row>
    <row r="361" ht="13.5">
      <c r="A361" s="54"/>
      <c r="B361" s="5" t="s">
        <v>124</v>
      </c>
      <c r="C361" s="5" t="s">
        <v>119</v>
      </c>
      <c r="D361" s="55" t="str">
        <f>VLOOKUP($B361,Letters!$C$81:$D$104,2,FALSE) &amp; VLOOKUP($C361,Letters!$C$81:$D$104,2,FALSE)</f>
        <v>SN</v>
      </c>
      <c r="E361" s="61" t="s">
        <v>3382</v>
      </c>
      <c r="F361" s="5" t="s">
        <v>3383</v>
      </c>
      <c r="G361" s="55">
        <f t="shared" si="35"/>
        <v>8</v>
      </c>
      <c r="H361" s="55">
        <f t="shared" si="36"/>
        <v>8</v>
      </c>
    </row>
    <row r="362" ht="13.5">
      <c r="A362" s="54"/>
      <c r="B362" s="5" t="s">
        <v>124</v>
      </c>
      <c r="C362" s="5" t="s">
        <v>120</v>
      </c>
      <c r="D362" s="55" t="str">
        <f>VLOOKUP($B362,Letters!$C$81:$D$104,2,FALSE) &amp; VLOOKUP($C362,Letters!$C$81:$D$104,2,FALSE)</f>
        <v>SO</v>
      </c>
      <c r="E362" s="61" t="s">
        <v>3384</v>
      </c>
      <c r="F362" s="5" t="s">
        <v>3385</v>
      </c>
      <c r="G362" s="55">
        <f t="shared" si="35"/>
        <v>9</v>
      </c>
      <c r="H362" s="55">
        <f t="shared" si="36"/>
        <v>9</v>
      </c>
    </row>
    <row r="363" ht="13.5">
      <c r="A363" s="54"/>
      <c r="B363" s="5" t="s">
        <v>124</v>
      </c>
      <c r="C363" s="5" t="s">
        <v>121</v>
      </c>
      <c r="D363" s="55" t="str">
        <f>VLOOKUP($B363,Letters!$C$81:$D$104,2,FALSE) &amp; VLOOKUP($C363,Letters!$C$81:$D$104,2,FALSE)</f>
        <v>SP</v>
      </c>
      <c r="E363" s="61" t="s">
        <v>3388</v>
      </c>
      <c r="F363" s="5" t="s">
        <v>3389</v>
      </c>
      <c r="G363" s="55">
        <f t="shared" si="35"/>
        <v>10</v>
      </c>
      <c r="H363" s="55">
        <f t="shared" si="36"/>
        <v>12</v>
      </c>
    </row>
    <row r="364" ht="13.5">
      <c r="A364" s="54"/>
      <c r="B364" s="5" t="s">
        <v>124</v>
      </c>
      <c r="C364" s="5" t="s">
        <v>126</v>
      </c>
      <c r="D364" s="55" t="str">
        <f>VLOOKUP($B364,Letters!$C$81:$D$104,2,FALSE) &amp; VLOOKUP($C364,Letters!$C$81:$D$104,2,FALSE)</f>
        <v>SU</v>
      </c>
      <c r="E364" s="61" t="s">
        <v>3392</v>
      </c>
      <c r="F364" s="5" t="s">
        <v>3393</v>
      </c>
      <c r="G364" s="55">
        <f t="shared" si="35"/>
        <v>10</v>
      </c>
      <c r="H364" s="55">
        <f t="shared" si="36"/>
        <v>12</v>
      </c>
    </row>
    <row r="365" ht="13.5">
      <c r="A365" s="54"/>
      <c r="B365" s="5" t="s">
        <v>124</v>
      </c>
      <c r="C365" s="5" t="s">
        <v>127</v>
      </c>
      <c r="D365" s="55" t="str">
        <f>VLOOKUP($B365,Letters!$C$81:$D$104,2,FALSE) &amp; VLOOKUP($C365,Letters!$C$81:$D$104,2,FALSE)</f>
        <v>SV</v>
      </c>
      <c r="E365" s="61" t="s">
        <v>3396</v>
      </c>
      <c r="F365" s="5" t="s">
        <v>3397</v>
      </c>
      <c r="G365" s="55">
        <f t="shared" si="35"/>
        <v>8</v>
      </c>
      <c r="H365" s="55">
        <f t="shared" si="36"/>
        <v>10</v>
      </c>
    </row>
    <row r="366" ht="13.5">
      <c r="A366" s="54"/>
      <c r="B366" s="5" t="s">
        <v>124</v>
      </c>
      <c r="C366" s="5" t="s">
        <v>128</v>
      </c>
      <c r="D366" s="55" t="str">
        <f>VLOOKUP($B366,Letters!$C$81:$D$104,2,FALSE) &amp; VLOOKUP($C366,Letters!$C$81:$D$104,2,FALSE)</f>
        <v>SW</v>
      </c>
      <c r="E366" s="61" t="s">
        <v>3398</v>
      </c>
      <c r="F366" s="5" t="s">
        <v>3399</v>
      </c>
      <c r="G366" s="55">
        <f t="shared" si="35"/>
        <v>10</v>
      </c>
      <c r="H366" s="55">
        <f t="shared" si="36"/>
        <v>12</v>
      </c>
    </row>
    <row r="367" ht="13.5">
      <c r="A367" s="60"/>
      <c r="B367" s="5" t="s">
        <v>124</v>
      </c>
      <c r="C367" s="5" t="s">
        <v>129</v>
      </c>
      <c r="D367" s="55" t="str">
        <f>VLOOKUP($B367,Letters!$C$81:$D$104,2,FALSE) &amp; VLOOKUP($C367,Letters!$C$81:$D$104,2,FALSE)</f>
        <v>SX</v>
      </c>
      <c r="E367" s="61" t="s">
        <v>3400</v>
      </c>
      <c r="F367" s="5" t="s">
        <v>3401</v>
      </c>
      <c r="G367" s="55">
        <f t="shared" si="35"/>
        <v>10</v>
      </c>
      <c r="H367" s="55">
        <f t="shared" si="36"/>
        <v>14</v>
      </c>
    </row>
    <row r="368">
      <c r="A368" s="54"/>
      <c r="B368" s="5"/>
      <c r="C368" s="5"/>
      <c r="D368" s="55"/>
      <c r="E368" s="5"/>
      <c r="F368" s="5"/>
      <c r="G368" s="55"/>
      <c r="H368" s="55"/>
    </row>
    <row r="369" ht="13.5">
      <c r="A369" s="54"/>
      <c r="B369" s="5" t="s">
        <v>125</v>
      </c>
      <c r="C369" s="5" t="s">
        <v>107</v>
      </c>
      <c r="D369" s="55" t="str">
        <f>VLOOKUP($B369,Letters!$C$81:$D$104,2,FALSE) &amp; VLOOKUP($C369,Letters!$C$81:$D$104,2,FALSE)</f>
        <v>TB</v>
      </c>
      <c r="E369" s="61" t="s">
        <v>3402</v>
      </c>
      <c r="F369" s="5" t="s">
        <v>3403</v>
      </c>
      <c r="G369" s="55">
        <f t="shared" ref="G369:G387" si="37">(len($F369)-len(SUBSTITUTE($F369,"R","")))+(len($F369)-len(SUBSTITUTE($F369,"L","")))+(len($F369)-len(SUBSTITUTE($F369,"U","")))+(len($F369)-len(SUBSTITUTE($F369,"D","")))+(len($F369)-len(SUBSTITUTE($F369,"F","")))+(len($F369)-len(SUBSTITUTE($F369,"B","")))+(len($F369)-len(SUBSTITUTE($F369,"r","")))+(len($F369)-len(SUBSTITUTE($F369,"l","")))+(len($F369)-len(SUBSTITUTE($F369,"u","")))+(len($F369)-len(SUBSTITUTE($F369,"d","")))</f>
        <v>8</v>
      </c>
      <c r="H369" s="55">
        <f t="shared" ref="H369:H387" si="38">(len($F369)-len(SUBSTITUTE($F369,"R","")))+(len($F369)-len(SUBSTITUTE($F369,"L","")))+(len($F369)-len(SUBSTITUTE($F369,"U","")))+(len($F369)-len(SUBSTITUTE($F369,"D","")))+(len($F369)-len(SUBSTITUTE($F369,"F","")))+(len($F369)-len(SUBSTITUTE($F369,"B","")))+(len($F369)-len(SUBSTITUTE($F369,"r","")))+(len($F369)-len(SUBSTITUTE($F369,"l","")))+(len($F369)-len(SUBSTITUTE($F369,"u","")))+(len($F369)-len(SUBSTITUTE($F369,"d","")))+(len($F369)-len(SUBSTITUTE($F369,"2","")))</f>
        <v>8</v>
      </c>
    </row>
    <row r="370" ht="13.5">
      <c r="A370" s="54"/>
      <c r="B370" s="5" t="s">
        <v>125</v>
      </c>
      <c r="C370" s="5" t="s">
        <v>108</v>
      </c>
      <c r="D370" s="55" t="str">
        <f>VLOOKUP($B370,Letters!$C$81:$D$104,2,FALSE) &amp; VLOOKUP($C370,Letters!$C$81:$D$104,2,FALSE)</f>
        <v>TC</v>
      </c>
      <c r="E370" s="61" t="s">
        <v>3404</v>
      </c>
      <c r="F370" s="5" t="s">
        <v>3405</v>
      </c>
      <c r="G370" s="55">
        <f t="shared" si="37"/>
        <v>9</v>
      </c>
      <c r="H370" s="55">
        <f t="shared" si="38"/>
        <v>12</v>
      </c>
    </row>
    <row r="371" ht="13.5">
      <c r="A371" s="54"/>
      <c r="B371" s="5" t="s">
        <v>125</v>
      </c>
      <c r="C371" s="5" t="s">
        <v>109</v>
      </c>
      <c r="D371" s="55" t="str">
        <f>VLOOKUP($B371,Letters!$C$81:$D$104,2,FALSE) &amp; VLOOKUP($C371,Letters!$C$81:$D$104,2,FALSE)</f>
        <v>TD</v>
      </c>
      <c r="E371" s="61" t="s">
        <v>3407</v>
      </c>
      <c r="F371" s="5" t="s">
        <v>3408</v>
      </c>
      <c r="G371" s="55">
        <f t="shared" si="37"/>
        <v>8</v>
      </c>
      <c r="H371" s="55">
        <f t="shared" si="38"/>
        <v>10</v>
      </c>
    </row>
    <row r="372" ht="13.5">
      <c r="A372" s="54"/>
      <c r="B372" s="5" t="s">
        <v>125</v>
      </c>
      <c r="C372" s="5" t="s">
        <v>110</v>
      </c>
      <c r="D372" s="55" t="str">
        <f>VLOOKUP($B372,Letters!$C$81:$D$104,2,FALSE) &amp; VLOOKUP($C372,Letters!$C$81:$D$104,2,FALSE)</f>
        <v>TE</v>
      </c>
      <c r="E372" s="61" t="s">
        <v>3410</v>
      </c>
      <c r="F372" s="5" t="s">
        <v>3411</v>
      </c>
      <c r="G372" s="55">
        <f t="shared" si="37"/>
        <v>9</v>
      </c>
      <c r="H372" s="55">
        <f t="shared" si="38"/>
        <v>9</v>
      </c>
    </row>
    <row r="373" ht="13.5">
      <c r="A373" s="54"/>
      <c r="B373" s="5" t="s">
        <v>125</v>
      </c>
      <c r="C373" s="5" t="s">
        <v>111</v>
      </c>
      <c r="D373" s="55" t="str">
        <f>VLOOKUP($B373,Letters!$C$81:$D$104,2,FALSE) &amp; VLOOKUP($C373,Letters!$C$81:$D$104,2,FALSE)</f>
        <v>TF</v>
      </c>
      <c r="E373" s="61" t="s">
        <v>3413</v>
      </c>
      <c r="F373" s="5" t="s">
        <v>3414</v>
      </c>
      <c r="G373" s="55">
        <f t="shared" si="37"/>
        <v>9</v>
      </c>
      <c r="H373" s="55">
        <f t="shared" si="38"/>
        <v>10</v>
      </c>
    </row>
    <row r="374" ht="13.5">
      <c r="A374" s="54"/>
      <c r="B374" s="5" t="s">
        <v>125</v>
      </c>
      <c r="C374" s="5" t="s">
        <v>112</v>
      </c>
      <c r="D374" s="55" t="str">
        <f>VLOOKUP($B374,Letters!$C$81:$D$104,2,FALSE) &amp; VLOOKUP($C374,Letters!$C$81:$D$104,2,FALSE)</f>
        <v>TG</v>
      </c>
      <c r="E374" s="61" t="s">
        <v>3416</v>
      </c>
      <c r="F374" s="5" t="s">
        <v>3417</v>
      </c>
      <c r="G374" s="55">
        <f t="shared" si="37"/>
        <v>10</v>
      </c>
      <c r="H374" s="55">
        <f t="shared" si="38"/>
        <v>10</v>
      </c>
    </row>
    <row r="375" ht="13.5">
      <c r="A375" s="54"/>
      <c r="B375" s="5" t="s">
        <v>125</v>
      </c>
      <c r="C375" s="5" t="s">
        <v>113</v>
      </c>
      <c r="D375" s="55" t="str">
        <f>VLOOKUP($B375,Letters!$C$81:$D$104,2,FALSE) &amp; VLOOKUP($C375,Letters!$C$81:$D$104,2,FALSE)</f>
        <v>TH</v>
      </c>
      <c r="E375" s="61" t="s">
        <v>3420</v>
      </c>
      <c r="F375" s="5" t="s">
        <v>3421</v>
      </c>
      <c r="G375" s="55">
        <f t="shared" si="37"/>
        <v>8</v>
      </c>
      <c r="H375" s="55">
        <f t="shared" si="38"/>
        <v>8</v>
      </c>
    </row>
    <row r="376" ht="13.5">
      <c r="A376" s="54"/>
      <c r="B376" s="5" t="s">
        <v>125</v>
      </c>
      <c r="C376" s="5" t="s">
        <v>114</v>
      </c>
      <c r="D376" s="55" t="str">
        <f>VLOOKUP($B376,Letters!$C$81:$D$104,2,FALSE) &amp; VLOOKUP($C376,Letters!$C$81:$D$104,2,FALSE)</f>
        <v>TI</v>
      </c>
      <c r="E376" s="61" t="s">
        <v>3422</v>
      </c>
      <c r="F376" s="5" t="s">
        <v>3423</v>
      </c>
      <c r="G376" s="55">
        <f t="shared" si="37"/>
        <v>8</v>
      </c>
      <c r="H376" s="55">
        <f t="shared" si="38"/>
        <v>8</v>
      </c>
    </row>
    <row r="377" ht="13.5">
      <c r="A377" s="54"/>
      <c r="B377" s="5" t="s">
        <v>125</v>
      </c>
      <c r="C377" s="5" t="s">
        <v>115</v>
      </c>
      <c r="D377" s="55" t="str">
        <f>VLOOKUP($B377,Letters!$C$81:$D$104,2,FALSE) &amp; VLOOKUP($C377,Letters!$C$81:$D$104,2,FALSE)</f>
        <v>TJ</v>
      </c>
      <c r="E377" s="61" t="s">
        <v>3424</v>
      </c>
      <c r="F377" s="5" t="s">
        <v>3425</v>
      </c>
      <c r="G377" s="55">
        <f t="shared" si="37"/>
        <v>8</v>
      </c>
      <c r="H377" s="55">
        <f t="shared" si="38"/>
        <v>10</v>
      </c>
    </row>
    <row r="378" ht="13.5">
      <c r="A378" s="60"/>
      <c r="B378" s="5" t="s">
        <v>125</v>
      </c>
      <c r="C378" s="5" t="s">
        <v>116</v>
      </c>
      <c r="D378" s="55" t="str">
        <f>VLOOKUP($B378,Letters!$C$81:$D$104,2,FALSE) &amp; VLOOKUP($C378,Letters!$C$81:$D$104,2,FALSE)</f>
        <v>TK</v>
      </c>
      <c r="E378" s="61" t="s">
        <v>3428</v>
      </c>
      <c r="F378" s="5" t="s">
        <v>3429</v>
      </c>
      <c r="G378" s="55">
        <f t="shared" si="37"/>
        <v>9</v>
      </c>
      <c r="H378" s="55">
        <f t="shared" si="38"/>
        <v>12</v>
      </c>
    </row>
    <row r="379" ht="13.5">
      <c r="A379" s="54"/>
      <c r="B379" s="5" t="s">
        <v>125</v>
      </c>
      <c r="C379" s="5" t="s">
        <v>117</v>
      </c>
      <c r="D379" s="55" t="str">
        <f>VLOOKUP($B379,Letters!$C$81:$D$104,2,FALSE) &amp; VLOOKUP($C379,Letters!$C$81:$D$104,2,FALSE)</f>
        <v>TL</v>
      </c>
      <c r="E379" s="61" t="s">
        <v>3432</v>
      </c>
      <c r="F379" s="5" t="s">
        <v>3433</v>
      </c>
      <c r="G379" s="55">
        <f t="shared" si="37"/>
        <v>8</v>
      </c>
      <c r="H379" s="55">
        <f t="shared" si="38"/>
        <v>10</v>
      </c>
    </row>
    <row r="380" ht="13.5">
      <c r="A380" s="54"/>
      <c r="B380" s="5" t="s">
        <v>125</v>
      </c>
      <c r="C380" s="5" t="s">
        <v>118</v>
      </c>
      <c r="D380" s="55" t="str">
        <f>VLOOKUP($B380,Letters!$C$81:$D$104,2,FALSE) &amp; VLOOKUP($C380,Letters!$C$81:$D$104,2,FALSE)</f>
        <v>TM</v>
      </c>
      <c r="E380" s="61" t="s">
        <v>3436</v>
      </c>
      <c r="F380" s="5" t="s">
        <v>3437</v>
      </c>
      <c r="G380" s="55">
        <f t="shared" si="37"/>
        <v>9</v>
      </c>
      <c r="H380" s="55">
        <f t="shared" si="38"/>
        <v>9</v>
      </c>
    </row>
    <row r="381" ht="13.5">
      <c r="A381" s="54"/>
      <c r="B381" s="5" t="s">
        <v>125</v>
      </c>
      <c r="C381" s="5" t="s">
        <v>119</v>
      </c>
      <c r="D381" s="55" t="str">
        <f>VLOOKUP($B381,Letters!$C$81:$D$104,2,FALSE) &amp; VLOOKUP($C381,Letters!$C$81:$D$104,2,FALSE)</f>
        <v>TN</v>
      </c>
      <c r="E381" s="61" t="s">
        <v>3438</v>
      </c>
      <c r="F381" s="5" t="s">
        <v>3439</v>
      </c>
      <c r="G381" s="55">
        <f t="shared" si="37"/>
        <v>9</v>
      </c>
      <c r="H381" s="55">
        <f t="shared" si="38"/>
        <v>10</v>
      </c>
    </row>
    <row r="382" ht="13.5">
      <c r="A382" s="54"/>
      <c r="B382" s="5" t="s">
        <v>125</v>
      </c>
      <c r="C382" s="5" t="s">
        <v>120</v>
      </c>
      <c r="D382" s="55" t="str">
        <f>VLOOKUP($B382,Letters!$C$81:$D$104,2,FALSE) &amp; VLOOKUP($C382,Letters!$C$81:$D$104,2,FALSE)</f>
        <v>TO</v>
      </c>
      <c r="E382" s="61" t="s">
        <v>3440</v>
      </c>
      <c r="F382" s="5" t="s">
        <v>3441</v>
      </c>
      <c r="G382" s="55">
        <f t="shared" si="37"/>
        <v>10</v>
      </c>
      <c r="H382" s="55">
        <f t="shared" si="38"/>
        <v>11</v>
      </c>
    </row>
    <row r="383" ht="13.5">
      <c r="A383" s="54"/>
      <c r="B383" s="5" t="s">
        <v>125</v>
      </c>
      <c r="C383" s="5" t="s">
        <v>121</v>
      </c>
      <c r="D383" s="55" t="str">
        <f>VLOOKUP($B383,Letters!$C$81:$D$104,2,FALSE) &amp; VLOOKUP($C383,Letters!$C$81:$D$104,2,FALSE)</f>
        <v>TP</v>
      </c>
      <c r="E383" s="61" t="s">
        <v>3442</v>
      </c>
      <c r="F383" s="5" t="s">
        <v>3443</v>
      </c>
      <c r="G383" s="55">
        <f t="shared" si="37"/>
        <v>8</v>
      </c>
      <c r="H383" s="55">
        <f t="shared" si="38"/>
        <v>8</v>
      </c>
    </row>
    <row r="384" ht="13.5">
      <c r="A384" s="54"/>
      <c r="B384" s="5" t="s">
        <v>125</v>
      </c>
      <c r="C384" s="5" t="s">
        <v>126</v>
      </c>
      <c r="D384" s="55" t="str">
        <f>VLOOKUP($B384,Letters!$C$81:$D$104,2,FALSE) &amp; VLOOKUP($C384,Letters!$C$81:$D$104,2,FALSE)</f>
        <v>TU</v>
      </c>
      <c r="E384" s="61" t="s">
        <v>3444</v>
      </c>
      <c r="F384" s="5" t="s">
        <v>3445</v>
      </c>
      <c r="G384" s="55">
        <f t="shared" si="37"/>
        <v>8</v>
      </c>
      <c r="H384" s="55">
        <f t="shared" si="38"/>
        <v>10</v>
      </c>
    </row>
    <row r="385" ht="13.5">
      <c r="A385" s="54"/>
      <c r="B385" s="5" t="s">
        <v>125</v>
      </c>
      <c r="C385" s="5" t="s">
        <v>127</v>
      </c>
      <c r="D385" s="55" t="str">
        <f>VLOOKUP($B385,Letters!$C$81:$D$104,2,FALSE) &amp; VLOOKUP($C385,Letters!$C$81:$D$104,2,FALSE)</f>
        <v>TV</v>
      </c>
      <c r="E385" s="61" t="s">
        <v>3446</v>
      </c>
      <c r="F385" s="5" t="s">
        <v>3447</v>
      </c>
      <c r="G385" s="55">
        <f t="shared" si="37"/>
        <v>10</v>
      </c>
      <c r="H385" s="55">
        <f t="shared" si="38"/>
        <v>12</v>
      </c>
    </row>
    <row r="386" ht="13.5">
      <c r="A386" s="60"/>
      <c r="B386" s="5" t="s">
        <v>125</v>
      </c>
      <c r="C386" s="5" t="s">
        <v>128</v>
      </c>
      <c r="D386" s="55" t="str">
        <f>VLOOKUP($B386,Letters!$C$81:$D$104,2,FALSE) &amp; VLOOKUP($C386,Letters!$C$81:$D$104,2,FALSE)</f>
        <v>TW</v>
      </c>
      <c r="E386" s="61" t="s">
        <v>3448</v>
      </c>
      <c r="F386" s="5" t="s">
        <v>3449</v>
      </c>
      <c r="G386" s="55">
        <f t="shared" si="37"/>
        <v>10</v>
      </c>
      <c r="H386" s="55">
        <f t="shared" si="38"/>
        <v>14</v>
      </c>
    </row>
    <row r="387" ht="13.5">
      <c r="A387" s="54"/>
      <c r="B387" s="5" t="s">
        <v>125</v>
      </c>
      <c r="C387" s="5" t="s">
        <v>129</v>
      </c>
      <c r="D387" s="55" t="str">
        <f>VLOOKUP($B387,Letters!$C$81:$D$104,2,FALSE) &amp; VLOOKUP($C387,Letters!$C$81:$D$104,2,FALSE)</f>
        <v>TX</v>
      </c>
      <c r="E387" s="61" t="s">
        <v>3450</v>
      </c>
      <c r="F387" s="5" t="s">
        <v>3451</v>
      </c>
      <c r="G387" s="55">
        <f t="shared" si="37"/>
        <v>10</v>
      </c>
      <c r="H387" s="55">
        <f t="shared" si="38"/>
        <v>12</v>
      </c>
    </row>
    <row r="388">
      <c r="A388" s="54"/>
      <c r="B388" s="5"/>
      <c r="C388" s="5"/>
      <c r="D388" s="55"/>
      <c r="E388" s="5"/>
      <c r="F388" s="5"/>
      <c r="G388" s="55"/>
      <c r="H388" s="55"/>
    </row>
    <row r="389" ht="13.5">
      <c r="A389" s="54"/>
      <c r="B389" s="5" t="s">
        <v>126</v>
      </c>
      <c r="C389" s="5" t="s">
        <v>107</v>
      </c>
      <c r="D389" s="55" t="str">
        <f>VLOOKUP($B389,Letters!$C$81:$D$104,2,FALSE) &amp; VLOOKUP($C389,Letters!$C$81:$D$104,2,FALSE)</f>
        <v>UB</v>
      </c>
      <c r="E389" s="61" t="s">
        <v>3452</v>
      </c>
      <c r="F389" s="5" t="s">
        <v>3453</v>
      </c>
      <c r="G389" s="55">
        <f t="shared" ref="G389:G407" si="39">(len($F389)-len(SUBSTITUTE($F389,"R","")))+(len($F389)-len(SUBSTITUTE($F389,"L","")))+(len($F389)-len(SUBSTITUTE($F389,"U","")))+(len($F389)-len(SUBSTITUTE($F389,"D","")))+(len($F389)-len(SUBSTITUTE($F389,"F","")))+(len($F389)-len(SUBSTITUTE($F389,"B","")))+(len($F389)-len(SUBSTITUTE($F389,"r","")))+(len($F389)-len(SUBSTITUTE($F389,"l","")))+(len($F389)-len(SUBSTITUTE($F389,"u","")))+(len($F389)-len(SUBSTITUTE($F389,"d","")))</f>
        <v>10</v>
      </c>
      <c r="H389" s="55">
        <f t="shared" ref="H389:H407" si="40">(len($F389)-len(SUBSTITUTE($F389,"R","")))+(len($F389)-len(SUBSTITUTE($F389,"L","")))+(len($F389)-len(SUBSTITUTE($F389,"U","")))+(len($F389)-len(SUBSTITUTE($F389,"D","")))+(len($F389)-len(SUBSTITUTE($F389,"F","")))+(len($F389)-len(SUBSTITUTE($F389,"B","")))+(len($F389)-len(SUBSTITUTE($F389,"r","")))+(len($F389)-len(SUBSTITUTE($F389,"l","")))+(len($F389)-len(SUBSTITUTE($F389,"u","")))+(len($F389)-len(SUBSTITUTE($F389,"d","")))+(len($F389)-len(SUBSTITUTE($F389,"2","")))</f>
        <v>12</v>
      </c>
    </row>
    <row r="390" ht="13.5">
      <c r="A390" s="54"/>
      <c r="B390" s="5" t="s">
        <v>126</v>
      </c>
      <c r="C390" s="5" t="s">
        <v>108</v>
      </c>
      <c r="D390" s="55" t="str">
        <f>VLOOKUP($B390,Letters!$C$81:$D$104,2,FALSE) &amp; VLOOKUP($C390,Letters!$C$81:$D$104,2,FALSE)</f>
        <v>UC</v>
      </c>
      <c r="E390" s="61" t="s">
        <v>3457</v>
      </c>
      <c r="F390" s="5" t="s">
        <v>3458</v>
      </c>
      <c r="G390" s="55">
        <f t="shared" si="39"/>
        <v>13</v>
      </c>
      <c r="H390" s="55">
        <f t="shared" si="40"/>
        <v>16</v>
      </c>
    </row>
    <row r="391" ht="13.5">
      <c r="A391" s="54"/>
      <c r="B391" s="5" t="s">
        <v>126</v>
      </c>
      <c r="C391" s="5" t="s">
        <v>109</v>
      </c>
      <c r="D391" s="55" t="str">
        <f>VLOOKUP($B391,Letters!$C$81:$D$104,2,FALSE) &amp; VLOOKUP($C391,Letters!$C$81:$D$104,2,FALSE)</f>
        <v>UD</v>
      </c>
      <c r="E391" s="61" t="s">
        <v>3460</v>
      </c>
      <c r="F391" s="67" t="s">
        <v>3461</v>
      </c>
      <c r="G391" s="55">
        <f t="shared" si="39"/>
        <v>12</v>
      </c>
      <c r="H391" s="55">
        <f t="shared" si="40"/>
        <v>14</v>
      </c>
    </row>
    <row r="392" ht="13.5">
      <c r="A392" s="54"/>
      <c r="B392" s="5" t="s">
        <v>126</v>
      </c>
      <c r="C392" s="5" t="s">
        <v>110</v>
      </c>
      <c r="D392" s="55" t="str">
        <f>VLOOKUP($B392,Letters!$C$81:$D$104,2,FALSE) &amp; VLOOKUP($C392,Letters!$C$81:$D$104,2,FALSE)</f>
        <v>UE</v>
      </c>
      <c r="E392" s="61" t="s">
        <v>3464</v>
      </c>
      <c r="F392" s="5" t="s">
        <v>3465</v>
      </c>
      <c r="G392" s="55">
        <f t="shared" si="39"/>
        <v>11</v>
      </c>
      <c r="H392" s="55">
        <f t="shared" si="40"/>
        <v>12</v>
      </c>
    </row>
    <row r="393" ht="13.5">
      <c r="A393" s="54"/>
      <c r="B393" s="5" t="s">
        <v>126</v>
      </c>
      <c r="C393" s="5" t="s">
        <v>111</v>
      </c>
      <c r="D393" s="55" t="str">
        <f>VLOOKUP($B393,Letters!$C$81:$D$104,2,FALSE) &amp; VLOOKUP($C393,Letters!$C$81:$D$104,2,FALSE)</f>
        <v>UF</v>
      </c>
      <c r="E393" s="61" t="s">
        <v>3466</v>
      </c>
      <c r="F393" s="5" t="s">
        <v>3467</v>
      </c>
      <c r="G393" s="55">
        <f t="shared" si="39"/>
        <v>11</v>
      </c>
      <c r="H393" s="55">
        <f t="shared" si="40"/>
        <v>12</v>
      </c>
    </row>
    <row r="394" ht="13.5">
      <c r="A394" s="54"/>
      <c r="B394" s="5" t="s">
        <v>126</v>
      </c>
      <c r="C394" s="5" t="s">
        <v>112</v>
      </c>
      <c r="D394" s="55" t="str">
        <f>VLOOKUP($B394,Letters!$C$81:$D$104,2,FALSE) &amp; VLOOKUP($C394,Letters!$C$81:$D$104,2,FALSE)</f>
        <v>UG</v>
      </c>
      <c r="E394" s="61" t="s">
        <v>3468</v>
      </c>
      <c r="F394" s="5" t="s">
        <v>3469</v>
      </c>
      <c r="G394" s="55">
        <f t="shared" si="39"/>
        <v>11</v>
      </c>
      <c r="H394" s="55">
        <f t="shared" si="40"/>
        <v>16</v>
      </c>
    </row>
    <row r="395" ht="13.5">
      <c r="A395" s="54"/>
      <c r="B395" s="5" t="s">
        <v>126</v>
      </c>
      <c r="C395" s="5" t="s">
        <v>113</v>
      </c>
      <c r="D395" s="55" t="str">
        <f>VLOOKUP($B395,Letters!$C$81:$D$104,2,FALSE) &amp; VLOOKUP($C395,Letters!$C$81:$D$104,2,FALSE)</f>
        <v>UH</v>
      </c>
      <c r="E395" s="61" t="s">
        <v>3472</v>
      </c>
      <c r="F395" s="5" t="s">
        <v>3473</v>
      </c>
      <c r="G395" s="55">
        <f t="shared" si="39"/>
        <v>11</v>
      </c>
      <c r="H395" s="55">
        <f t="shared" si="40"/>
        <v>12</v>
      </c>
    </row>
    <row r="396" ht="13.5">
      <c r="A396" s="60"/>
      <c r="B396" s="5" t="s">
        <v>126</v>
      </c>
      <c r="C396" s="5" t="s">
        <v>114</v>
      </c>
      <c r="D396" s="55" t="str">
        <f>VLOOKUP($B396,Letters!$C$81:$D$104,2,FALSE) &amp; VLOOKUP($C396,Letters!$C$81:$D$104,2,FALSE)</f>
        <v>UI</v>
      </c>
      <c r="E396" s="61" t="s">
        <v>3476</v>
      </c>
      <c r="F396" s="5" t="s">
        <v>3477</v>
      </c>
      <c r="G396" s="55">
        <f t="shared" si="39"/>
        <v>10</v>
      </c>
      <c r="H396" s="55">
        <f t="shared" si="40"/>
        <v>12</v>
      </c>
    </row>
    <row r="397" ht="13.5">
      <c r="A397" s="54"/>
      <c r="B397" s="5" t="s">
        <v>126</v>
      </c>
      <c r="C397" s="5" t="s">
        <v>115</v>
      </c>
      <c r="D397" s="55" t="str">
        <f>VLOOKUP($B397,Letters!$C$81:$D$104,2,FALSE) &amp; VLOOKUP($C397,Letters!$C$81:$D$104,2,FALSE)</f>
        <v>UJ</v>
      </c>
      <c r="E397" s="61" t="s">
        <v>3480</v>
      </c>
      <c r="F397" s="5" t="s">
        <v>3481</v>
      </c>
      <c r="G397" s="55">
        <f t="shared" si="39"/>
        <v>8</v>
      </c>
      <c r="H397" s="55">
        <f t="shared" si="40"/>
        <v>10</v>
      </c>
    </row>
    <row r="398" ht="13.5">
      <c r="A398" s="54"/>
      <c r="B398" s="5" t="s">
        <v>126</v>
      </c>
      <c r="C398" s="5" t="s">
        <v>116</v>
      </c>
      <c r="D398" s="55" t="str">
        <f>VLOOKUP($B398,Letters!$C$81:$D$104,2,FALSE) &amp; VLOOKUP($C398,Letters!$C$81:$D$104,2,FALSE)</f>
        <v>UK</v>
      </c>
      <c r="E398" s="61" t="s">
        <v>3482</v>
      </c>
      <c r="F398" s="5" t="s">
        <v>3483</v>
      </c>
      <c r="G398" s="55">
        <f t="shared" si="39"/>
        <v>10</v>
      </c>
      <c r="H398" s="55">
        <f t="shared" si="40"/>
        <v>12</v>
      </c>
    </row>
    <row r="399" ht="13.5">
      <c r="A399" s="54"/>
      <c r="B399" s="5" t="s">
        <v>126</v>
      </c>
      <c r="C399" s="5" t="s">
        <v>117</v>
      </c>
      <c r="D399" s="55" t="str">
        <f>VLOOKUP($B399,Letters!$C$81:$D$104,2,FALSE) &amp; VLOOKUP($C399,Letters!$C$81:$D$104,2,FALSE)</f>
        <v>UL</v>
      </c>
      <c r="E399" s="61" t="s">
        <v>3484</v>
      </c>
      <c r="F399" s="5" t="s">
        <v>3485</v>
      </c>
      <c r="G399" s="55">
        <f t="shared" si="39"/>
        <v>10</v>
      </c>
      <c r="H399" s="55">
        <f t="shared" si="40"/>
        <v>14</v>
      </c>
    </row>
    <row r="400" ht="13.5">
      <c r="A400" s="54"/>
      <c r="B400" s="5" t="s">
        <v>126</v>
      </c>
      <c r="C400" s="5" t="s">
        <v>118</v>
      </c>
      <c r="D400" s="55" t="str">
        <f>VLOOKUP($B400,Letters!$C$81:$D$104,2,FALSE) &amp; VLOOKUP($C400,Letters!$C$81:$D$104,2,FALSE)</f>
        <v>UM</v>
      </c>
      <c r="E400" s="61" t="s">
        <v>3486</v>
      </c>
      <c r="F400" s="5" t="s">
        <v>3487</v>
      </c>
      <c r="G400" s="55">
        <f t="shared" si="39"/>
        <v>10</v>
      </c>
      <c r="H400" s="55">
        <f t="shared" si="40"/>
        <v>12</v>
      </c>
    </row>
    <row r="401" ht="13.5">
      <c r="A401" s="54"/>
      <c r="B401" s="5" t="s">
        <v>126</v>
      </c>
      <c r="C401" s="5" t="s">
        <v>119</v>
      </c>
      <c r="D401" s="55" t="str">
        <f>VLOOKUP($B401,Letters!$C$81:$D$104,2,FALSE) &amp; VLOOKUP($C401,Letters!$C$81:$D$104,2,FALSE)</f>
        <v>UN</v>
      </c>
      <c r="E401" s="61" t="s">
        <v>3488</v>
      </c>
      <c r="F401" s="5" t="s">
        <v>3489</v>
      </c>
      <c r="G401" s="55">
        <f t="shared" si="39"/>
        <v>8</v>
      </c>
      <c r="H401" s="55">
        <f t="shared" si="40"/>
        <v>10</v>
      </c>
    </row>
    <row r="402" ht="13.5">
      <c r="A402" s="54"/>
      <c r="B402" s="5" t="s">
        <v>126</v>
      </c>
      <c r="C402" s="5" t="s">
        <v>120</v>
      </c>
      <c r="D402" s="55" t="str">
        <f>VLOOKUP($B402,Letters!$C$81:$D$104,2,FALSE) &amp; VLOOKUP($C402,Letters!$C$81:$D$104,2,FALSE)</f>
        <v>UO</v>
      </c>
      <c r="E402" s="61" t="s">
        <v>3490</v>
      </c>
      <c r="F402" s="5" t="s">
        <v>3491</v>
      </c>
      <c r="G402" s="55">
        <f t="shared" si="39"/>
        <v>10</v>
      </c>
      <c r="H402" s="55">
        <f t="shared" si="40"/>
        <v>12</v>
      </c>
    </row>
    <row r="403" ht="13.5">
      <c r="A403" s="54"/>
      <c r="B403" s="5" t="s">
        <v>126</v>
      </c>
      <c r="C403" s="5" t="s">
        <v>121</v>
      </c>
      <c r="D403" s="55" t="str">
        <f>VLOOKUP($B403,Letters!$C$81:$D$104,2,FALSE) &amp; VLOOKUP($C403,Letters!$C$81:$D$104,2,FALSE)</f>
        <v>UP</v>
      </c>
      <c r="E403" s="61" t="s">
        <v>3492</v>
      </c>
      <c r="F403" s="5" t="s">
        <v>3493</v>
      </c>
      <c r="G403" s="55">
        <f t="shared" si="39"/>
        <v>9</v>
      </c>
      <c r="H403" s="55">
        <f t="shared" si="40"/>
        <v>13</v>
      </c>
    </row>
    <row r="404" ht="13.5">
      <c r="A404" s="54"/>
      <c r="B404" s="5" t="s">
        <v>126</v>
      </c>
      <c r="C404" s="5" t="s">
        <v>122</v>
      </c>
      <c r="D404" s="55" t="str">
        <f>VLOOKUP($B404,Letters!$C$81:$D$104,2,FALSE) &amp; VLOOKUP($C404,Letters!$C$81:$D$104,2,FALSE)</f>
        <v>UA</v>
      </c>
      <c r="E404" s="61" t="s">
        <v>3494</v>
      </c>
      <c r="F404" s="5" t="s">
        <v>3495</v>
      </c>
      <c r="G404" s="55">
        <f t="shared" si="39"/>
        <v>11</v>
      </c>
      <c r="H404" s="55">
        <f t="shared" si="40"/>
        <v>14</v>
      </c>
    </row>
    <row r="405" ht="13.5">
      <c r="A405" s="54"/>
      <c r="B405" s="5" t="s">
        <v>126</v>
      </c>
      <c r="C405" s="5" t="s">
        <v>123</v>
      </c>
      <c r="D405" s="55" t="str">
        <f>VLOOKUP($B405,Letters!$C$81:$D$104,2,FALSE) &amp; VLOOKUP($C405,Letters!$C$81:$D$104,2,FALSE)</f>
        <v>UR</v>
      </c>
      <c r="E405" s="61" t="s">
        <v>3496</v>
      </c>
      <c r="F405" s="5" t="s">
        <v>3497</v>
      </c>
      <c r="G405" s="55">
        <f t="shared" si="39"/>
        <v>11</v>
      </c>
      <c r="H405" s="55">
        <f t="shared" si="40"/>
        <v>14</v>
      </c>
    </row>
    <row r="406" ht="13.5">
      <c r="A406" s="54"/>
      <c r="B406" s="5" t="s">
        <v>126</v>
      </c>
      <c r="C406" s="5" t="s">
        <v>124</v>
      </c>
      <c r="D406" s="55" t="str">
        <f>VLOOKUP($B406,Letters!$C$81:$D$104,2,FALSE) &amp; VLOOKUP($C406,Letters!$C$81:$D$104,2,FALSE)</f>
        <v>US</v>
      </c>
      <c r="E406" s="61" t="s">
        <v>3500</v>
      </c>
      <c r="F406" s="5" t="s">
        <v>3501</v>
      </c>
      <c r="G406" s="55">
        <f t="shared" si="39"/>
        <v>10</v>
      </c>
      <c r="H406" s="55">
        <f t="shared" si="40"/>
        <v>12</v>
      </c>
    </row>
    <row r="407" ht="13.5">
      <c r="A407" s="54"/>
      <c r="B407" s="5" t="s">
        <v>126</v>
      </c>
      <c r="C407" s="5" t="s">
        <v>125</v>
      </c>
      <c r="D407" s="55" t="str">
        <f>VLOOKUP($B407,Letters!$C$81:$D$104,2,FALSE) &amp; VLOOKUP($C407,Letters!$C$81:$D$104,2,FALSE)</f>
        <v>UT</v>
      </c>
      <c r="E407" s="61" t="s">
        <v>3503</v>
      </c>
      <c r="F407" s="5" t="s">
        <v>3504</v>
      </c>
      <c r="G407" s="55">
        <f t="shared" si="39"/>
        <v>8</v>
      </c>
      <c r="H407" s="55">
        <f t="shared" si="40"/>
        <v>10</v>
      </c>
    </row>
    <row r="408">
      <c r="A408" s="54"/>
      <c r="B408" s="5"/>
      <c r="C408" s="5"/>
      <c r="D408" s="55"/>
      <c r="E408" s="5"/>
      <c r="F408" s="5"/>
      <c r="G408" s="55"/>
      <c r="H408" s="55"/>
    </row>
    <row r="409" ht="13.5">
      <c r="A409" s="54"/>
      <c r="B409" s="5" t="s">
        <v>127</v>
      </c>
      <c r="C409" s="5" t="s">
        <v>107</v>
      </c>
      <c r="D409" s="55" t="str">
        <f>VLOOKUP($B409,Letters!$C$81:$D$104,2,FALSE) &amp; VLOOKUP($C409,Letters!$C$81:$D$104,2,FALSE)</f>
        <v>VB</v>
      </c>
      <c r="E409" s="61" t="s">
        <v>3507</v>
      </c>
      <c r="F409" s="5" t="s">
        <v>3508</v>
      </c>
      <c r="G409" s="55">
        <f t="shared" ref="G409:G427" si="41">(len($F409)-len(SUBSTITUTE($F409,"R","")))+(len($F409)-len(SUBSTITUTE($F409,"L","")))+(len($F409)-len(SUBSTITUTE($F409,"U","")))+(len($F409)-len(SUBSTITUTE($F409,"D","")))+(len($F409)-len(SUBSTITUTE($F409,"F","")))+(len($F409)-len(SUBSTITUTE($F409,"B","")))+(len($F409)-len(SUBSTITUTE($F409,"r","")))+(len($F409)-len(SUBSTITUTE($F409,"l","")))+(len($F409)-len(SUBSTITUTE($F409,"u","")))+(len($F409)-len(SUBSTITUTE($F409,"d","")))</f>
        <v>10</v>
      </c>
      <c r="H409" s="55">
        <f t="shared" ref="H409:H427" si="42">(len($F409)-len(SUBSTITUTE($F409,"R","")))+(len($F409)-len(SUBSTITUTE($F409,"L","")))+(len($F409)-len(SUBSTITUTE($F409,"U","")))+(len($F409)-len(SUBSTITUTE($F409,"D","")))+(len($F409)-len(SUBSTITUTE($F409,"F","")))+(len($F409)-len(SUBSTITUTE($F409,"B","")))+(len($F409)-len(SUBSTITUTE($F409,"r","")))+(len($F409)-len(SUBSTITUTE($F409,"l","")))+(len($F409)-len(SUBSTITUTE($F409,"u","")))+(len($F409)-len(SUBSTITUTE($F409,"d","")))+(len($F409)-len(SUBSTITUTE($F409,"2","")))</f>
        <v>12</v>
      </c>
    </row>
    <row r="410" ht="13.5">
      <c r="A410" s="54"/>
      <c r="B410" s="5" t="s">
        <v>127</v>
      </c>
      <c r="C410" s="5" t="s">
        <v>108</v>
      </c>
      <c r="D410" s="55" t="str">
        <f>VLOOKUP($B410,Letters!$C$81:$D$104,2,FALSE) &amp; VLOOKUP($C410,Letters!$C$81:$D$104,2,FALSE)</f>
        <v>VC</v>
      </c>
      <c r="E410" s="61" t="s">
        <v>3513</v>
      </c>
      <c r="F410" s="5" t="s">
        <v>3514</v>
      </c>
      <c r="G410" s="55">
        <f t="shared" si="41"/>
        <v>11</v>
      </c>
      <c r="H410" s="55">
        <f t="shared" si="42"/>
        <v>14</v>
      </c>
    </row>
    <row r="411" ht="13.5">
      <c r="A411" s="54"/>
      <c r="B411" s="5" t="s">
        <v>127</v>
      </c>
      <c r="C411" s="5" t="s">
        <v>109</v>
      </c>
      <c r="D411" s="55" t="str">
        <f>VLOOKUP($B411,Letters!$C$81:$D$104,2,FALSE) &amp; VLOOKUP($C411,Letters!$C$81:$D$104,2,FALSE)</f>
        <v>VD</v>
      </c>
      <c r="E411" s="61" t="s">
        <v>3519</v>
      </c>
      <c r="F411" s="5" t="s">
        <v>3520</v>
      </c>
      <c r="G411" s="55">
        <f t="shared" si="41"/>
        <v>12</v>
      </c>
      <c r="H411" s="55">
        <f t="shared" si="42"/>
        <v>14</v>
      </c>
    </row>
    <row r="412" ht="13.5">
      <c r="A412" s="54"/>
      <c r="B412" s="5" t="s">
        <v>127</v>
      </c>
      <c r="C412" s="5" t="s">
        <v>110</v>
      </c>
      <c r="D412" s="55" t="str">
        <f>VLOOKUP($B412,Letters!$C$81:$D$104,2,FALSE) &amp; VLOOKUP($C412,Letters!$C$81:$D$104,2,FALSE)</f>
        <v>VE</v>
      </c>
      <c r="E412" s="61" t="s">
        <v>3521</v>
      </c>
      <c r="F412" s="5" t="s">
        <v>3522</v>
      </c>
      <c r="G412" s="55">
        <f t="shared" si="41"/>
        <v>10</v>
      </c>
      <c r="H412" s="55">
        <f t="shared" si="42"/>
        <v>12</v>
      </c>
    </row>
    <row r="413" ht="13.5">
      <c r="A413" s="54"/>
      <c r="B413" s="5" t="s">
        <v>127</v>
      </c>
      <c r="C413" s="5" t="s">
        <v>111</v>
      </c>
      <c r="D413" s="55" t="str">
        <f>VLOOKUP($B413,Letters!$C$81:$D$104,2,FALSE) &amp; VLOOKUP($C413,Letters!$C$81:$D$104,2,FALSE)</f>
        <v>VF</v>
      </c>
      <c r="E413" s="61" t="s">
        <v>3523</v>
      </c>
      <c r="F413" s="5" t="s">
        <v>3524</v>
      </c>
      <c r="G413" s="55">
        <f t="shared" si="41"/>
        <v>9</v>
      </c>
      <c r="H413" s="55">
        <f t="shared" si="42"/>
        <v>10</v>
      </c>
    </row>
    <row r="414" ht="13.5">
      <c r="A414" s="54"/>
      <c r="B414" s="5" t="s">
        <v>127</v>
      </c>
      <c r="C414" s="5" t="s">
        <v>112</v>
      </c>
      <c r="D414" s="55" t="str">
        <f>VLOOKUP($B414,Letters!$C$81:$D$104,2,FALSE) &amp; VLOOKUP($C414,Letters!$C$81:$D$104,2,FALSE)</f>
        <v>VG</v>
      </c>
      <c r="E414" s="61" t="s">
        <v>3525</v>
      </c>
      <c r="F414" s="5" t="s">
        <v>3526</v>
      </c>
      <c r="G414" s="55">
        <f t="shared" si="41"/>
        <v>11</v>
      </c>
      <c r="H414" s="55">
        <f t="shared" si="42"/>
        <v>14</v>
      </c>
    </row>
    <row r="415" ht="13.5">
      <c r="A415" s="54"/>
      <c r="B415" s="5" t="s">
        <v>127</v>
      </c>
      <c r="C415" s="5" t="s">
        <v>113</v>
      </c>
      <c r="D415" s="55" t="str">
        <f>VLOOKUP($B415,Letters!$C$81:$D$104,2,FALSE) &amp; VLOOKUP($C415,Letters!$C$81:$D$104,2,FALSE)</f>
        <v>VH</v>
      </c>
      <c r="E415" s="61" t="s">
        <v>3527</v>
      </c>
      <c r="F415" s="5" t="s">
        <v>3528</v>
      </c>
      <c r="G415" s="55">
        <f t="shared" si="41"/>
        <v>9</v>
      </c>
      <c r="H415" s="55">
        <f t="shared" si="42"/>
        <v>10</v>
      </c>
    </row>
    <row r="416" ht="13.5">
      <c r="A416" s="54"/>
      <c r="B416" s="5" t="s">
        <v>127</v>
      </c>
      <c r="C416" s="5" t="s">
        <v>114</v>
      </c>
      <c r="D416" s="55" t="str">
        <f>VLOOKUP($B416,Letters!$C$81:$D$104,2,FALSE) &amp; VLOOKUP($C416,Letters!$C$81:$D$104,2,FALSE)</f>
        <v>VI</v>
      </c>
      <c r="E416" s="61" t="s">
        <v>3529</v>
      </c>
      <c r="F416" s="5" t="s">
        <v>3530</v>
      </c>
      <c r="G416" s="55">
        <f t="shared" si="41"/>
        <v>8</v>
      </c>
      <c r="H416" s="55">
        <f t="shared" si="42"/>
        <v>10</v>
      </c>
    </row>
    <row r="417" ht="13.5">
      <c r="A417" s="54"/>
      <c r="B417" s="5" t="s">
        <v>127</v>
      </c>
      <c r="C417" s="5" t="s">
        <v>115</v>
      </c>
      <c r="D417" s="55" t="str">
        <f>VLOOKUP($B417,Letters!$C$81:$D$104,2,FALSE) &amp; VLOOKUP($C417,Letters!$C$81:$D$104,2,FALSE)</f>
        <v>VJ</v>
      </c>
      <c r="E417" s="61" t="s">
        <v>3531</v>
      </c>
      <c r="F417" s="5" t="s">
        <v>3532</v>
      </c>
      <c r="G417" s="55">
        <f t="shared" si="41"/>
        <v>10</v>
      </c>
      <c r="H417" s="55">
        <f t="shared" si="42"/>
        <v>12</v>
      </c>
    </row>
    <row r="418" ht="13.5">
      <c r="A418" s="54"/>
      <c r="B418" s="5" t="s">
        <v>127</v>
      </c>
      <c r="C418" s="5" t="s">
        <v>116</v>
      </c>
      <c r="D418" s="55" t="str">
        <f>VLOOKUP($B418,Letters!$C$81:$D$104,2,FALSE) &amp; VLOOKUP($C418,Letters!$C$81:$D$104,2,FALSE)</f>
        <v>VK</v>
      </c>
      <c r="E418" s="61" t="s">
        <v>3533</v>
      </c>
      <c r="F418" s="5" t="s">
        <v>3534</v>
      </c>
      <c r="G418" s="55">
        <f t="shared" si="41"/>
        <v>10</v>
      </c>
      <c r="H418" s="55">
        <f t="shared" si="42"/>
        <v>14</v>
      </c>
    </row>
    <row r="419" ht="13.5">
      <c r="A419" s="54"/>
      <c r="B419" s="5" t="s">
        <v>127</v>
      </c>
      <c r="C419" s="5" t="s">
        <v>117</v>
      </c>
      <c r="D419" s="55" t="str">
        <f>VLOOKUP($B419,Letters!$C$81:$D$104,2,FALSE) &amp; VLOOKUP($C419,Letters!$C$81:$D$104,2,FALSE)</f>
        <v>VL</v>
      </c>
      <c r="E419" s="61" t="s">
        <v>3535</v>
      </c>
      <c r="F419" s="5" t="s">
        <v>3536</v>
      </c>
      <c r="G419" s="55">
        <f t="shared" si="41"/>
        <v>10</v>
      </c>
      <c r="H419" s="55">
        <f t="shared" si="42"/>
        <v>12</v>
      </c>
    </row>
    <row r="420" ht="13.5">
      <c r="A420" s="54"/>
      <c r="B420" s="5" t="s">
        <v>127</v>
      </c>
      <c r="C420" s="5" t="s">
        <v>118</v>
      </c>
      <c r="D420" s="55" t="str">
        <f>VLOOKUP($B420,Letters!$C$81:$D$104,2,FALSE) &amp; VLOOKUP($C420,Letters!$C$81:$D$104,2,FALSE)</f>
        <v>VM</v>
      </c>
      <c r="E420" s="61" t="s">
        <v>3537</v>
      </c>
      <c r="F420" s="5" t="s">
        <v>3538</v>
      </c>
      <c r="G420" s="55">
        <f t="shared" si="41"/>
        <v>10</v>
      </c>
      <c r="H420" s="55">
        <f t="shared" si="42"/>
        <v>12</v>
      </c>
    </row>
    <row r="421" ht="13.5">
      <c r="A421" s="54"/>
      <c r="B421" s="5" t="s">
        <v>127</v>
      </c>
      <c r="C421" s="5" t="s">
        <v>119</v>
      </c>
      <c r="D421" s="55" t="str">
        <f>VLOOKUP($B421,Letters!$C$81:$D$104,2,FALSE) &amp; VLOOKUP($C421,Letters!$C$81:$D$104,2,FALSE)</f>
        <v>VN</v>
      </c>
      <c r="E421" s="61" t="s">
        <v>3539</v>
      </c>
      <c r="F421" s="5" t="s">
        <v>3540</v>
      </c>
      <c r="G421" s="55">
        <f t="shared" si="41"/>
        <v>9</v>
      </c>
      <c r="H421" s="55">
        <f t="shared" si="42"/>
        <v>12</v>
      </c>
    </row>
    <row r="422" ht="13.5">
      <c r="A422" s="54"/>
      <c r="B422" s="5" t="s">
        <v>127</v>
      </c>
      <c r="C422" s="5" t="s">
        <v>120</v>
      </c>
      <c r="D422" s="55" t="str">
        <f>VLOOKUP($B422,Letters!$C$81:$D$104,2,FALSE) &amp; VLOOKUP($C422,Letters!$C$81:$D$104,2,FALSE)</f>
        <v>VO</v>
      </c>
      <c r="E422" s="61" t="s">
        <v>3541</v>
      </c>
      <c r="F422" s="5" t="s">
        <v>3542</v>
      </c>
      <c r="G422" s="55">
        <f t="shared" si="41"/>
        <v>11</v>
      </c>
      <c r="H422" s="55">
        <f t="shared" si="42"/>
        <v>14</v>
      </c>
    </row>
    <row r="423" ht="13.5">
      <c r="A423" s="54"/>
      <c r="B423" s="5" t="s">
        <v>127</v>
      </c>
      <c r="C423" s="5" t="s">
        <v>121</v>
      </c>
      <c r="D423" s="55" t="str">
        <f>VLOOKUP($B423,Letters!$C$81:$D$104,2,FALSE) &amp; VLOOKUP($C423,Letters!$C$81:$D$104,2,FALSE)</f>
        <v>VP</v>
      </c>
      <c r="E423" s="61" t="s">
        <v>3544</v>
      </c>
      <c r="F423" s="5" t="s">
        <v>3545</v>
      </c>
      <c r="G423" s="55">
        <f t="shared" si="41"/>
        <v>9</v>
      </c>
      <c r="H423" s="55">
        <f t="shared" si="42"/>
        <v>10</v>
      </c>
    </row>
    <row r="424" ht="13.5">
      <c r="A424" s="54"/>
      <c r="B424" s="5" t="s">
        <v>127</v>
      </c>
      <c r="C424" s="5" t="s">
        <v>122</v>
      </c>
      <c r="D424" s="55" t="str">
        <f>VLOOKUP($B424,Letters!$C$81:$D$104,2,FALSE) &amp; VLOOKUP($C424,Letters!$C$81:$D$104,2,FALSE)</f>
        <v>VA</v>
      </c>
      <c r="E424" s="61" t="s">
        <v>3546</v>
      </c>
      <c r="F424" s="5" t="s">
        <v>3547</v>
      </c>
      <c r="G424" s="55">
        <f t="shared" si="41"/>
        <v>9</v>
      </c>
      <c r="H424" s="55">
        <f t="shared" si="42"/>
        <v>10</v>
      </c>
    </row>
    <row r="425" ht="13.5">
      <c r="A425" s="54"/>
      <c r="B425" s="5" t="s">
        <v>127</v>
      </c>
      <c r="C425" s="5" t="s">
        <v>123</v>
      </c>
      <c r="D425" s="55" t="str">
        <f>VLOOKUP($B425,Letters!$C$81:$D$104,2,FALSE) &amp; VLOOKUP($C425,Letters!$C$81:$D$104,2,FALSE)</f>
        <v>VR</v>
      </c>
      <c r="E425" s="61" t="s">
        <v>3548</v>
      </c>
      <c r="F425" s="67" t="s">
        <v>3549</v>
      </c>
      <c r="G425" s="55">
        <f t="shared" si="41"/>
        <v>9</v>
      </c>
      <c r="H425" s="55">
        <f t="shared" si="42"/>
        <v>12</v>
      </c>
    </row>
    <row r="426" ht="13.5">
      <c r="A426" s="54"/>
      <c r="B426" s="5" t="s">
        <v>127</v>
      </c>
      <c r="C426" s="5" t="s">
        <v>124</v>
      </c>
      <c r="D426" s="55" t="str">
        <f>VLOOKUP($B426,Letters!$C$81:$D$104,2,FALSE) &amp; VLOOKUP($C426,Letters!$C$81:$D$104,2,FALSE)</f>
        <v>VS</v>
      </c>
      <c r="E426" s="61" t="s">
        <v>3552</v>
      </c>
      <c r="F426" s="5" t="s">
        <v>3553</v>
      </c>
      <c r="G426" s="55">
        <f t="shared" si="41"/>
        <v>8</v>
      </c>
      <c r="H426" s="55">
        <f t="shared" si="42"/>
        <v>10</v>
      </c>
    </row>
    <row r="427" ht="13.5">
      <c r="A427" s="54"/>
      <c r="B427" s="5" t="s">
        <v>127</v>
      </c>
      <c r="C427" s="5" t="s">
        <v>125</v>
      </c>
      <c r="D427" s="55" t="str">
        <f>VLOOKUP($B427,Letters!$C$81:$D$104,2,FALSE) &amp; VLOOKUP($C427,Letters!$C$81:$D$104,2,FALSE)</f>
        <v>VT</v>
      </c>
      <c r="E427" s="61" t="s">
        <v>3554</v>
      </c>
      <c r="F427" s="5" t="s">
        <v>3555</v>
      </c>
      <c r="G427" s="55">
        <f t="shared" si="41"/>
        <v>10</v>
      </c>
      <c r="H427" s="55">
        <f t="shared" si="42"/>
        <v>12</v>
      </c>
    </row>
    <row r="428">
      <c r="A428" s="54"/>
      <c r="B428" s="5"/>
      <c r="C428" s="5"/>
      <c r="D428" s="55"/>
      <c r="E428" s="5"/>
      <c r="F428" s="5"/>
      <c r="G428" s="55"/>
      <c r="H428" s="55"/>
    </row>
    <row r="429" ht="13.5">
      <c r="A429" s="54"/>
      <c r="B429" s="5" t="s">
        <v>128</v>
      </c>
      <c r="C429" s="5" t="s">
        <v>107</v>
      </c>
      <c r="D429" s="55" t="str">
        <f>VLOOKUP($B429,Letters!$C$81:$D$104,2,FALSE) &amp; VLOOKUP($C429,Letters!$C$81:$D$104,2,FALSE)</f>
        <v>WB</v>
      </c>
      <c r="E429" s="61" t="s">
        <v>3556</v>
      </c>
      <c r="F429" s="5" t="s">
        <v>3557</v>
      </c>
      <c r="G429" s="55">
        <f t="shared" ref="G429:G447" si="43">(len($F429)-len(SUBSTITUTE($F429,"R","")))+(len($F429)-len(SUBSTITUTE($F429,"L","")))+(len($F429)-len(SUBSTITUTE($F429,"U","")))+(len($F429)-len(SUBSTITUTE($F429,"D","")))+(len($F429)-len(SUBSTITUTE($F429,"F","")))+(len($F429)-len(SUBSTITUTE($F429,"B","")))+(len($F429)-len(SUBSTITUTE($F429,"r","")))+(len($F429)-len(SUBSTITUTE($F429,"l","")))+(len($F429)-len(SUBSTITUTE($F429,"u","")))+(len($F429)-len(SUBSTITUTE($F429,"d","")))</f>
        <v>12</v>
      </c>
      <c r="H429" s="55">
        <f t="shared" ref="H429:H447" si="44">(len($F429)-len(SUBSTITUTE($F429,"R","")))+(len($F429)-len(SUBSTITUTE($F429,"L","")))+(len($F429)-len(SUBSTITUTE($F429,"U","")))+(len($F429)-len(SUBSTITUTE($F429,"D","")))+(len($F429)-len(SUBSTITUTE($F429,"F","")))+(len($F429)-len(SUBSTITUTE($F429,"B","")))+(len($F429)-len(SUBSTITUTE($F429,"r","")))+(len($F429)-len(SUBSTITUTE($F429,"l","")))+(len($F429)-len(SUBSTITUTE($F429,"u","")))+(len($F429)-len(SUBSTITUTE($F429,"d","")))+(len($F429)-len(SUBSTITUTE($F429,"2","")))</f>
        <v>16</v>
      </c>
    </row>
    <row r="430" ht="13.5">
      <c r="A430" s="54"/>
      <c r="B430" s="5" t="s">
        <v>128</v>
      </c>
      <c r="C430" s="5" t="s">
        <v>108</v>
      </c>
      <c r="D430" s="55" t="str">
        <f>VLOOKUP($B430,Letters!$C$81:$D$104,2,FALSE) &amp; VLOOKUP($C430,Letters!$C$81:$D$104,2,FALSE)</f>
        <v>WC</v>
      </c>
      <c r="E430" s="61" t="s">
        <v>3560</v>
      </c>
      <c r="F430" s="5" t="s">
        <v>3561</v>
      </c>
      <c r="G430" s="55">
        <f t="shared" si="43"/>
        <v>13</v>
      </c>
      <c r="H430" s="55">
        <f t="shared" si="44"/>
        <v>16</v>
      </c>
    </row>
    <row r="431" ht="13.5">
      <c r="A431" s="54"/>
      <c r="B431" s="5" t="s">
        <v>128</v>
      </c>
      <c r="C431" s="5" t="s">
        <v>109</v>
      </c>
      <c r="D431" s="55" t="str">
        <f>VLOOKUP($B431,Letters!$C$81:$D$104,2,FALSE) &amp; VLOOKUP($C431,Letters!$C$81:$D$104,2,FALSE)</f>
        <v>WD</v>
      </c>
      <c r="E431" s="61" t="s">
        <v>3564</v>
      </c>
      <c r="F431" s="5" t="s">
        <v>3565</v>
      </c>
      <c r="G431" s="55">
        <f t="shared" si="43"/>
        <v>12</v>
      </c>
      <c r="H431" s="55">
        <f t="shared" si="44"/>
        <v>14</v>
      </c>
    </row>
    <row r="432" ht="13.5">
      <c r="A432" s="54"/>
      <c r="B432" s="5" t="s">
        <v>128</v>
      </c>
      <c r="C432" s="5" t="s">
        <v>110</v>
      </c>
      <c r="D432" s="55" t="str">
        <f>VLOOKUP($B432,Letters!$C$81:$D$104,2,FALSE) &amp; VLOOKUP($C432,Letters!$C$81:$D$104,2,FALSE)</f>
        <v>WE</v>
      </c>
      <c r="E432" s="61" t="s">
        <v>3568</v>
      </c>
      <c r="F432" s="5" t="s">
        <v>3569</v>
      </c>
      <c r="G432" s="55">
        <f t="shared" si="43"/>
        <v>9</v>
      </c>
      <c r="H432" s="55">
        <f t="shared" si="44"/>
        <v>12</v>
      </c>
    </row>
    <row r="433" ht="13.5">
      <c r="A433" s="54"/>
      <c r="B433" s="5" t="s">
        <v>128</v>
      </c>
      <c r="C433" s="5" t="s">
        <v>111</v>
      </c>
      <c r="D433" s="55" t="str">
        <f>VLOOKUP($B433,Letters!$C$81:$D$104,2,FALSE) &amp; VLOOKUP($C433,Letters!$C$81:$D$104,2,FALSE)</f>
        <v>WF</v>
      </c>
      <c r="E433" s="61" t="s">
        <v>3570</v>
      </c>
      <c r="F433" s="5" t="s">
        <v>3571</v>
      </c>
      <c r="G433" s="55">
        <f t="shared" si="43"/>
        <v>11</v>
      </c>
      <c r="H433" s="55">
        <f t="shared" si="44"/>
        <v>12</v>
      </c>
    </row>
    <row r="434" ht="13.5">
      <c r="A434" s="54"/>
      <c r="B434" s="5" t="s">
        <v>128</v>
      </c>
      <c r="C434" s="5" t="s">
        <v>112</v>
      </c>
      <c r="D434" s="55" t="str">
        <f>VLOOKUP($B434,Letters!$C$81:$D$104,2,FALSE) &amp; VLOOKUP($C434,Letters!$C$81:$D$104,2,FALSE)</f>
        <v>WG</v>
      </c>
      <c r="E434" s="61" t="s">
        <v>3572</v>
      </c>
      <c r="F434" s="5" t="s">
        <v>3573</v>
      </c>
      <c r="G434" s="55">
        <f t="shared" si="43"/>
        <v>9</v>
      </c>
      <c r="H434" s="55">
        <f t="shared" si="44"/>
        <v>12</v>
      </c>
    </row>
    <row r="435" ht="13.5">
      <c r="A435" s="54"/>
      <c r="B435" s="5" t="s">
        <v>128</v>
      </c>
      <c r="C435" s="5" t="s">
        <v>113</v>
      </c>
      <c r="D435" s="55" t="str">
        <f>VLOOKUP($B435,Letters!$C$81:$D$104,2,FALSE) &amp; VLOOKUP($C435,Letters!$C$81:$D$104,2,FALSE)</f>
        <v>WH</v>
      </c>
      <c r="E435" s="61" t="s">
        <v>3574</v>
      </c>
      <c r="F435" s="5" t="s">
        <v>3575</v>
      </c>
      <c r="G435" s="55">
        <f t="shared" si="43"/>
        <v>10</v>
      </c>
      <c r="H435" s="55">
        <f t="shared" si="44"/>
        <v>12</v>
      </c>
    </row>
    <row r="436" ht="13.5">
      <c r="A436" s="54"/>
      <c r="B436" s="5" t="s">
        <v>128</v>
      </c>
      <c r="C436" s="5" t="s">
        <v>114</v>
      </c>
      <c r="D436" s="55" t="str">
        <f>VLOOKUP($B436,Letters!$C$81:$D$104,2,FALSE) &amp; VLOOKUP($C436,Letters!$C$81:$D$104,2,FALSE)</f>
        <v>WI</v>
      </c>
      <c r="E436" s="61" t="s">
        <v>3576</v>
      </c>
      <c r="F436" s="5" t="s">
        <v>3577</v>
      </c>
      <c r="G436" s="55">
        <f t="shared" si="43"/>
        <v>10</v>
      </c>
      <c r="H436" s="55">
        <f t="shared" si="44"/>
        <v>12</v>
      </c>
    </row>
    <row r="437" ht="13.5">
      <c r="A437" s="54"/>
      <c r="B437" s="5" t="s">
        <v>128</v>
      </c>
      <c r="C437" s="5" t="s">
        <v>115</v>
      </c>
      <c r="D437" s="55" t="str">
        <f>VLOOKUP($B437,Letters!$C$81:$D$104,2,FALSE) &amp; VLOOKUP($C437,Letters!$C$81:$D$104,2,FALSE)</f>
        <v>WJ</v>
      </c>
      <c r="E437" s="61" t="s">
        <v>3578</v>
      </c>
      <c r="F437" s="5" t="s">
        <v>3579</v>
      </c>
      <c r="G437" s="55">
        <f t="shared" si="43"/>
        <v>10</v>
      </c>
      <c r="H437" s="55">
        <f t="shared" si="44"/>
        <v>14</v>
      </c>
    </row>
    <row r="438" ht="13.5">
      <c r="A438" s="54"/>
      <c r="B438" s="5" t="s">
        <v>128</v>
      </c>
      <c r="C438" s="5" t="s">
        <v>116</v>
      </c>
      <c r="D438" s="55" t="str">
        <f>VLOOKUP($B438,Letters!$C$81:$D$104,2,FALSE) &amp; VLOOKUP($C438,Letters!$C$81:$D$104,2,FALSE)</f>
        <v>WK</v>
      </c>
      <c r="E438" s="61" t="s">
        <v>3580</v>
      </c>
      <c r="F438" s="5" t="s">
        <v>3581</v>
      </c>
      <c r="G438" s="55">
        <f t="shared" si="43"/>
        <v>11</v>
      </c>
      <c r="H438" s="55">
        <f t="shared" si="44"/>
        <v>14</v>
      </c>
    </row>
    <row r="439" ht="13.5">
      <c r="A439" s="54"/>
      <c r="B439" s="5" t="s">
        <v>128</v>
      </c>
      <c r="C439" s="5" t="s">
        <v>117</v>
      </c>
      <c r="D439" s="55" t="str">
        <f>VLOOKUP($B439,Letters!$C$81:$D$104,2,FALSE) &amp; VLOOKUP($C439,Letters!$C$81:$D$104,2,FALSE)</f>
        <v>WL</v>
      </c>
      <c r="E439" s="61" t="s">
        <v>3582</v>
      </c>
      <c r="F439" s="5" t="s">
        <v>3583</v>
      </c>
      <c r="G439" s="55">
        <f t="shared" si="43"/>
        <v>9</v>
      </c>
      <c r="H439" s="55">
        <f t="shared" si="44"/>
        <v>12</v>
      </c>
    </row>
    <row r="440" ht="13.5">
      <c r="A440" s="54"/>
      <c r="B440" s="5" t="s">
        <v>128</v>
      </c>
      <c r="C440" s="5" t="s">
        <v>118</v>
      </c>
      <c r="D440" s="55" t="str">
        <f>VLOOKUP($B440,Letters!$C$81:$D$104,2,FALSE) &amp; VLOOKUP($C440,Letters!$C$81:$D$104,2,FALSE)</f>
        <v>WM</v>
      </c>
      <c r="E440" s="61" t="s">
        <v>3584</v>
      </c>
      <c r="F440" s="5" t="s">
        <v>3585</v>
      </c>
      <c r="G440" s="55">
        <f t="shared" si="43"/>
        <v>9</v>
      </c>
      <c r="H440" s="55">
        <f t="shared" si="44"/>
        <v>12</v>
      </c>
    </row>
    <row r="441" ht="13.5">
      <c r="A441" s="54"/>
      <c r="B441" s="5" t="s">
        <v>128</v>
      </c>
      <c r="C441" s="5" t="s">
        <v>119</v>
      </c>
      <c r="D441" s="55" t="str">
        <f>VLOOKUP($B441,Letters!$C$81:$D$104,2,FALSE) &amp; VLOOKUP($C441,Letters!$C$81:$D$104,2,FALSE)</f>
        <v>WN</v>
      </c>
      <c r="E441" s="61" t="s">
        <v>3586</v>
      </c>
      <c r="F441" s="5" t="s">
        <v>3587</v>
      </c>
      <c r="G441" s="55">
        <f t="shared" si="43"/>
        <v>10</v>
      </c>
      <c r="H441" s="55">
        <f t="shared" si="44"/>
        <v>12</v>
      </c>
    </row>
    <row r="442" ht="13.5">
      <c r="A442" s="54"/>
      <c r="B442" s="5" t="s">
        <v>128</v>
      </c>
      <c r="C442" s="5" t="s">
        <v>120</v>
      </c>
      <c r="D442" s="55" t="str">
        <f>VLOOKUP($B442,Letters!$C$81:$D$104,2,FALSE) &amp; VLOOKUP($C442,Letters!$C$81:$D$104,2,FALSE)</f>
        <v>WO</v>
      </c>
      <c r="E442" s="61" t="s">
        <v>3588</v>
      </c>
      <c r="F442" s="5" t="s">
        <v>3589</v>
      </c>
      <c r="G442" s="55">
        <f t="shared" si="43"/>
        <v>9</v>
      </c>
      <c r="H442" s="55">
        <f t="shared" si="44"/>
        <v>12</v>
      </c>
    </row>
    <row r="443" ht="13.5">
      <c r="A443" s="54"/>
      <c r="B443" s="5" t="s">
        <v>128</v>
      </c>
      <c r="C443" s="5" t="s">
        <v>121</v>
      </c>
      <c r="D443" s="55" t="str">
        <f>VLOOKUP($B443,Letters!$C$81:$D$104,2,FALSE) &amp; VLOOKUP($C443,Letters!$C$81:$D$104,2,FALSE)</f>
        <v>WP</v>
      </c>
      <c r="E443" s="61" t="s">
        <v>3590</v>
      </c>
      <c r="F443" s="5" t="s">
        <v>3591</v>
      </c>
      <c r="G443" s="55">
        <f t="shared" si="43"/>
        <v>11</v>
      </c>
      <c r="H443" s="55">
        <f t="shared" si="44"/>
        <v>14</v>
      </c>
    </row>
    <row r="444" ht="13.5">
      <c r="A444" s="54"/>
      <c r="B444" s="5" t="s">
        <v>128</v>
      </c>
      <c r="C444" s="5" t="s">
        <v>122</v>
      </c>
      <c r="D444" s="55" t="str">
        <f>VLOOKUP($B444,Letters!$C$81:$D$104,2,FALSE) &amp; VLOOKUP($C444,Letters!$C$81:$D$104,2,FALSE)</f>
        <v>WA</v>
      </c>
      <c r="E444" s="61" t="s">
        <v>3592</v>
      </c>
      <c r="F444" s="5" t="s">
        <v>3593</v>
      </c>
      <c r="G444" s="55">
        <f t="shared" si="43"/>
        <v>11</v>
      </c>
      <c r="H444" s="55">
        <f t="shared" si="44"/>
        <v>14</v>
      </c>
    </row>
    <row r="445" ht="13.5">
      <c r="A445" s="54"/>
      <c r="B445" s="5" t="s">
        <v>128</v>
      </c>
      <c r="C445" s="5" t="s">
        <v>123</v>
      </c>
      <c r="D445" s="55" t="str">
        <f>VLOOKUP($B445,Letters!$C$81:$D$104,2,FALSE) &amp; VLOOKUP($C445,Letters!$C$81:$D$104,2,FALSE)</f>
        <v>WR</v>
      </c>
      <c r="E445" s="61" t="s">
        <v>3594</v>
      </c>
      <c r="F445" s="5" t="s">
        <v>3595</v>
      </c>
      <c r="G445" s="55">
        <f t="shared" si="43"/>
        <v>9</v>
      </c>
      <c r="H445" s="55">
        <f t="shared" si="44"/>
        <v>12</v>
      </c>
    </row>
    <row r="446" ht="13.5">
      <c r="A446" s="54"/>
      <c r="B446" s="5" t="s">
        <v>128</v>
      </c>
      <c r="C446" s="5" t="s">
        <v>124</v>
      </c>
      <c r="D446" s="55" t="str">
        <f>VLOOKUP($B446,Letters!$C$81:$D$104,2,FALSE) &amp; VLOOKUP($C446,Letters!$C$81:$D$104,2,FALSE)</f>
        <v>WS</v>
      </c>
      <c r="E446" s="61" t="s">
        <v>3596</v>
      </c>
      <c r="F446" s="5" t="s">
        <v>3597</v>
      </c>
      <c r="G446" s="55">
        <f t="shared" si="43"/>
        <v>10</v>
      </c>
      <c r="H446" s="55">
        <f t="shared" si="44"/>
        <v>12</v>
      </c>
    </row>
    <row r="447" ht="13.5">
      <c r="A447" s="54"/>
      <c r="B447" s="5" t="s">
        <v>128</v>
      </c>
      <c r="C447" s="5" t="s">
        <v>125</v>
      </c>
      <c r="D447" s="55" t="str">
        <f>VLOOKUP($B447,Letters!$C$81:$D$104,2,FALSE) &amp; VLOOKUP($C447,Letters!$C$81:$D$104,2,FALSE)</f>
        <v>WT</v>
      </c>
      <c r="E447" s="61" t="s">
        <v>3598</v>
      </c>
      <c r="F447" s="5" t="s">
        <v>3599</v>
      </c>
      <c r="G447" s="55">
        <f t="shared" si="43"/>
        <v>10</v>
      </c>
      <c r="H447" s="55">
        <f t="shared" si="44"/>
        <v>14</v>
      </c>
    </row>
    <row r="448">
      <c r="A448" s="54"/>
      <c r="B448" s="5"/>
      <c r="C448" s="5"/>
      <c r="D448" s="55"/>
      <c r="E448" s="5"/>
      <c r="F448" s="5"/>
      <c r="G448" s="55"/>
      <c r="H448" s="55"/>
    </row>
    <row r="449" ht="13.5">
      <c r="A449" s="54"/>
      <c r="B449" s="5" t="s">
        <v>129</v>
      </c>
      <c r="C449" s="5" t="s">
        <v>107</v>
      </c>
      <c r="D449" s="55" t="str">
        <f>VLOOKUP($B449,Letters!$C$81:$D$104,2,FALSE) &amp; VLOOKUP($C449,Letters!$C$81:$D$104,2,FALSE)</f>
        <v>XB</v>
      </c>
      <c r="E449" s="61" t="s">
        <v>3602</v>
      </c>
      <c r="F449" s="5" t="s">
        <v>3603</v>
      </c>
      <c r="G449" s="55">
        <f t="shared" ref="G449:G467" si="45">(len($F449)-len(SUBSTITUTE($F449,"R","")))+(len($F449)-len(SUBSTITUTE($F449,"L","")))+(len($F449)-len(SUBSTITUTE($F449,"U","")))+(len($F449)-len(SUBSTITUTE($F449,"D","")))+(len($F449)-len(SUBSTITUTE($F449,"F","")))+(len($F449)-len(SUBSTITUTE($F449,"B","")))+(len($F449)-len(SUBSTITUTE($F449,"r","")))+(len($F449)-len(SUBSTITUTE($F449,"l","")))+(len($F449)-len(SUBSTITUTE($F449,"u","")))+(len($F449)-len(SUBSTITUTE($F449,"d","")))</f>
        <v>12</v>
      </c>
      <c r="H449" s="55">
        <f t="shared" ref="H449:H467" si="46">(len($F449)-len(SUBSTITUTE($F449,"R","")))+(len($F449)-len(SUBSTITUTE($F449,"L","")))+(len($F449)-len(SUBSTITUTE($F449,"U","")))+(len($F449)-len(SUBSTITUTE($F449,"D","")))+(len($F449)-len(SUBSTITUTE($F449,"F","")))+(len($F449)-len(SUBSTITUTE($F449,"B","")))+(len($F449)-len(SUBSTITUTE($F449,"r","")))+(len($F449)-len(SUBSTITUTE($F449,"l","")))+(len($F449)-len(SUBSTITUTE($F449,"u","")))+(len($F449)-len(SUBSTITUTE($F449,"d","")))+(len($F449)-len(SUBSTITUTE($F449,"2","")))</f>
        <v>16</v>
      </c>
    </row>
    <row r="450" ht="13.5">
      <c r="A450" s="54"/>
      <c r="B450" s="5" t="s">
        <v>129</v>
      </c>
      <c r="C450" s="5" t="s">
        <v>108</v>
      </c>
      <c r="D450" s="55" t="str">
        <f>VLOOKUP($B450,Letters!$C$81:$D$104,2,FALSE) &amp; VLOOKUP($C450,Letters!$C$81:$D$104,2,FALSE)</f>
        <v>XC</v>
      </c>
      <c r="E450" s="61" t="s">
        <v>3606</v>
      </c>
      <c r="F450" s="5" t="s">
        <v>3607</v>
      </c>
      <c r="G450" s="55">
        <f t="shared" si="45"/>
        <v>11</v>
      </c>
      <c r="H450" s="55">
        <f t="shared" si="46"/>
        <v>14</v>
      </c>
    </row>
    <row r="451" ht="13.5">
      <c r="A451" s="54"/>
      <c r="B451" s="5" t="s">
        <v>129</v>
      </c>
      <c r="C451" s="5" t="s">
        <v>109</v>
      </c>
      <c r="D451" s="55" t="str">
        <f>VLOOKUP($B451,Letters!$C$81:$D$104,2,FALSE) &amp; VLOOKUP($C451,Letters!$C$81:$D$104,2,FALSE)</f>
        <v>XD</v>
      </c>
      <c r="E451" s="61" t="s">
        <v>3611</v>
      </c>
      <c r="F451" s="5" t="s">
        <v>3613</v>
      </c>
      <c r="G451" s="55">
        <f t="shared" si="45"/>
        <v>12</v>
      </c>
      <c r="H451" s="55">
        <f t="shared" si="46"/>
        <v>14</v>
      </c>
    </row>
    <row r="452" ht="13.5">
      <c r="A452" s="54"/>
      <c r="B452" s="5" t="s">
        <v>129</v>
      </c>
      <c r="C452" s="5" t="s">
        <v>110</v>
      </c>
      <c r="D452" s="55" t="str">
        <f>VLOOKUP($B452,Letters!$C$81:$D$104,2,FALSE) &amp; VLOOKUP($C452,Letters!$C$81:$D$104,2,FALSE)</f>
        <v>XE</v>
      </c>
      <c r="E452" s="61" t="s">
        <v>3614</v>
      </c>
      <c r="F452" s="5" t="s">
        <v>3615</v>
      </c>
      <c r="G452" s="55">
        <f t="shared" si="45"/>
        <v>11</v>
      </c>
      <c r="H452" s="55">
        <f t="shared" si="46"/>
        <v>14</v>
      </c>
    </row>
    <row r="453" ht="13.5">
      <c r="A453" s="54"/>
      <c r="B453" s="5" t="s">
        <v>129</v>
      </c>
      <c r="C453" s="5" t="s">
        <v>111</v>
      </c>
      <c r="D453" s="55" t="str">
        <f>VLOOKUP($B453,Letters!$C$81:$D$104,2,FALSE) &amp; VLOOKUP($C453,Letters!$C$81:$D$104,2,FALSE)</f>
        <v>XF</v>
      </c>
      <c r="E453" s="61" t="s">
        <v>3616</v>
      </c>
      <c r="F453" s="5" t="s">
        <v>3617</v>
      </c>
      <c r="G453" s="55">
        <f t="shared" si="45"/>
        <v>11</v>
      </c>
      <c r="H453" s="55">
        <f t="shared" si="46"/>
        <v>14</v>
      </c>
    </row>
    <row r="454" ht="13.5">
      <c r="A454" s="54"/>
      <c r="B454" s="5" t="s">
        <v>129</v>
      </c>
      <c r="C454" s="5" t="s">
        <v>112</v>
      </c>
      <c r="D454" s="55" t="str">
        <f>VLOOKUP($B454,Letters!$C$81:$D$104,2,FALSE) &amp; VLOOKUP($C454,Letters!$C$81:$D$104,2,FALSE)</f>
        <v>XG</v>
      </c>
      <c r="E454" s="61" t="s">
        <v>3618</v>
      </c>
      <c r="F454" s="5" t="s">
        <v>3619</v>
      </c>
      <c r="G454" s="55">
        <f t="shared" si="45"/>
        <v>10</v>
      </c>
      <c r="H454" s="55">
        <f t="shared" si="46"/>
        <v>12</v>
      </c>
    </row>
    <row r="455" ht="13.5">
      <c r="A455" s="54"/>
      <c r="B455" s="5" t="s">
        <v>129</v>
      </c>
      <c r="C455" s="5" t="s">
        <v>113</v>
      </c>
      <c r="D455" s="55" t="str">
        <f>VLOOKUP($B455,Letters!$C$81:$D$104,2,FALSE) &amp; VLOOKUP($C455,Letters!$C$81:$D$104,2,FALSE)</f>
        <v>XH</v>
      </c>
      <c r="E455" s="61" t="s">
        <v>3620</v>
      </c>
      <c r="F455" s="5" t="s">
        <v>3621</v>
      </c>
      <c r="G455" s="55">
        <f t="shared" si="45"/>
        <v>11</v>
      </c>
      <c r="H455" s="55">
        <f t="shared" si="46"/>
        <v>14</v>
      </c>
    </row>
    <row r="456" ht="13.5">
      <c r="A456" s="54"/>
      <c r="B456" s="5" t="s">
        <v>129</v>
      </c>
      <c r="C456" s="5" t="s">
        <v>114</v>
      </c>
      <c r="D456" s="55" t="str">
        <f>VLOOKUP($B456,Letters!$C$81:$D$104,2,FALSE) &amp; VLOOKUP($C456,Letters!$C$81:$D$104,2,FALSE)</f>
        <v>XI</v>
      </c>
      <c r="E456" s="61" t="s">
        <v>3622</v>
      </c>
      <c r="F456" s="5" t="s">
        <v>3623</v>
      </c>
      <c r="G456" s="55">
        <f t="shared" si="45"/>
        <v>10</v>
      </c>
      <c r="H456" s="55">
        <f t="shared" si="46"/>
        <v>14</v>
      </c>
    </row>
    <row r="457" ht="13.5">
      <c r="A457" s="54"/>
      <c r="B457" s="5" t="s">
        <v>129</v>
      </c>
      <c r="C457" s="5" t="s">
        <v>115</v>
      </c>
      <c r="D457" s="55" t="str">
        <f>VLOOKUP($B457,Letters!$C$81:$D$104,2,FALSE) &amp; VLOOKUP($C457,Letters!$C$81:$D$104,2,FALSE)</f>
        <v>XJ</v>
      </c>
      <c r="E457" s="61" t="s">
        <v>3624</v>
      </c>
      <c r="F457" s="5" t="s">
        <v>3625</v>
      </c>
      <c r="G457" s="55">
        <f t="shared" si="45"/>
        <v>10</v>
      </c>
      <c r="H457" s="55">
        <f t="shared" si="46"/>
        <v>12</v>
      </c>
    </row>
    <row r="458" ht="13.5">
      <c r="A458" s="54"/>
      <c r="B458" s="5" t="s">
        <v>129</v>
      </c>
      <c r="C458" s="5" t="s">
        <v>116</v>
      </c>
      <c r="D458" s="55" t="str">
        <f>VLOOKUP($B458,Letters!$C$81:$D$104,2,FALSE) &amp; VLOOKUP($C458,Letters!$C$81:$D$104,2,FALSE)</f>
        <v>XK</v>
      </c>
      <c r="E458" s="61" t="s">
        <v>3626</v>
      </c>
      <c r="F458" s="5" t="s">
        <v>3627</v>
      </c>
      <c r="G458" s="55">
        <f t="shared" si="45"/>
        <v>9</v>
      </c>
      <c r="H458" s="55">
        <f t="shared" si="46"/>
        <v>12</v>
      </c>
    </row>
    <row r="459" ht="13.5">
      <c r="A459" s="54"/>
      <c r="B459" s="5" t="s">
        <v>129</v>
      </c>
      <c r="C459" s="5" t="s">
        <v>117</v>
      </c>
      <c r="D459" s="55" t="str">
        <f>VLOOKUP($B459,Letters!$C$81:$D$104,2,FALSE) &amp; VLOOKUP($C459,Letters!$C$81:$D$104,2,FALSE)</f>
        <v>XL</v>
      </c>
      <c r="E459" s="61" t="s">
        <v>3628</v>
      </c>
      <c r="F459" s="5" t="s">
        <v>3629</v>
      </c>
      <c r="G459" s="55">
        <f t="shared" si="45"/>
        <v>11</v>
      </c>
      <c r="H459" s="55">
        <f t="shared" si="46"/>
        <v>14</v>
      </c>
    </row>
    <row r="460" ht="13.5">
      <c r="A460" s="54"/>
      <c r="B460" s="5" t="s">
        <v>129</v>
      </c>
      <c r="C460" s="5" t="s">
        <v>118</v>
      </c>
      <c r="D460" s="55" t="str">
        <f>VLOOKUP($B460,Letters!$C$81:$D$104,2,FALSE) &amp; VLOOKUP($C460,Letters!$C$81:$D$104,2,FALSE)</f>
        <v>XM</v>
      </c>
      <c r="E460" s="61" t="s">
        <v>3630</v>
      </c>
      <c r="F460" s="5" t="s">
        <v>3631</v>
      </c>
      <c r="G460" s="55">
        <f t="shared" si="45"/>
        <v>10</v>
      </c>
      <c r="H460" s="55">
        <f t="shared" si="46"/>
        <v>12</v>
      </c>
    </row>
    <row r="461" ht="13.5">
      <c r="A461" s="54"/>
      <c r="B461" s="5" t="s">
        <v>129</v>
      </c>
      <c r="C461" s="5" t="s">
        <v>119</v>
      </c>
      <c r="D461" s="55" t="str">
        <f>VLOOKUP($B461,Letters!$C$81:$D$104,2,FALSE) &amp; VLOOKUP($C461,Letters!$C$81:$D$104,2,FALSE)</f>
        <v>XN</v>
      </c>
      <c r="E461" s="61" t="s">
        <v>3632</v>
      </c>
      <c r="F461" s="5" t="s">
        <v>3633</v>
      </c>
      <c r="G461" s="55">
        <f t="shared" si="45"/>
        <v>10</v>
      </c>
      <c r="H461" s="55">
        <f t="shared" si="46"/>
        <v>12</v>
      </c>
    </row>
    <row r="462" ht="13.5">
      <c r="A462" s="54"/>
      <c r="B462" s="5" t="s">
        <v>129</v>
      </c>
      <c r="C462" s="5" t="s">
        <v>120</v>
      </c>
      <c r="D462" s="55" t="str">
        <f>VLOOKUP($B462,Letters!$C$81:$D$104,2,FALSE) &amp; VLOOKUP($C462,Letters!$C$81:$D$104,2,FALSE)</f>
        <v>XO</v>
      </c>
      <c r="E462" s="61" t="s">
        <v>3634</v>
      </c>
      <c r="F462" s="5" t="s">
        <v>3635</v>
      </c>
      <c r="G462" s="55">
        <f t="shared" si="45"/>
        <v>11</v>
      </c>
      <c r="H462" s="55">
        <f t="shared" si="46"/>
        <v>14</v>
      </c>
    </row>
    <row r="463" ht="13.5">
      <c r="A463" s="65"/>
      <c r="B463" s="5" t="s">
        <v>129</v>
      </c>
      <c r="C463" s="5" t="s">
        <v>121</v>
      </c>
      <c r="D463" s="55" t="str">
        <f>VLOOKUP($B463,Letters!$C$81:$D$104,2,FALSE) &amp; VLOOKUP($C463,Letters!$C$81:$D$104,2,FALSE)</f>
        <v>XP</v>
      </c>
      <c r="E463" s="61" t="s">
        <v>3636</v>
      </c>
      <c r="F463" s="5" t="s">
        <v>3637</v>
      </c>
      <c r="G463" s="55">
        <f t="shared" si="45"/>
        <v>10</v>
      </c>
      <c r="H463" s="55">
        <f t="shared" si="46"/>
        <v>12</v>
      </c>
    </row>
    <row r="464" ht="13.5">
      <c r="A464" s="65"/>
      <c r="B464" s="5" t="s">
        <v>129</v>
      </c>
      <c r="C464" s="5" t="s">
        <v>122</v>
      </c>
      <c r="D464" s="55" t="str">
        <f>VLOOKUP($B464,Letters!$C$81:$D$104,2,FALSE) &amp; VLOOKUP($C464,Letters!$C$81:$D$104,2,FALSE)</f>
        <v>XA</v>
      </c>
      <c r="E464" s="61" t="s">
        <v>3638</v>
      </c>
      <c r="F464" s="5" t="s">
        <v>3639</v>
      </c>
      <c r="G464" s="55">
        <f t="shared" si="45"/>
        <v>9</v>
      </c>
      <c r="H464" s="55">
        <f t="shared" si="46"/>
        <v>12</v>
      </c>
    </row>
    <row r="465" ht="13.5">
      <c r="A465" s="65"/>
      <c r="B465" s="5" t="s">
        <v>129</v>
      </c>
      <c r="C465" s="5" t="s">
        <v>123</v>
      </c>
      <c r="D465" s="55" t="str">
        <f>VLOOKUP($B465,Letters!$C$81:$D$104,2,FALSE) &amp; VLOOKUP($C465,Letters!$C$81:$D$104,2,FALSE)</f>
        <v>XR</v>
      </c>
      <c r="E465" s="61" t="s">
        <v>3640</v>
      </c>
      <c r="F465" s="5" t="s">
        <v>3641</v>
      </c>
      <c r="G465" s="55">
        <f t="shared" si="45"/>
        <v>11</v>
      </c>
      <c r="H465" s="55">
        <f t="shared" si="46"/>
        <v>14</v>
      </c>
    </row>
    <row r="466" ht="13.5">
      <c r="A466" s="75" t="s">
        <v>3642</v>
      </c>
      <c r="B466" s="5" t="s">
        <v>129</v>
      </c>
      <c r="C466" s="5" t="s">
        <v>124</v>
      </c>
      <c r="D466" s="55" t="str">
        <f>VLOOKUP($B466,Letters!$C$81:$D$104,2,FALSE) &amp; VLOOKUP($C466,Letters!$C$81:$D$104,2,FALSE)</f>
        <v>XS</v>
      </c>
      <c r="E466" s="61" t="s">
        <v>3643</v>
      </c>
      <c r="F466" s="5" t="s">
        <v>3644</v>
      </c>
      <c r="G466" s="55">
        <f t="shared" si="45"/>
        <v>10</v>
      </c>
      <c r="H466" s="55">
        <f t="shared" si="46"/>
        <v>14</v>
      </c>
    </row>
    <row r="467" ht="13.5">
      <c r="A467" s="65"/>
      <c r="B467" s="5" t="s">
        <v>129</v>
      </c>
      <c r="C467" s="5" t="s">
        <v>125</v>
      </c>
      <c r="D467" s="55" t="str">
        <f>VLOOKUP($B467,Letters!$C$81:$D$104,2,FALSE) &amp; VLOOKUP($C467,Letters!$C$81:$D$104,2,FALSE)</f>
        <v>XT</v>
      </c>
      <c r="E467" s="61" t="s">
        <v>3647</v>
      </c>
      <c r="F467" s="5" t="s">
        <v>3648</v>
      </c>
      <c r="G467" s="55">
        <f t="shared" si="45"/>
        <v>10</v>
      </c>
      <c r="H467" s="55">
        <f t="shared" si="46"/>
        <v>12</v>
      </c>
    </row>
    <row r="468">
      <c r="A468" s="65"/>
      <c r="B468" s="5"/>
      <c r="C468" s="5"/>
      <c r="D468" s="55"/>
      <c r="E468" s="5"/>
      <c r="F468" s="5"/>
      <c r="G468" s="55"/>
      <c r="H468" s="55"/>
    </row>
  </sheetData>
  <conditionalFormatting sqref="E1 Q1">
    <cfRule type="expression" dxfId="0" priority="1">
      <formula>AND(G:G&lt;=8,NOT(ISBLANK(E:E)))</formula>
    </cfRule>
  </conditionalFormatting>
  <conditionalFormatting sqref="E1 Q1">
    <cfRule type="expression" dxfId="1" priority="2">
      <formula>AND(G:G=10,NOT(ISBLANK(E:E)))</formula>
    </cfRule>
  </conditionalFormatting>
  <conditionalFormatting sqref="E1 Q1">
    <cfRule type="expression" dxfId="2" priority="3">
      <formula>AND(G:G=9,NOT(ISBLANK(E:E)))</formula>
    </cfRule>
  </conditionalFormatting>
  <conditionalFormatting sqref="E1 Q1">
    <cfRule type="expression" dxfId="0" priority="4">
      <formula>AND(G:G&lt;=8,NOT(ISBLANK(E:E)))</formula>
    </cfRule>
  </conditionalFormatting>
  <conditionalFormatting sqref="E1 Q1">
    <cfRule type="expression" dxfId="1" priority="5">
      <formula>AND(G:G=10,NOT(ISBLANK(E:E)))</formula>
    </cfRule>
  </conditionalFormatting>
  <conditionalFormatting sqref="E1 Q1">
    <cfRule type="expression" dxfId="2" priority="6">
      <formula>AND(G:G=9,NOT(ISBLANK(E:E)))</formula>
    </cfRule>
  </conditionalFormatting>
  <conditionalFormatting sqref="D6:D467">
    <cfRule type="expression" dxfId="3" priority="7">
      <formula>A:A=1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4" width="10.86"/>
    <col customWidth="1" min="5" max="5" width="28.71"/>
    <col customWidth="1" min="6" max="6" width="46.43"/>
    <col customWidth="1" min="7" max="8" width="7.29"/>
  </cols>
  <sheetData>
    <row r="1">
      <c r="A1" s="54"/>
      <c r="B1" s="4"/>
      <c r="C1" s="4"/>
      <c r="D1" s="4"/>
      <c r="E1" s="55"/>
      <c r="F1" s="55"/>
      <c r="G1" s="55"/>
      <c r="H1" s="55"/>
      <c r="I1" s="56"/>
      <c r="J1" s="55"/>
      <c r="K1" s="55"/>
      <c r="L1" s="55"/>
      <c r="M1" s="55"/>
      <c r="N1" s="4"/>
      <c r="O1" s="4"/>
      <c r="P1" s="4"/>
      <c r="Q1" s="55"/>
      <c r="R1" s="55"/>
      <c r="S1" s="55"/>
      <c r="T1" s="55"/>
      <c r="U1" s="56"/>
      <c r="V1" s="55"/>
      <c r="W1" s="55"/>
      <c r="X1" s="55"/>
      <c r="Y1" s="59"/>
      <c r="Z1" s="59"/>
      <c r="AA1" s="59"/>
    </row>
    <row r="2" ht="11.25" customHeight="1">
      <c r="A2" s="54"/>
      <c r="B2" s="3" t="s">
        <v>185</v>
      </c>
      <c r="C2" s="4"/>
      <c r="D2" s="4"/>
      <c r="E2" s="55"/>
      <c r="F2" s="55"/>
      <c r="G2" s="55"/>
      <c r="H2" s="55"/>
      <c r="I2" s="56"/>
      <c r="J2" s="55"/>
      <c r="K2" s="55"/>
      <c r="L2" s="55"/>
      <c r="M2" s="55"/>
      <c r="N2" s="3"/>
      <c r="O2" s="4"/>
      <c r="P2" s="4"/>
      <c r="Q2" s="55"/>
      <c r="R2" s="55"/>
      <c r="S2" s="55"/>
      <c r="T2" s="55"/>
      <c r="U2" s="56"/>
      <c r="V2" s="55"/>
      <c r="W2" s="55"/>
      <c r="X2" s="55"/>
      <c r="Y2" s="59"/>
      <c r="Z2" s="59"/>
      <c r="AA2" s="59"/>
    </row>
    <row r="3" ht="13.5">
      <c r="A3" s="54"/>
      <c r="B3" s="4"/>
      <c r="C3" s="4"/>
      <c r="D3" s="4" t="str">
        <f>SUM(A6:A467)&amp;"/440"</f>
        <v>0/440</v>
      </c>
      <c r="E3" s="55"/>
      <c r="F3" s="55"/>
      <c r="G3" s="55"/>
      <c r="H3" s="55"/>
      <c r="I3" s="56"/>
      <c r="J3" s="55"/>
      <c r="K3" s="55"/>
      <c r="L3" s="55"/>
      <c r="M3" s="55"/>
      <c r="N3" s="4"/>
      <c r="O3" s="4"/>
      <c r="P3" s="4"/>
      <c r="Q3" s="55"/>
      <c r="R3" s="55"/>
      <c r="S3" s="55"/>
      <c r="T3" s="55"/>
      <c r="U3" s="56"/>
      <c r="V3" s="55"/>
      <c r="W3" s="55"/>
      <c r="X3" s="55"/>
      <c r="Y3" s="59"/>
      <c r="Z3" s="59"/>
      <c r="AA3" s="59"/>
    </row>
    <row r="4" ht="13.5">
      <c r="A4" s="57"/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192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ht="13.5" customHeight="1">
      <c r="A5" s="60"/>
      <c r="B5" s="5"/>
      <c r="C5" s="5"/>
      <c r="D5" s="55"/>
      <c r="E5" s="5"/>
      <c r="F5" s="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ht="13.5">
      <c r="A6" s="60"/>
      <c r="B6" s="5" t="s">
        <v>134</v>
      </c>
      <c r="C6" s="5" t="s">
        <v>137</v>
      </c>
      <c r="D6" s="55" t="str">
        <f>VLOOKUP($B6,Letters!$C$108:$D$131,2,FALSE) &amp; VLOOKUP($C6,Letters!$C$108:$D$131,2,FALSE)</f>
        <v>BE</v>
      </c>
      <c r="E6" s="61" t="s">
        <v>2077</v>
      </c>
      <c r="F6" s="5" t="s">
        <v>2078</v>
      </c>
      <c r="G6" s="55">
        <f t="shared" ref="G6:G25" si="1">(len($F6)-len(SUBSTITUTE($F6,"R","")))+(len($F6)-len(SUBSTITUTE($F6,"L","")))+(len($F6)-len(SUBSTITUTE($F6,"U","")))+(len($F6)-len(SUBSTITUTE($F6,"D","")))+(len($F6)-len(SUBSTITUTE($F6,"F","")))+(len($F6)-len(SUBSTITUTE($F6,"B","")))+(len($F6)-len(SUBSTITUTE($F6,"r","")))+(len($F6)-len(SUBSTITUTE($F6,"l","")))+(len($F6)-len(SUBSTITUTE($F6,"u","")))+(len($F6)-len(SUBSTITUTE($F6,"d","")))+(len($F6)-len(SUBSTITUTE($F6,"M","")))+(len($F6)-len(SUBSTITUTE($F6,"E","")))</f>
        <v>8</v>
      </c>
      <c r="H6" s="55">
        <f t="shared" ref="H6:H25" si="2">(len($F6)-len(SUBSTITUTE($F6,"R","")))+(len($F6)-len(SUBSTITUTE($F6,"L","")))+(len($F6)-len(SUBSTITUTE($F6,"U","")))+(len($F6)-len(SUBSTITUTE($F6,"D","")))+(len($F6)-len(SUBSTITUTE($F6,"F","")))+(len($F6)-len(SUBSTITUTE($F6,"B","")))+(len($F6)-len(SUBSTITUTE($F6,"r","")))+(len($F6)-len(SUBSTITUTE($F6,"l","")))+(len($F6)-len(SUBSTITUTE($F6,"u","")))+(len($F6)-len(SUBSTITUTE($F6,"d","")))+(len($F6)-len(SUBSTITUTE($F6,"M","")))+(len($F6)-len(SUBSTITUTE($F6,"E","")))+(len($F6)-len(SUBSTITUTE($F6,"2","")))</f>
        <v>8</v>
      </c>
    </row>
    <row r="7" ht="13.5">
      <c r="A7" s="60"/>
      <c r="B7" s="5" t="s">
        <v>134</v>
      </c>
      <c r="C7" s="5" t="s">
        <v>138</v>
      </c>
      <c r="D7" s="55" t="str">
        <f>VLOOKUP($B7,Letters!$C$108:$D$131,2,FALSE) &amp; VLOOKUP($C7,Letters!$C$108:$D$131,2,FALSE)</f>
        <v>BF</v>
      </c>
      <c r="E7" s="61" t="s">
        <v>2103</v>
      </c>
      <c r="F7" s="5" t="s">
        <v>2104</v>
      </c>
      <c r="G7" s="55">
        <f t="shared" si="1"/>
        <v>8</v>
      </c>
      <c r="H7" s="55">
        <f t="shared" si="2"/>
        <v>8</v>
      </c>
    </row>
    <row r="8" ht="13.5">
      <c r="A8" s="60"/>
      <c r="B8" s="5" t="s">
        <v>134</v>
      </c>
      <c r="C8" s="5" t="s">
        <v>139</v>
      </c>
      <c r="D8" s="55" t="str">
        <f>VLOOKUP($B8,Letters!$C$108:$D$131,2,FALSE) &amp; VLOOKUP($C8,Letters!$C$108:$D$131,2,FALSE)</f>
        <v>BG</v>
      </c>
      <c r="E8" s="61" t="s">
        <v>2109</v>
      </c>
      <c r="F8" s="5" t="s">
        <v>2110</v>
      </c>
      <c r="G8" s="55">
        <f t="shared" si="1"/>
        <v>8</v>
      </c>
      <c r="H8" s="55">
        <f t="shared" si="2"/>
        <v>8</v>
      </c>
    </row>
    <row r="9" ht="13.5">
      <c r="A9" s="60"/>
      <c r="B9" s="5" t="s">
        <v>134</v>
      </c>
      <c r="C9" s="5" t="s">
        <v>140</v>
      </c>
      <c r="D9" s="55" t="str">
        <f>VLOOKUP($B9,Letters!$C$108:$D$131,2,FALSE) &amp; VLOOKUP($C9,Letters!$C$108:$D$131,2,FALSE)</f>
        <v>BH</v>
      </c>
      <c r="E9" s="61" t="s">
        <v>2119</v>
      </c>
      <c r="F9" s="5" t="s">
        <v>2120</v>
      </c>
      <c r="G9" s="55">
        <f t="shared" si="1"/>
        <v>8</v>
      </c>
      <c r="H9" s="55">
        <f t="shared" si="2"/>
        <v>8</v>
      </c>
    </row>
    <row r="10" ht="13.5">
      <c r="A10" s="60"/>
      <c r="B10" s="5" t="s">
        <v>134</v>
      </c>
      <c r="C10" s="5" t="s">
        <v>141</v>
      </c>
      <c r="D10" s="55" t="str">
        <f>VLOOKUP($B10,Letters!$C$108:$D$131,2,FALSE) &amp; VLOOKUP($C10,Letters!$C$108:$D$131,2,FALSE)</f>
        <v>BI</v>
      </c>
      <c r="E10" s="61" t="s">
        <v>2123</v>
      </c>
      <c r="F10" s="5" t="s">
        <v>2124</v>
      </c>
      <c r="G10" s="55">
        <f t="shared" si="1"/>
        <v>10</v>
      </c>
      <c r="H10" s="55">
        <f t="shared" si="2"/>
        <v>10</v>
      </c>
    </row>
    <row r="11" ht="13.5">
      <c r="A11" s="60"/>
      <c r="B11" s="5" t="s">
        <v>134</v>
      </c>
      <c r="C11" s="5" t="s">
        <v>142</v>
      </c>
      <c r="D11" s="55" t="str">
        <f>VLOOKUP($B11,Letters!$C$108:$D$131,2,FALSE) &amp; VLOOKUP($C11,Letters!$C$108:$D$131,2,FALSE)</f>
        <v>BJ</v>
      </c>
      <c r="E11" s="61" t="s">
        <v>2127</v>
      </c>
      <c r="F11" s="5" t="s">
        <v>2128</v>
      </c>
      <c r="G11" s="55">
        <f t="shared" si="1"/>
        <v>10</v>
      </c>
      <c r="H11" s="55">
        <f t="shared" si="2"/>
        <v>10</v>
      </c>
    </row>
    <row r="12" ht="13.5">
      <c r="A12" s="60"/>
      <c r="B12" s="5" t="s">
        <v>134</v>
      </c>
      <c r="C12" s="5" t="s">
        <v>143</v>
      </c>
      <c r="D12" s="55" t="str">
        <f>VLOOKUP($B12,Letters!$C$108:$D$131,2,FALSE) &amp; VLOOKUP($C12,Letters!$C$108:$D$131,2,FALSE)</f>
        <v>BK</v>
      </c>
      <c r="E12" s="61" t="s">
        <v>2131</v>
      </c>
      <c r="F12" s="5" t="s">
        <v>2132</v>
      </c>
      <c r="G12" s="55">
        <f t="shared" si="1"/>
        <v>11</v>
      </c>
      <c r="H12" s="55">
        <f t="shared" si="2"/>
        <v>12</v>
      </c>
    </row>
    <row r="13" ht="13.5">
      <c r="A13" s="60"/>
      <c r="B13" s="5" t="s">
        <v>134</v>
      </c>
      <c r="C13" s="5" t="s">
        <v>144</v>
      </c>
      <c r="D13" s="55" t="str">
        <f>VLOOKUP($B13,Letters!$C$108:$D$131,2,FALSE) &amp; VLOOKUP($C13,Letters!$C$108:$D$131,2,FALSE)</f>
        <v>BL</v>
      </c>
      <c r="E13" s="61" t="s">
        <v>2137</v>
      </c>
      <c r="F13" s="5" t="s">
        <v>2140</v>
      </c>
      <c r="G13" s="55">
        <f t="shared" si="1"/>
        <v>8</v>
      </c>
      <c r="H13" s="55">
        <f t="shared" si="2"/>
        <v>10</v>
      </c>
    </row>
    <row r="14" ht="13.5">
      <c r="A14" s="60"/>
      <c r="B14" s="5" t="s">
        <v>134</v>
      </c>
      <c r="C14" s="5" t="s">
        <v>145</v>
      </c>
      <c r="D14" s="55" t="str">
        <f>VLOOKUP($B14,Letters!$C$108:$D$131,2,FALSE) &amp; VLOOKUP($C14,Letters!$C$108:$D$131,2,FALSE)</f>
        <v>BM</v>
      </c>
      <c r="E14" s="61" t="s">
        <v>2143</v>
      </c>
      <c r="F14" s="5" t="s">
        <v>2145</v>
      </c>
      <c r="G14" s="55">
        <f t="shared" si="1"/>
        <v>8</v>
      </c>
      <c r="H14" s="55">
        <f t="shared" si="2"/>
        <v>8</v>
      </c>
    </row>
    <row r="15" ht="13.5">
      <c r="A15" s="60"/>
      <c r="B15" s="5" t="s">
        <v>134</v>
      </c>
      <c r="C15" s="5" t="s">
        <v>146</v>
      </c>
      <c r="D15" s="55" t="str">
        <f>VLOOKUP($B15,Letters!$C$108:$D$131,2,FALSE) &amp; VLOOKUP($C15,Letters!$C$108:$D$131,2,FALSE)</f>
        <v>BN</v>
      </c>
      <c r="E15" s="61" t="s">
        <v>2147</v>
      </c>
      <c r="F15" s="5" t="s">
        <v>2148</v>
      </c>
      <c r="G15" s="55">
        <f t="shared" si="1"/>
        <v>8</v>
      </c>
      <c r="H15" s="55">
        <f t="shared" si="2"/>
        <v>8</v>
      </c>
    </row>
    <row r="16" ht="13.5">
      <c r="A16" s="60"/>
      <c r="B16" s="5" t="s">
        <v>134</v>
      </c>
      <c r="C16" s="5" t="s">
        <v>147</v>
      </c>
      <c r="D16" s="55" t="str">
        <f>VLOOKUP($B16,Letters!$C$108:$D$131,2,FALSE) &amp; VLOOKUP($C16,Letters!$C$108:$D$131,2,FALSE)</f>
        <v>BO</v>
      </c>
      <c r="E16" s="61" t="s">
        <v>2153</v>
      </c>
      <c r="F16" s="5" t="s">
        <v>2154</v>
      </c>
      <c r="G16" s="55">
        <f t="shared" si="1"/>
        <v>8</v>
      </c>
      <c r="H16" s="55">
        <f t="shared" si="2"/>
        <v>8</v>
      </c>
    </row>
    <row r="17" ht="13.5">
      <c r="A17" s="60"/>
      <c r="B17" s="5" t="s">
        <v>134</v>
      </c>
      <c r="C17" s="5" t="s">
        <v>148</v>
      </c>
      <c r="D17" s="55" t="str">
        <f>VLOOKUP($B17,Letters!$C$108:$D$131,2,FALSE) &amp; VLOOKUP($C17,Letters!$C$108:$D$131,2,FALSE)</f>
        <v>BP</v>
      </c>
      <c r="E17" s="61" t="s">
        <v>2157</v>
      </c>
      <c r="F17" s="5" t="s">
        <v>2158</v>
      </c>
      <c r="G17" s="55">
        <f t="shared" si="1"/>
        <v>8</v>
      </c>
      <c r="H17" s="55">
        <f t="shared" si="2"/>
        <v>8</v>
      </c>
    </row>
    <row r="18" ht="13.5">
      <c r="A18" s="60"/>
      <c r="B18" s="5" t="s">
        <v>134</v>
      </c>
      <c r="C18" s="5" t="s">
        <v>149</v>
      </c>
      <c r="D18" s="55" t="str">
        <f>VLOOKUP($B18,Letters!$C$108:$D$131,2,FALSE) &amp; VLOOKUP($C18,Letters!$C$108:$D$131,2,FALSE)</f>
        <v>BA</v>
      </c>
      <c r="E18" s="61" t="s">
        <v>2159</v>
      </c>
      <c r="F18" s="5" t="s">
        <v>2160</v>
      </c>
      <c r="G18" s="55">
        <f t="shared" si="1"/>
        <v>9</v>
      </c>
      <c r="H18" s="55">
        <f t="shared" si="2"/>
        <v>10</v>
      </c>
    </row>
    <row r="19" ht="13.5">
      <c r="A19" s="60"/>
      <c r="B19" s="5" t="s">
        <v>134</v>
      </c>
      <c r="C19" s="5" t="s">
        <v>150</v>
      </c>
      <c r="D19" s="55" t="str">
        <f>VLOOKUP($B19,Letters!$C$108:$D$131,2,FALSE) &amp; VLOOKUP($C19,Letters!$C$108:$D$131,2,FALSE)</f>
        <v>BR</v>
      </c>
      <c r="E19" s="61" t="s">
        <v>2167</v>
      </c>
      <c r="F19" s="5" t="s">
        <v>2168</v>
      </c>
      <c r="G19" s="55">
        <f t="shared" si="1"/>
        <v>8</v>
      </c>
      <c r="H19" s="55">
        <f t="shared" si="2"/>
        <v>10</v>
      </c>
    </row>
    <row r="20" ht="13.5">
      <c r="A20" s="60"/>
      <c r="B20" s="5" t="s">
        <v>134</v>
      </c>
      <c r="C20" s="5" t="s">
        <v>151</v>
      </c>
      <c r="D20" s="55" t="str">
        <f>VLOOKUP($B20,Letters!$C$108:$D$131,2,FALSE) &amp; VLOOKUP($C20,Letters!$C$108:$D$131,2,FALSE)</f>
        <v>BS</v>
      </c>
      <c r="E20" s="61" t="s">
        <v>2173</v>
      </c>
      <c r="F20" s="5" t="s">
        <v>2174</v>
      </c>
      <c r="G20" s="55">
        <f t="shared" si="1"/>
        <v>8</v>
      </c>
      <c r="H20" s="55">
        <f t="shared" si="2"/>
        <v>8</v>
      </c>
    </row>
    <row r="21" ht="13.5">
      <c r="A21" s="60"/>
      <c r="B21" s="5" t="s">
        <v>134</v>
      </c>
      <c r="C21" s="5" t="s">
        <v>152</v>
      </c>
      <c r="D21" s="55" t="str">
        <f>VLOOKUP($B21,Letters!$C$108:$D$131,2,FALSE) &amp; VLOOKUP($C21,Letters!$C$108:$D$131,2,FALSE)</f>
        <v>BT</v>
      </c>
      <c r="E21" s="61" t="s">
        <v>2179</v>
      </c>
      <c r="F21" s="5" t="s">
        <v>2180</v>
      </c>
      <c r="G21" s="55">
        <f t="shared" si="1"/>
        <v>8</v>
      </c>
      <c r="H21" s="55">
        <f t="shared" si="2"/>
        <v>8</v>
      </c>
    </row>
    <row r="22" ht="13.5">
      <c r="A22" s="60"/>
      <c r="B22" s="5" t="s">
        <v>134</v>
      </c>
      <c r="C22" s="5" t="s">
        <v>153</v>
      </c>
      <c r="D22" s="55" t="str">
        <f>VLOOKUP($B22,Letters!$C$108:$D$131,2,FALSE) &amp; VLOOKUP($C22,Letters!$C$108:$D$131,2,FALSE)</f>
        <v>BU</v>
      </c>
      <c r="E22" s="61" t="s">
        <v>2187</v>
      </c>
      <c r="F22" s="5" t="s">
        <v>2188</v>
      </c>
      <c r="G22" s="55">
        <f t="shared" si="1"/>
        <v>10</v>
      </c>
      <c r="H22" s="55">
        <f t="shared" si="2"/>
        <v>12</v>
      </c>
    </row>
    <row r="23" ht="13.5">
      <c r="A23" s="60"/>
      <c r="B23" s="5" t="s">
        <v>134</v>
      </c>
      <c r="C23" s="5" t="s">
        <v>154</v>
      </c>
      <c r="D23" s="55" t="str">
        <f>VLOOKUP($B23,Letters!$C$108:$D$131,2,FALSE) &amp; VLOOKUP($C23,Letters!$C$108:$D$131,2,FALSE)</f>
        <v>BV</v>
      </c>
      <c r="E23" s="61" t="s">
        <v>2195</v>
      </c>
      <c r="F23" s="5" t="s">
        <v>2196</v>
      </c>
      <c r="G23" s="55">
        <f t="shared" si="1"/>
        <v>10</v>
      </c>
      <c r="H23" s="55">
        <f t="shared" si="2"/>
        <v>12</v>
      </c>
    </row>
    <row r="24" ht="13.5">
      <c r="A24" s="54"/>
      <c r="B24" s="5" t="s">
        <v>134</v>
      </c>
      <c r="C24" s="5" t="s">
        <v>155</v>
      </c>
      <c r="D24" s="55" t="str">
        <f>VLOOKUP($B24,Letters!$C$108:$D$131,2,FALSE) &amp; VLOOKUP($C24,Letters!$C$108:$D$131,2,FALSE)</f>
        <v>BW</v>
      </c>
      <c r="E24" s="61" t="s">
        <v>2201</v>
      </c>
      <c r="F24" s="5" t="s">
        <v>2202</v>
      </c>
      <c r="G24" s="55">
        <f t="shared" si="1"/>
        <v>8</v>
      </c>
      <c r="H24" s="55">
        <f t="shared" si="2"/>
        <v>10</v>
      </c>
    </row>
    <row r="25" ht="13.5">
      <c r="A25" s="60"/>
      <c r="B25" s="5" t="s">
        <v>134</v>
      </c>
      <c r="C25" s="5" t="s">
        <v>156</v>
      </c>
      <c r="D25" s="55" t="str">
        <f>VLOOKUP($B25,Letters!$C$108:$D$131,2,FALSE) &amp; VLOOKUP($C25,Letters!$C$108:$D$131,2,FALSE)</f>
        <v>BX</v>
      </c>
      <c r="E25" s="61" t="s">
        <v>2205</v>
      </c>
      <c r="F25" s="5" t="s">
        <v>2206</v>
      </c>
      <c r="G25" s="55">
        <f t="shared" si="1"/>
        <v>12</v>
      </c>
      <c r="H25" s="55">
        <f t="shared" si="2"/>
        <v>14</v>
      </c>
    </row>
    <row r="26">
      <c r="A26" s="60"/>
      <c r="B26" s="5"/>
      <c r="C26" s="5"/>
      <c r="D26" s="55"/>
      <c r="E26" s="5"/>
      <c r="F26" s="5"/>
    </row>
    <row r="27" ht="13.5">
      <c r="A27" s="60"/>
      <c r="B27" s="5" t="s">
        <v>135</v>
      </c>
      <c r="C27" s="5" t="s">
        <v>137</v>
      </c>
      <c r="D27" s="55" t="str">
        <f>VLOOKUP($B27,Letters!$C$108:$D$131,2,FALSE) &amp; VLOOKUP($C27,Letters!$C$108:$D$131,2,FALSE)</f>
        <v>CE</v>
      </c>
      <c r="E27" s="61" t="s">
        <v>2213</v>
      </c>
      <c r="F27" s="5" t="s">
        <v>2214</v>
      </c>
      <c r="G27" s="55">
        <f t="shared" ref="G27:G46" si="3">(len($F27)-len(SUBSTITUTE($F27,"R","")))+(len($F27)-len(SUBSTITUTE($F27,"L","")))+(len($F27)-len(SUBSTITUTE($F27,"U","")))+(len($F27)-len(SUBSTITUTE($F27,"D","")))+(len($F27)-len(SUBSTITUTE($F27,"F","")))+(len($F27)-len(SUBSTITUTE($F27,"B","")))+(len($F27)-len(SUBSTITUTE($F27,"r","")))+(len($F27)-len(SUBSTITUTE($F27,"l","")))+(len($F27)-len(SUBSTITUTE($F27,"u","")))+(len($F27)-len(SUBSTITUTE($F27,"d","")))+(len($F27)-len(SUBSTITUTE($F27,"M","")))+(len($F27)-len(SUBSTITUTE($F27,"E","")))</f>
        <v>8</v>
      </c>
      <c r="H27" s="55">
        <f t="shared" ref="H27:H46" si="4">(len($F27)-len(SUBSTITUTE($F27,"R","")))+(len($F27)-len(SUBSTITUTE($F27,"L","")))+(len($F27)-len(SUBSTITUTE($F27,"U","")))+(len($F27)-len(SUBSTITUTE($F27,"D","")))+(len($F27)-len(SUBSTITUTE($F27,"F","")))+(len($F27)-len(SUBSTITUTE($F27,"B","")))+(len($F27)-len(SUBSTITUTE($F27,"r","")))+(len($F27)-len(SUBSTITUTE($F27,"l","")))+(len($F27)-len(SUBSTITUTE($F27,"u","")))+(len($F27)-len(SUBSTITUTE($F27,"d","")))+(len($F27)-len(SUBSTITUTE($F27,"M","")))+(len($F27)-len(SUBSTITUTE($F27,"E","")))+(len($F27)-len(SUBSTITUTE($F27,"2","")))</f>
        <v>10</v>
      </c>
    </row>
    <row r="28" ht="13.5">
      <c r="A28" s="60"/>
      <c r="B28" s="5" t="s">
        <v>135</v>
      </c>
      <c r="C28" s="5" t="s">
        <v>138</v>
      </c>
      <c r="D28" s="55" t="str">
        <f>VLOOKUP($B28,Letters!$C$108:$D$131,2,FALSE) &amp; VLOOKUP($C28,Letters!$C$108:$D$131,2,FALSE)</f>
        <v>CF</v>
      </c>
      <c r="E28" s="61" t="s">
        <v>2233</v>
      </c>
      <c r="F28" s="5" t="s">
        <v>2234</v>
      </c>
      <c r="G28" s="55">
        <f t="shared" si="3"/>
        <v>9</v>
      </c>
      <c r="H28" s="55">
        <f t="shared" si="4"/>
        <v>10</v>
      </c>
    </row>
    <row r="29" ht="13.5">
      <c r="A29" s="60"/>
      <c r="B29" s="5" t="s">
        <v>135</v>
      </c>
      <c r="C29" s="5" t="s">
        <v>139</v>
      </c>
      <c r="D29" s="55" t="str">
        <f>VLOOKUP($B29,Letters!$C$108:$D$131,2,FALSE) &amp; VLOOKUP($C29,Letters!$C$108:$D$131,2,FALSE)</f>
        <v>CG</v>
      </c>
      <c r="E29" s="61" t="s">
        <v>2241</v>
      </c>
      <c r="F29" s="5" t="s">
        <v>2242</v>
      </c>
      <c r="G29" s="55">
        <f t="shared" si="3"/>
        <v>8</v>
      </c>
      <c r="H29" s="55">
        <f t="shared" si="4"/>
        <v>10</v>
      </c>
    </row>
    <row r="30" ht="13.5">
      <c r="A30" s="60"/>
      <c r="B30" s="5" t="s">
        <v>135</v>
      </c>
      <c r="C30" s="5" t="s">
        <v>140</v>
      </c>
      <c r="D30" s="55" t="str">
        <f>VLOOKUP($B30,Letters!$C$108:$D$131,2,FALSE) &amp; VLOOKUP($C30,Letters!$C$108:$D$131,2,FALSE)</f>
        <v>CH</v>
      </c>
      <c r="E30" s="61" t="s">
        <v>2247</v>
      </c>
      <c r="F30" s="5" t="s">
        <v>2248</v>
      </c>
      <c r="G30" s="55">
        <f t="shared" si="3"/>
        <v>9</v>
      </c>
      <c r="H30" s="55">
        <f t="shared" si="4"/>
        <v>10</v>
      </c>
    </row>
    <row r="31" ht="13.5">
      <c r="A31" s="60"/>
      <c r="B31" s="5" t="s">
        <v>135</v>
      </c>
      <c r="C31" s="5" t="s">
        <v>141</v>
      </c>
      <c r="D31" s="55" t="str">
        <f>VLOOKUP($B31,Letters!$C$108:$D$131,2,FALSE) &amp; VLOOKUP($C31,Letters!$C$108:$D$131,2,FALSE)</f>
        <v>CI</v>
      </c>
      <c r="E31" s="61" t="s">
        <v>2254</v>
      </c>
      <c r="F31" s="5" t="s">
        <v>2256</v>
      </c>
      <c r="G31" s="55">
        <f t="shared" si="3"/>
        <v>13</v>
      </c>
      <c r="H31" s="55">
        <f t="shared" si="4"/>
        <v>14</v>
      </c>
    </row>
    <row r="32" ht="13.5">
      <c r="A32" s="60"/>
      <c r="B32" s="5" t="s">
        <v>135</v>
      </c>
      <c r="C32" s="5" t="s">
        <v>142</v>
      </c>
      <c r="D32" s="55" t="str">
        <f>VLOOKUP($B32,Letters!$C$108:$D$131,2,FALSE) &amp; VLOOKUP($C32,Letters!$C$108:$D$131,2,FALSE)</f>
        <v>CJ</v>
      </c>
      <c r="E32" s="61" t="s">
        <v>2261</v>
      </c>
      <c r="F32" s="5" t="s">
        <v>2262</v>
      </c>
      <c r="G32" s="55">
        <f t="shared" si="3"/>
        <v>9</v>
      </c>
      <c r="H32" s="55">
        <f t="shared" si="4"/>
        <v>12</v>
      </c>
    </row>
    <row r="33" ht="13.5">
      <c r="A33" s="60"/>
      <c r="B33" s="5" t="s">
        <v>135</v>
      </c>
      <c r="C33" s="5" t="s">
        <v>143</v>
      </c>
      <c r="D33" s="55" t="str">
        <f>VLOOKUP($B33,Letters!$C$108:$D$131,2,FALSE) &amp; VLOOKUP($C33,Letters!$C$108:$D$131,2,FALSE)</f>
        <v>CK</v>
      </c>
      <c r="E33" s="61" t="s">
        <v>2263</v>
      </c>
      <c r="F33" s="5" t="s">
        <v>2264</v>
      </c>
      <c r="G33" s="55">
        <f t="shared" si="3"/>
        <v>13</v>
      </c>
      <c r="H33" s="55">
        <f t="shared" si="4"/>
        <v>14</v>
      </c>
    </row>
    <row r="34" ht="13.5">
      <c r="A34" s="60"/>
      <c r="B34" s="5" t="s">
        <v>135</v>
      </c>
      <c r="C34" s="5" t="s">
        <v>144</v>
      </c>
      <c r="D34" s="55" t="str">
        <f>VLOOKUP($B34,Letters!$C$108:$D$131,2,FALSE) &amp; VLOOKUP($C34,Letters!$C$108:$D$131,2,FALSE)</f>
        <v>CL</v>
      </c>
      <c r="E34" s="61" t="s">
        <v>2267</v>
      </c>
      <c r="F34" s="5" t="s">
        <v>2268</v>
      </c>
      <c r="G34" s="55">
        <f t="shared" si="3"/>
        <v>9</v>
      </c>
      <c r="H34" s="55">
        <f t="shared" si="4"/>
        <v>12</v>
      </c>
    </row>
    <row r="35" ht="13.5">
      <c r="A35" s="60"/>
      <c r="B35" s="5" t="s">
        <v>135</v>
      </c>
      <c r="C35" s="5" t="s">
        <v>145</v>
      </c>
      <c r="D35" s="55" t="str">
        <f>VLOOKUP($B35,Letters!$C$108:$D$131,2,FALSE) &amp; VLOOKUP($C35,Letters!$C$108:$D$131,2,FALSE)</f>
        <v>CM</v>
      </c>
      <c r="E35" s="61" t="s">
        <v>2273</v>
      </c>
      <c r="F35" s="5" t="s">
        <v>2274</v>
      </c>
      <c r="G35" s="55">
        <f t="shared" si="3"/>
        <v>8</v>
      </c>
      <c r="H35" s="55">
        <f t="shared" si="4"/>
        <v>10</v>
      </c>
    </row>
    <row r="36" ht="13.5">
      <c r="A36" s="60"/>
      <c r="B36" s="5" t="s">
        <v>135</v>
      </c>
      <c r="C36" s="5" t="s">
        <v>146</v>
      </c>
      <c r="D36" s="55" t="str">
        <f>VLOOKUP($B36,Letters!$C$108:$D$131,2,FALSE) &amp; VLOOKUP($C36,Letters!$C$108:$D$131,2,FALSE)</f>
        <v>CN</v>
      </c>
      <c r="E36" s="61" t="s">
        <v>2283</v>
      </c>
      <c r="F36" s="5" t="s">
        <v>2284</v>
      </c>
      <c r="G36" s="55">
        <f t="shared" si="3"/>
        <v>9</v>
      </c>
      <c r="H36" s="55">
        <f t="shared" si="4"/>
        <v>10</v>
      </c>
    </row>
    <row r="37" ht="13.5">
      <c r="A37" s="60"/>
      <c r="B37" s="5" t="s">
        <v>135</v>
      </c>
      <c r="C37" s="5" t="s">
        <v>147</v>
      </c>
      <c r="D37" s="55" t="str">
        <f>VLOOKUP($B37,Letters!$C$108:$D$131,2,FALSE) &amp; VLOOKUP($C37,Letters!$C$108:$D$131,2,FALSE)</f>
        <v>CO</v>
      </c>
      <c r="E37" s="61" t="s">
        <v>2293</v>
      </c>
      <c r="F37" s="5" t="s">
        <v>2294</v>
      </c>
      <c r="G37" s="55">
        <f t="shared" si="3"/>
        <v>8</v>
      </c>
      <c r="H37" s="55">
        <f t="shared" si="4"/>
        <v>10</v>
      </c>
    </row>
    <row r="38" ht="13.5">
      <c r="A38" s="60"/>
      <c r="B38" s="5" t="s">
        <v>135</v>
      </c>
      <c r="C38" s="5" t="s">
        <v>148</v>
      </c>
      <c r="D38" s="55" t="str">
        <f>VLOOKUP($B38,Letters!$C$108:$D$131,2,FALSE) &amp; VLOOKUP($C38,Letters!$C$108:$D$131,2,FALSE)</f>
        <v>CP</v>
      </c>
      <c r="E38" s="61" t="s">
        <v>2299</v>
      </c>
      <c r="F38" s="5" t="s">
        <v>2300</v>
      </c>
      <c r="G38" s="55">
        <f t="shared" si="3"/>
        <v>9</v>
      </c>
      <c r="H38" s="55">
        <f t="shared" si="4"/>
        <v>10</v>
      </c>
    </row>
    <row r="39" ht="13.5">
      <c r="A39" s="60"/>
      <c r="B39" s="5" t="s">
        <v>135</v>
      </c>
      <c r="C39" s="5" t="s">
        <v>149</v>
      </c>
      <c r="D39" s="55" t="str">
        <f>VLOOKUP($B39,Letters!$C$108:$D$131,2,FALSE) &amp; VLOOKUP($C39,Letters!$C$108:$D$131,2,FALSE)</f>
        <v>CA</v>
      </c>
      <c r="E39" s="61" t="s">
        <v>2307</v>
      </c>
      <c r="F39" s="5" t="s">
        <v>2310</v>
      </c>
      <c r="G39" s="55">
        <f t="shared" si="3"/>
        <v>13</v>
      </c>
      <c r="H39" s="55">
        <f t="shared" si="4"/>
        <v>14</v>
      </c>
    </row>
    <row r="40" ht="13.5">
      <c r="A40" s="60"/>
      <c r="B40" s="5" t="s">
        <v>135</v>
      </c>
      <c r="C40" s="5" t="s">
        <v>150</v>
      </c>
      <c r="D40" s="55" t="str">
        <f>VLOOKUP($B40,Letters!$C$108:$D$131,2,FALSE) &amp; VLOOKUP($C40,Letters!$C$108:$D$131,2,FALSE)</f>
        <v>CR</v>
      </c>
      <c r="E40" s="61" t="s">
        <v>2313</v>
      </c>
      <c r="F40" s="5" t="s">
        <v>2314</v>
      </c>
      <c r="G40" s="55">
        <f t="shared" si="3"/>
        <v>9</v>
      </c>
      <c r="H40" s="55">
        <f t="shared" si="4"/>
        <v>12</v>
      </c>
    </row>
    <row r="41" ht="13.5">
      <c r="A41" s="60"/>
      <c r="B41" s="5" t="s">
        <v>135</v>
      </c>
      <c r="C41" s="5" t="s">
        <v>151</v>
      </c>
      <c r="D41" s="55" t="str">
        <f>VLOOKUP($B41,Letters!$C$108:$D$131,2,FALSE) &amp; VLOOKUP($C41,Letters!$C$108:$D$131,2,FALSE)</f>
        <v>CS</v>
      </c>
      <c r="E41" s="61" t="s">
        <v>2319</v>
      </c>
      <c r="F41" s="5" t="s">
        <v>2320</v>
      </c>
      <c r="G41" s="55">
        <f t="shared" si="3"/>
        <v>13</v>
      </c>
      <c r="H41" s="55">
        <f t="shared" si="4"/>
        <v>14</v>
      </c>
    </row>
    <row r="42" ht="13.5">
      <c r="A42" s="60"/>
      <c r="B42" s="5" t="s">
        <v>135</v>
      </c>
      <c r="C42" s="5" t="s">
        <v>152</v>
      </c>
      <c r="D42" s="55" t="str">
        <f>VLOOKUP($B42,Letters!$C$108:$D$131,2,FALSE) &amp; VLOOKUP($C42,Letters!$C$108:$D$131,2,FALSE)</f>
        <v>CT</v>
      </c>
      <c r="E42" s="61" t="s">
        <v>2323</v>
      </c>
      <c r="F42" s="5" t="s">
        <v>2262</v>
      </c>
      <c r="G42" s="55">
        <f t="shared" si="3"/>
        <v>9</v>
      </c>
      <c r="H42" s="55">
        <f t="shared" si="4"/>
        <v>12</v>
      </c>
    </row>
    <row r="43" ht="13.5">
      <c r="A43" s="54"/>
      <c r="B43" s="5" t="s">
        <v>135</v>
      </c>
      <c r="C43" s="5" t="s">
        <v>153</v>
      </c>
      <c r="D43" s="55" t="str">
        <f>VLOOKUP($B43,Letters!$C$108:$D$131,2,FALSE) &amp; VLOOKUP($C43,Letters!$C$108:$D$131,2,FALSE)</f>
        <v>CU</v>
      </c>
      <c r="E43" s="61" t="s">
        <v>2328</v>
      </c>
      <c r="F43" s="5" t="s">
        <v>2329</v>
      </c>
      <c r="G43" s="55">
        <f t="shared" si="3"/>
        <v>8</v>
      </c>
      <c r="H43" s="55">
        <f t="shared" si="4"/>
        <v>12</v>
      </c>
    </row>
    <row r="44" ht="13.5">
      <c r="A44" s="60"/>
      <c r="B44" s="5" t="s">
        <v>135</v>
      </c>
      <c r="C44" s="5" t="s">
        <v>154</v>
      </c>
      <c r="D44" s="55" t="str">
        <f>VLOOKUP($B44,Letters!$C$108:$D$131,2,FALSE) &amp; VLOOKUP($C44,Letters!$C$108:$D$131,2,FALSE)</f>
        <v>CV</v>
      </c>
      <c r="E44" s="61" t="s">
        <v>2332</v>
      </c>
      <c r="F44" s="5" t="s">
        <v>2334</v>
      </c>
      <c r="G44" s="55">
        <f t="shared" si="3"/>
        <v>10</v>
      </c>
      <c r="H44" s="55">
        <f t="shared" si="4"/>
        <v>14</v>
      </c>
    </row>
    <row r="45" ht="13.5">
      <c r="A45" s="54"/>
      <c r="B45" s="5" t="s">
        <v>135</v>
      </c>
      <c r="C45" s="5" t="s">
        <v>155</v>
      </c>
      <c r="D45" s="55" t="str">
        <f>VLOOKUP($B45,Letters!$C$108:$D$131,2,FALSE) &amp; VLOOKUP($C45,Letters!$C$108:$D$131,2,FALSE)</f>
        <v>CW</v>
      </c>
      <c r="E45" s="61" t="s">
        <v>2339</v>
      </c>
      <c r="F45" s="5" t="s">
        <v>2341</v>
      </c>
      <c r="G45" s="55">
        <f t="shared" si="3"/>
        <v>8</v>
      </c>
      <c r="H45" s="55">
        <f t="shared" si="4"/>
        <v>12</v>
      </c>
    </row>
    <row r="46" ht="13.5">
      <c r="A46" s="54"/>
      <c r="B46" s="5" t="s">
        <v>135</v>
      </c>
      <c r="C46" s="5" t="s">
        <v>156</v>
      </c>
      <c r="D46" s="55" t="str">
        <f>VLOOKUP($B46,Letters!$C$108:$D$131,2,FALSE) &amp; VLOOKUP($C46,Letters!$C$108:$D$131,2,FALSE)</f>
        <v>CX</v>
      </c>
      <c r="E46" s="61" t="s">
        <v>2344</v>
      </c>
      <c r="F46" s="5" t="s">
        <v>2345</v>
      </c>
      <c r="G46" s="55">
        <f t="shared" si="3"/>
        <v>10</v>
      </c>
      <c r="H46" s="55">
        <f t="shared" si="4"/>
        <v>14</v>
      </c>
    </row>
    <row r="47">
      <c r="A47" s="54"/>
      <c r="B47" s="5"/>
      <c r="C47" s="5"/>
      <c r="D47" s="55"/>
      <c r="E47" s="5"/>
      <c r="F47" s="5"/>
    </row>
    <row r="48" ht="13.5">
      <c r="A48" s="54"/>
      <c r="B48" s="5" t="s">
        <v>136</v>
      </c>
      <c r="C48" s="5" t="s">
        <v>137</v>
      </c>
      <c r="D48" s="55" t="str">
        <f>VLOOKUP($B48,Letters!$C$108:$D$131,2,FALSE) &amp; VLOOKUP($C48,Letters!$C$108:$D$131,2,FALSE)</f>
        <v>DE</v>
      </c>
      <c r="E48" s="61" t="s">
        <v>2354</v>
      </c>
      <c r="F48" s="5" t="s">
        <v>2355</v>
      </c>
      <c r="G48" s="55">
        <f t="shared" ref="G48:G67" si="5">(len($F48)-len(SUBSTITUTE($F48,"R","")))+(len($F48)-len(SUBSTITUTE($F48,"L","")))+(len($F48)-len(SUBSTITUTE($F48,"U","")))+(len($F48)-len(SUBSTITUTE($F48,"D","")))+(len($F48)-len(SUBSTITUTE($F48,"F","")))+(len($F48)-len(SUBSTITUTE($F48,"B","")))+(len($F48)-len(SUBSTITUTE($F48,"r","")))+(len($F48)-len(SUBSTITUTE($F48,"l","")))+(len($F48)-len(SUBSTITUTE($F48,"u","")))+(len($F48)-len(SUBSTITUTE($F48,"d","")))+(len($F48)-len(SUBSTITUTE($F48,"M","")))+(len($F48)-len(SUBSTITUTE($F48,"E","")))</f>
        <v>8</v>
      </c>
      <c r="H48" s="55">
        <f t="shared" ref="H48:H67" si="6">(len($F48)-len(SUBSTITUTE($F48,"R","")))+(len($F48)-len(SUBSTITUTE($F48,"L","")))+(len($F48)-len(SUBSTITUTE($F48,"U","")))+(len($F48)-len(SUBSTITUTE($F48,"D","")))+(len($F48)-len(SUBSTITUTE($F48,"F","")))+(len($F48)-len(SUBSTITUTE($F48,"B","")))+(len($F48)-len(SUBSTITUTE($F48,"r","")))+(len($F48)-len(SUBSTITUTE($F48,"l","")))+(len($F48)-len(SUBSTITUTE($F48,"u","")))+(len($F48)-len(SUBSTITUTE($F48,"d","")))+(len($F48)-len(SUBSTITUTE($F48,"M","")))+(len($F48)-len(SUBSTITUTE($F48,"E","")))+(len($F48)-len(SUBSTITUTE($F48,"2","")))</f>
        <v>8</v>
      </c>
    </row>
    <row r="49" ht="13.5">
      <c r="A49" s="54"/>
      <c r="B49" s="5" t="s">
        <v>136</v>
      </c>
      <c r="C49" s="5" t="s">
        <v>138</v>
      </c>
      <c r="D49" s="55" t="str">
        <f>VLOOKUP($B49,Letters!$C$108:$D$131,2,FALSE) &amp; VLOOKUP($C49,Letters!$C$108:$D$131,2,FALSE)</f>
        <v>DF</v>
      </c>
      <c r="E49" s="61" t="s">
        <v>2370</v>
      </c>
      <c r="F49" s="5" t="s">
        <v>2371</v>
      </c>
      <c r="G49" s="55">
        <f t="shared" si="5"/>
        <v>8</v>
      </c>
      <c r="H49" s="55">
        <f t="shared" si="6"/>
        <v>8</v>
      </c>
    </row>
    <row r="50" ht="13.5">
      <c r="A50" s="54"/>
      <c r="B50" s="5" t="s">
        <v>136</v>
      </c>
      <c r="C50" s="5" t="s">
        <v>139</v>
      </c>
      <c r="D50" s="55" t="str">
        <f>VLOOKUP($B50,Letters!$C$108:$D$131,2,FALSE) &amp; VLOOKUP($C50,Letters!$C$108:$D$131,2,FALSE)</f>
        <v>DG</v>
      </c>
      <c r="E50" s="61" t="s">
        <v>2376</v>
      </c>
      <c r="F50" s="5" t="s">
        <v>2377</v>
      </c>
      <c r="G50" s="55">
        <f t="shared" si="5"/>
        <v>8</v>
      </c>
      <c r="H50" s="55">
        <f t="shared" si="6"/>
        <v>8</v>
      </c>
    </row>
    <row r="51" ht="13.5">
      <c r="A51" s="54"/>
      <c r="B51" s="5" t="s">
        <v>136</v>
      </c>
      <c r="C51" s="5" t="s">
        <v>140</v>
      </c>
      <c r="D51" s="55" t="str">
        <f>VLOOKUP($B51,Letters!$C$108:$D$131,2,FALSE) &amp; VLOOKUP($C51,Letters!$C$108:$D$131,2,FALSE)</f>
        <v>DH</v>
      </c>
      <c r="E51" s="61" t="s">
        <v>2380</v>
      </c>
      <c r="F51" s="5" t="s">
        <v>2381</v>
      </c>
      <c r="G51" s="55">
        <f t="shared" si="5"/>
        <v>8</v>
      </c>
      <c r="H51" s="55">
        <f t="shared" si="6"/>
        <v>8</v>
      </c>
    </row>
    <row r="52" ht="13.5">
      <c r="A52" s="60"/>
      <c r="B52" s="5" t="s">
        <v>136</v>
      </c>
      <c r="C52" s="5" t="s">
        <v>141</v>
      </c>
      <c r="D52" s="55" t="str">
        <f>VLOOKUP($B52,Letters!$C$108:$D$131,2,FALSE) &amp; VLOOKUP($C52,Letters!$C$108:$D$131,2,FALSE)</f>
        <v>DI</v>
      </c>
      <c r="E52" s="61" t="s">
        <v>2386</v>
      </c>
      <c r="F52" s="5" t="s">
        <v>2387</v>
      </c>
      <c r="G52" s="55">
        <f t="shared" si="5"/>
        <v>10</v>
      </c>
      <c r="H52" s="55">
        <f t="shared" si="6"/>
        <v>10</v>
      </c>
    </row>
    <row r="53" ht="13.5">
      <c r="A53" s="60"/>
      <c r="B53" s="5" t="s">
        <v>136</v>
      </c>
      <c r="C53" s="5" t="s">
        <v>142</v>
      </c>
      <c r="D53" s="55" t="str">
        <f>VLOOKUP($B53,Letters!$C$108:$D$131,2,FALSE) &amp; VLOOKUP($C53,Letters!$C$108:$D$131,2,FALSE)</f>
        <v>DJ</v>
      </c>
      <c r="E53" s="61" t="s">
        <v>2392</v>
      </c>
      <c r="F53" s="5" t="s">
        <v>2393</v>
      </c>
      <c r="G53" s="55">
        <f t="shared" si="5"/>
        <v>8</v>
      </c>
      <c r="H53" s="55">
        <f t="shared" si="6"/>
        <v>10</v>
      </c>
    </row>
    <row r="54" ht="13.5">
      <c r="A54" s="54"/>
      <c r="B54" s="5" t="s">
        <v>136</v>
      </c>
      <c r="C54" s="5" t="s">
        <v>143</v>
      </c>
      <c r="D54" s="55" t="str">
        <f>VLOOKUP($B54,Letters!$C$108:$D$131,2,FALSE) &amp; VLOOKUP($C54,Letters!$C$108:$D$131,2,FALSE)</f>
        <v>DK</v>
      </c>
      <c r="E54" s="61" t="s">
        <v>2398</v>
      </c>
      <c r="F54" s="5" t="s">
        <v>2399</v>
      </c>
      <c r="G54" s="55">
        <f t="shared" si="5"/>
        <v>12</v>
      </c>
      <c r="H54" s="55">
        <f t="shared" si="6"/>
        <v>15</v>
      </c>
    </row>
    <row r="55" ht="13.5">
      <c r="A55" s="60"/>
      <c r="B55" s="5" t="s">
        <v>136</v>
      </c>
      <c r="C55" s="5" t="s">
        <v>144</v>
      </c>
      <c r="D55" s="55" t="str">
        <f>VLOOKUP($B55,Letters!$C$108:$D$131,2,FALSE) &amp; VLOOKUP($C55,Letters!$C$108:$D$131,2,FALSE)</f>
        <v>DL</v>
      </c>
      <c r="E55" s="61" t="s">
        <v>2400</v>
      </c>
      <c r="F55" s="5" t="s">
        <v>2401</v>
      </c>
      <c r="G55" s="55">
        <f t="shared" si="5"/>
        <v>10</v>
      </c>
      <c r="H55" s="55">
        <f t="shared" si="6"/>
        <v>11</v>
      </c>
    </row>
    <row r="56" ht="13.5">
      <c r="A56" s="54"/>
      <c r="B56" s="5" t="s">
        <v>136</v>
      </c>
      <c r="C56" s="5" t="s">
        <v>145</v>
      </c>
      <c r="D56" s="55" t="str">
        <f>VLOOKUP($B56,Letters!$C$108:$D$131,2,FALSE) &amp; VLOOKUP($C56,Letters!$C$108:$D$131,2,FALSE)</f>
        <v>DM</v>
      </c>
      <c r="E56" s="61" t="s">
        <v>2404</v>
      </c>
      <c r="F56" s="5" t="s">
        <v>2405</v>
      </c>
      <c r="G56" s="55">
        <f t="shared" si="5"/>
        <v>8</v>
      </c>
      <c r="H56" s="55">
        <f t="shared" si="6"/>
        <v>8</v>
      </c>
    </row>
    <row r="57" ht="13.5">
      <c r="A57" s="54"/>
      <c r="B57" s="5" t="s">
        <v>136</v>
      </c>
      <c r="C57" s="5" t="s">
        <v>146</v>
      </c>
      <c r="D57" s="55" t="str">
        <f>VLOOKUP($B57,Letters!$C$108:$D$131,2,FALSE) &amp; VLOOKUP($C57,Letters!$C$108:$D$131,2,FALSE)</f>
        <v>DN</v>
      </c>
      <c r="E57" s="61" t="s">
        <v>2412</v>
      </c>
      <c r="F57" s="5" t="s">
        <v>2413</v>
      </c>
      <c r="G57" s="55">
        <f t="shared" si="5"/>
        <v>8</v>
      </c>
      <c r="H57" s="55">
        <f t="shared" si="6"/>
        <v>8</v>
      </c>
    </row>
    <row r="58" ht="13.5">
      <c r="A58" s="54"/>
      <c r="B58" s="5" t="s">
        <v>136</v>
      </c>
      <c r="C58" s="5" t="s">
        <v>147</v>
      </c>
      <c r="D58" s="55" t="str">
        <f>VLOOKUP($B58,Letters!$C$108:$D$131,2,FALSE) &amp; VLOOKUP($C58,Letters!$C$108:$D$131,2,FALSE)</f>
        <v>DO</v>
      </c>
      <c r="E58" s="61" t="s">
        <v>2419</v>
      </c>
      <c r="F58" s="5" t="s">
        <v>2421</v>
      </c>
      <c r="G58" s="55">
        <f t="shared" si="5"/>
        <v>8</v>
      </c>
      <c r="H58" s="55">
        <f t="shared" si="6"/>
        <v>8</v>
      </c>
    </row>
    <row r="59" ht="13.5">
      <c r="A59" s="54"/>
      <c r="B59" s="5" t="s">
        <v>136</v>
      </c>
      <c r="C59" s="5" t="s">
        <v>148</v>
      </c>
      <c r="D59" s="55" t="str">
        <f>VLOOKUP($B59,Letters!$C$108:$D$131,2,FALSE) &amp; VLOOKUP($C59,Letters!$C$108:$D$131,2,FALSE)</f>
        <v>DP</v>
      </c>
      <c r="E59" s="61" t="s">
        <v>2426</v>
      </c>
      <c r="F59" s="5" t="s">
        <v>2427</v>
      </c>
      <c r="G59" s="55">
        <f t="shared" si="5"/>
        <v>8</v>
      </c>
      <c r="H59" s="55">
        <f t="shared" si="6"/>
        <v>8</v>
      </c>
    </row>
    <row r="60" ht="13.5">
      <c r="A60" s="54"/>
      <c r="B60" s="5" t="s">
        <v>136</v>
      </c>
      <c r="C60" s="5" t="s">
        <v>149</v>
      </c>
      <c r="D60" s="55" t="str">
        <f>VLOOKUP($B60,Letters!$C$108:$D$131,2,FALSE) &amp; VLOOKUP($C60,Letters!$C$108:$D$131,2,FALSE)</f>
        <v>DA</v>
      </c>
      <c r="E60" s="61" t="s">
        <v>2436</v>
      </c>
      <c r="F60" s="5" t="s">
        <v>2437</v>
      </c>
      <c r="G60" s="55">
        <f t="shared" si="5"/>
        <v>9</v>
      </c>
      <c r="H60" s="55">
        <f t="shared" si="6"/>
        <v>10</v>
      </c>
    </row>
    <row r="61" ht="13.5">
      <c r="A61" s="54"/>
      <c r="B61" s="5" t="s">
        <v>136</v>
      </c>
      <c r="C61" s="5" t="s">
        <v>150</v>
      </c>
      <c r="D61" s="55" t="str">
        <f>VLOOKUP($B61,Letters!$C$108:$D$131,2,FALSE) &amp; VLOOKUP($C61,Letters!$C$108:$D$131,2,FALSE)</f>
        <v>DR</v>
      </c>
      <c r="E61" s="61" t="s">
        <v>2442</v>
      </c>
      <c r="F61" s="5" t="s">
        <v>2443</v>
      </c>
      <c r="G61" s="55">
        <f t="shared" si="5"/>
        <v>8</v>
      </c>
      <c r="H61" s="55">
        <f t="shared" si="6"/>
        <v>8</v>
      </c>
    </row>
    <row r="62" ht="13.5">
      <c r="A62" s="54"/>
      <c r="B62" s="5" t="s">
        <v>136</v>
      </c>
      <c r="C62" s="5" t="s">
        <v>151</v>
      </c>
      <c r="D62" s="55" t="str">
        <f>VLOOKUP($B62,Letters!$C$108:$D$131,2,FALSE) &amp; VLOOKUP($C62,Letters!$C$108:$D$131,2,FALSE)</f>
        <v>DS</v>
      </c>
      <c r="E62" s="61" t="s">
        <v>2448</v>
      </c>
      <c r="F62" s="5" t="s">
        <v>2449</v>
      </c>
      <c r="G62" s="55">
        <f t="shared" si="5"/>
        <v>8</v>
      </c>
      <c r="H62" s="55">
        <f t="shared" si="6"/>
        <v>8</v>
      </c>
    </row>
    <row r="63" ht="13.5">
      <c r="A63" s="60"/>
      <c r="B63" s="5" t="s">
        <v>136</v>
      </c>
      <c r="C63" s="5" t="s">
        <v>152</v>
      </c>
      <c r="D63" s="55" t="str">
        <f>VLOOKUP($B63,Letters!$C$108:$D$131,2,FALSE) &amp; VLOOKUP($C63,Letters!$C$108:$D$131,2,FALSE)</f>
        <v>DT</v>
      </c>
      <c r="E63" s="61" t="s">
        <v>2456</v>
      </c>
      <c r="F63" s="5" t="s">
        <v>2457</v>
      </c>
      <c r="G63" s="55">
        <f t="shared" si="5"/>
        <v>8</v>
      </c>
      <c r="H63" s="55">
        <f t="shared" si="6"/>
        <v>10</v>
      </c>
    </row>
    <row r="64" ht="13.5">
      <c r="A64" s="54"/>
      <c r="B64" s="5" t="s">
        <v>136</v>
      </c>
      <c r="C64" s="5" t="s">
        <v>153</v>
      </c>
      <c r="D64" s="55" t="str">
        <f>VLOOKUP($B64,Letters!$C$108:$D$131,2,FALSE) &amp; VLOOKUP($C64,Letters!$C$108:$D$131,2,FALSE)</f>
        <v>DU</v>
      </c>
      <c r="E64" s="61" t="s">
        <v>2460</v>
      </c>
      <c r="F64" s="5" t="s">
        <v>2461</v>
      </c>
      <c r="G64" s="55">
        <f t="shared" si="5"/>
        <v>10</v>
      </c>
      <c r="H64" s="55">
        <f t="shared" si="6"/>
        <v>12</v>
      </c>
    </row>
    <row r="65" ht="13.5">
      <c r="A65" s="54"/>
      <c r="B65" s="5" t="s">
        <v>136</v>
      </c>
      <c r="C65" s="5" t="s">
        <v>154</v>
      </c>
      <c r="D65" s="55" t="str">
        <f>VLOOKUP($B65,Letters!$C$108:$D$131,2,FALSE) &amp; VLOOKUP($C65,Letters!$C$108:$D$131,2,FALSE)</f>
        <v>DV</v>
      </c>
      <c r="E65" s="61" t="s">
        <v>2464</v>
      </c>
      <c r="F65" s="5" t="s">
        <v>2465</v>
      </c>
      <c r="G65" s="55">
        <f t="shared" si="5"/>
        <v>12</v>
      </c>
      <c r="H65" s="55">
        <f t="shared" si="6"/>
        <v>15</v>
      </c>
    </row>
    <row r="66" ht="13.5">
      <c r="A66" s="54"/>
      <c r="B66" s="5" t="s">
        <v>136</v>
      </c>
      <c r="C66" s="5" t="s">
        <v>155</v>
      </c>
      <c r="D66" s="55" t="str">
        <f>VLOOKUP($B66,Letters!$C$108:$D$131,2,FALSE) &amp; VLOOKUP($C66,Letters!$C$108:$D$131,2,FALSE)</f>
        <v>DW</v>
      </c>
      <c r="E66" s="61" t="s">
        <v>2468</v>
      </c>
      <c r="F66" s="5" t="s">
        <v>2471</v>
      </c>
      <c r="G66" s="55">
        <f t="shared" si="5"/>
        <v>8</v>
      </c>
      <c r="H66" s="55">
        <f t="shared" si="6"/>
        <v>10</v>
      </c>
    </row>
    <row r="67" ht="13.5">
      <c r="A67" s="54"/>
      <c r="B67" s="5" t="s">
        <v>136</v>
      </c>
      <c r="C67" s="5" t="s">
        <v>156</v>
      </c>
      <c r="D67" s="55" t="str">
        <f>VLOOKUP($B67,Letters!$C$108:$D$131,2,FALSE) &amp; VLOOKUP($C67,Letters!$C$108:$D$131,2,FALSE)</f>
        <v>DX</v>
      </c>
      <c r="E67" s="61" t="s">
        <v>2476</v>
      </c>
      <c r="F67" s="5" t="s">
        <v>2477</v>
      </c>
      <c r="G67" s="55">
        <f t="shared" si="5"/>
        <v>10</v>
      </c>
      <c r="H67" s="55">
        <f t="shared" si="6"/>
        <v>12</v>
      </c>
    </row>
    <row r="68">
      <c r="A68" s="54"/>
      <c r="B68" s="5"/>
      <c r="C68" s="5"/>
      <c r="D68" s="55"/>
      <c r="E68" s="5"/>
      <c r="F68" s="5"/>
    </row>
    <row r="69" ht="13.5">
      <c r="A69" s="54"/>
      <c r="B69" s="5" t="s">
        <v>137</v>
      </c>
      <c r="C69" s="5" t="s">
        <v>134</v>
      </c>
      <c r="D69" s="55" t="str">
        <f>VLOOKUP($B69,Letters!$C$108:$D$131,2,FALSE) &amp; VLOOKUP($C69,Letters!$C$108:$D$131,2,FALSE)</f>
        <v>EB</v>
      </c>
      <c r="E69" s="61" t="s">
        <v>2484</v>
      </c>
      <c r="F69" s="5" t="s">
        <v>2485</v>
      </c>
      <c r="G69" s="55">
        <f t="shared" ref="G69:G87" si="7">(len($F69)-len(SUBSTITUTE($F69,"R","")))+(len($F69)-len(SUBSTITUTE($F69,"L","")))+(len($F69)-len(SUBSTITUTE($F69,"U","")))+(len($F69)-len(SUBSTITUTE($F69,"D","")))+(len($F69)-len(SUBSTITUTE($F69,"F","")))+(len($F69)-len(SUBSTITUTE($F69,"B","")))+(len($F69)-len(SUBSTITUTE($F69,"r","")))+(len($F69)-len(SUBSTITUTE($F69,"l","")))+(len($F69)-len(SUBSTITUTE($F69,"u","")))+(len($F69)-len(SUBSTITUTE($F69,"d","")))+(len($F69)-len(SUBSTITUTE($F69,"M","")))+(len($F69)-len(SUBSTITUTE($F69,"E","")))</f>
        <v>8</v>
      </c>
      <c r="H69" s="55">
        <f t="shared" ref="H69:H87" si="8">(len($F69)-len(SUBSTITUTE($F69,"R","")))+(len($F69)-len(SUBSTITUTE($F69,"L","")))+(len($F69)-len(SUBSTITUTE($F69,"U","")))+(len($F69)-len(SUBSTITUTE($F69,"D","")))+(len($F69)-len(SUBSTITUTE($F69,"F","")))+(len($F69)-len(SUBSTITUTE($F69,"B","")))+(len($F69)-len(SUBSTITUTE($F69,"r","")))+(len($F69)-len(SUBSTITUTE($F69,"l","")))+(len($F69)-len(SUBSTITUTE($F69,"u","")))+(len($F69)-len(SUBSTITUTE($F69,"d","")))+(len($F69)-len(SUBSTITUTE($F69,"M","")))+(len($F69)-len(SUBSTITUTE($F69,"E","")))+(len($F69)-len(SUBSTITUTE($F69,"2","")))</f>
        <v>8</v>
      </c>
    </row>
    <row r="70" ht="13.5">
      <c r="A70" s="54"/>
      <c r="B70" s="5" t="s">
        <v>137</v>
      </c>
      <c r="C70" s="5" t="s">
        <v>135</v>
      </c>
      <c r="D70" s="55" t="str">
        <f>VLOOKUP($B70,Letters!$C$108:$D$131,2,FALSE) &amp; VLOOKUP($C70,Letters!$C$108:$D$131,2,FALSE)</f>
        <v>EC</v>
      </c>
      <c r="E70" s="61" t="s">
        <v>2498</v>
      </c>
      <c r="F70" s="5" t="s">
        <v>2499</v>
      </c>
      <c r="G70" s="55">
        <f t="shared" si="7"/>
        <v>8</v>
      </c>
      <c r="H70" s="55">
        <f t="shared" si="8"/>
        <v>10</v>
      </c>
    </row>
    <row r="71" ht="13.5">
      <c r="A71" s="60"/>
      <c r="B71" s="5" t="s">
        <v>137</v>
      </c>
      <c r="C71" s="5" t="s">
        <v>136</v>
      </c>
      <c r="D71" s="55" t="str">
        <f>VLOOKUP($B71,Letters!$C$108:$D$131,2,FALSE) &amp; VLOOKUP($C71,Letters!$C$108:$D$131,2,FALSE)</f>
        <v>ED</v>
      </c>
      <c r="E71" s="61" t="s">
        <v>2504</v>
      </c>
      <c r="F71" s="5" t="s">
        <v>2505</v>
      </c>
      <c r="G71" s="55">
        <f t="shared" si="7"/>
        <v>8</v>
      </c>
      <c r="H71" s="55">
        <f t="shared" si="8"/>
        <v>8</v>
      </c>
    </row>
    <row r="72" ht="13.5">
      <c r="A72" s="54"/>
      <c r="B72" s="5" t="s">
        <v>137</v>
      </c>
      <c r="C72" s="5" t="s">
        <v>141</v>
      </c>
      <c r="D72" s="55" t="str">
        <f>VLOOKUP($B72,Letters!$C$108:$D$131,2,FALSE) &amp; VLOOKUP($C72,Letters!$C$108:$D$131,2,FALSE)</f>
        <v>EI</v>
      </c>
      <c r="E72" s="61" t="s">
        <v>2510</v>
      </c>
      <c r="F72" s="5" t="s">
        <v>2511</v>
      </c>
      <c r="G72" s="55">
        <f t="shared" si="7"/>
        <v>9</v>
      </c>
      <c r="H72" s="55">
        <f t="shared" si="8"/>
        <v>9</v>
      </c>
    </row>
    <row r="73" ht="13.5">
      <c r="A73" s="54"/>
      <c r="B73" s="5" t="s">
        <v>137</v>
      </c>
      <c r="C73" s="5" t="s">
        <v>142</v>
      </c>
      <c r="D73" s="55" t="str">
        <f>VLOOKUP($B73,Letters!$C$108:$D$131,2,FALSE) &amp; VLOOKUP($C73,Letters!$C$108:$D$131,2,FALSE)</f>
        <v>EJ</v>
      </c>
      <c r="E73" s="61" t="s">
        <v>2516</v>
      </c>
      <c r="F73" s="5" t="s">
        <v>2517</v>
      </c>
      <c r="G73" s="55">
        <f t="shared" si="7"/>
        <v>10</v>
      </c>
      <c r="H73" s="55">
        <f t="shared" si="8"/>
        <v>10</v>
      </c>
    </row>
    <row r="74" ht="13.5">
      <c r="A74" s="60"/>
      <c r="B74" s="5" t="s">
        <v>137</v>
      </c>
      <c r="C74" s="5" t="s">
        <v>143</v>
      </c>
      <c r="D74" s="55" t="str">
        <f>VLOOKUP($B74,Letters!$C$108:$D$131,2,FALSE) &amp; VLOOKUP($C74,Letters!$C$108:$D$131,2,FALSE)</f>
        <v>EK</v>
      </c>
      <c r="E74" s="61" t="s">
        <v>2520</v>
      </c>
      <c r="F74" s="5" t="s">
        <v>2521</v>
      </c>
      <c r="G74" s="55">
        <f t="shared" si="7"/>
        <v>12</v>
      </c>
      <c r="H74" s="55">
        <f t="shared" si="8"/>
        <v>13</v>
      </c>
    </row>
    <row r="75" ht="13.5">
      <c r="A75" s="54"/>
      <c r="B75" s="5" t="s">
        <v>137</v>
      </c>
      <c r="C75" s="5" t="s">
        <v>144</v>
      </c>
      <c r="D75" s="55" t="str">
        <f>VLOOKUP($B75,Letters!$C$108:$D$131,2,FALSE) &amp; VLOOKUP($C75,Letters!$C$108:$D$131,2,FALSE)</f>
        <v>EL</v>
      </c>
      <c r="E75" s="61" t="s">
        <v>2524</v>
      </c>
      <c r="F75" s="5" t="s">
        <v>2525</v>
      </c>
      <c r="G75" s="55">
        <f t="shared" si="7"/>
        <v>9</v>
      </c>
      <c r="H75" s="55">
        <f t="shared" si="8"/>
        <v>9</v>
      </c>
    </row>
    <row r="76" ht="13.5">
      <c r="A76" s="54"/>
      <c r="B76" s="5" t="s">
        <v>137</v>
      </c>
      <c r="C76" s="5" t="s">
        <v>145</v>
      </c>
      <c r="D76" s="55" t="str">
        <f>VLOOKUP($B76,Letters!$C$108:$D$131,2,FALSE) &amp; VLOOKUP($C76,Letters!$C$108:$D$131,2,FALSE)</f>
        <v>EM</v>
      </c>
      <c r="E76" s="61" t="s">
        <v>2528</v>
      </c>
      <c r="F76" s="5" t="s">
        <v>2529</v>
      </c>
      <c r="G76" s="55">
        <f t="shared" si="7"/>
        <v>10</v>
      </c>
      <c r="H76" s="55">
        <f t="shared" si="8"/>
        <v>12</v>
      </c>
    </row>
    <row r="77" ht="13.5">
      <c r="A77" s="54"/>
      <c r="B77" s="5" t="s">
        <v>137</v>
      </c>
      <c r="C77" s="5" t="s">
        <v>146</v>
      </c>
      <c r="D77" s="55" t="str">
        <f>VLOOKUP($B77,Letters!$C$108:$D$131,2,FALSE) &amp; VLOOKUP($C77,Letters!$C$108:$D$131,2,FALSE)</f>
        <v>EN</v>
      </c>
      <c r="E77" s="61" t="s">
        <v>2533</v>
      </c>
      <c r="F77" s="5" t="s">
        <v>2535</v>
      </c>
      <c r="G77" s="55">
        <f t="shared" si="7"/>
        <v>12</v>
      </c>
      <c r="H77" s="55">
        <f t="shared" si="8"/>
        <v>14</v>
      </c>
    </row>
    <row r="78" ht="13.5">
      <c r="A78" s="54"/>
      <c r="B78" s="5" t="s">
        <v>137</v>
      </c>
      <c r="C78" s="5" t="s">
        <v>147</v>
      </c>
      <c r="D78" s="55" t="str">
        <f>VLOOKUP($B78,Letters!$C$108:$D$131,2,FALSE) &amp; VLOOKUP($C78,Letters!$C$108:$D$131,2,FALSE)</f>
        <v>EO</v>
      </c>
      <c r="E78" s="61" t="s">
        <v>2538</v>
      </c>
      <c r="F78" s="5" t="s">
        <v>2539</v>
      </c>
      <c r="G78" s="55">
        <f t="shared" si="7"/>
        <v>12</v>
      </c>
      <c r="H78" s="55">
        <f t="shared" si="8"/>
        <v>16</v>
      </c>
    </row>
    <row r="79" ht="13.5">
      <c r="A79" s="54"/>
      <c r="B79" s="5" t="s">
        <v>137</v>
      </c>
      <c r="C79" s="5" t="s">
        <v>148</v>
      </c>
      <c r="D79" s="55" t="str">
        <f>VLOOKUP($B79,Letters!$C$108:$D$131,2,FALSE) &amp; VLOOKUP($C79,Letters!$C$108:$D$131,2,FALSE)</f>
        <v>EP</v>
      </c>
      <c r="E79" s="61" t="s">
        <v>2546</v>
      </c>
      <c r="F79" s="5" t="s">
        <v>2547</v>
      </c>
      <c r="G79" s="55">
        <f t="shared" si="7"/>
        <v>12</v>
      </c>
      <c r="H79" s="55">
        <f t="shared" si="8"/>
        <v>14</v>
      </c>
    </row>
    <row r="80" ht="13.5">
      <c r="A80" s="54"/>
      <c r="B80" s="5" t="s">
        <v>137</v>
      </c>
      <c r="C80" s="5" t="s">
        <v>149</v>
      </c>
      <c r="D80" s="55" t="str">
        <f>VLOOKUP($B80,Letters!$C$108:$D$131,2,FALSE) &amp; VLOOKUP($C80,Letters!$C$108:$D$131,2,FALSE)</f>
        <v>EA</v>
      </c>
      <c r="E80" s="61" t="s">
        <v>2552</v>
      </c>
      <c r="F80" s="5" t="s">
        <v>2553</v>
      </c>
      <c r="G80" s="55">
        <f t="shared" si="7"/>
        <v>9</v>
      </c>
      <c r="H80" s="55">
        <f t="shared" si="8"/>
        <v>9</v>
      </c>
    </row>
    <row r="81" ht="13.5">
      <c r="A81" s="54"/>
      <c r="B81" s="5" t="s">
        <v>137</v>
      </c>
      <c r="C81" s="5" t="s">
        <v>150</v>
      </c>
      <c r="D81" s="55" t="str">
        <f>VLOOKUP($B81,Letters!$C$108:$D$131,2,FALSE) &amp; VLOOKUP($C81,Letters!$C$108:$D$131,2,FALSE)</f>
        <v>ER</v>
      </c>
      <c r="E81" s="61" t="s">
        <v>2558</v>
      </c>
      <c r="F81" s="5" t="s">
        <v>2559</v>
      </c>
      <c r="G81" s="55">
        <f t="shared" si="7"/>
        <v>9</v>
      </c>
      <c r="H81" s="55">
        <f t="shared" si="8"/>
        <v>9</v>
      </c>
    </row>
    <row r="82" ht="13.5">
      <c r="A82" s="60"/>
      <c r="B82" s="5" t="s">
        <v>137</v>
      </c>
      <c r="C82" s="5" t="s">
        <v>151</v>
      </c>
      <c r="D82" s="55" t="str">
        <f>VLOOKUP($B82,Letters!$C$108:$D$131,2,FALSE) &amp; VLOOKUP($C82,Letters!$C$108:$D$131,2,FALSE)</f>
        <v>ES</v>
      </c>
      <c r="E82" s="61" t="s">
        <v>2562</v>
      </c>
      <c r="F82" s="5" t="s">
        <v>2563</v>
      </c>
      <c r="G82" s="55">
        <f t="shared" si="7"/>
        <v>11</v>
      </c>
      <c r="H82" s="55">
        <f t="shared" si="8"/>
        <v>11</v>
      </c>
    </row>
    <row r="83" ht="13.5">
      <c r="A83" s="60"/>
      <c r="B83" s="5" t="s">
        <v>137</v>
      </c>
      <c r="C83" s="5" t="s">
        <v>152</v>
      </c>
      <c r="D83" s="55" t="str">
        <f>VLOOKUP($B83,Letters!$C$108:$D$131,2,FALSE) &amp; VLOOKUP($C83,Letters!$C$108:$D$131,2,FALSE)</f>
        <v>ET</v>
      </c>
      <c r="E83" s="61" t="s">
        <v>2570</v>
      </c>
      <c r="F83" s="5" t="s">
        <v>2571</v>
      </c>
      <c r="G83" s="55">
        <f t="shared" si="7"/>
        <v>10</v>
      </c>
      <c r="H83" s="55">
        <f t="shared" si="8"/>
        <v>10</v>
      </c>
    </row>
    <row r="84" ht="13.5">
      <c r="A84" s="54"/>
      <c r="B84" s="5" t="s">
        <v>137</v>
      </c>
      <c r="C84" s="5" t="s">
        <v>153</v>
      </c>
      <c r="D84" s="55" t="str">
        <f>VLOOKUP($B84,Letters!$C$108:$D$131,2,FALSE) &amp; VLOOKUP($C84,Letters!$C$108:$D$131,2,FALSE)</f>
        <v>EU</v>
      </c>
      <c r="E84" s="61" t="s">
        <v>2572</v>
      </c>
      <c r="F84" s="5" t="s">
        <v>2573</v>
      </c>
      <c r="G84" s="55">
        <f t="shared" si="7"/>
        <v>11</v>
      </c>
      <c r="H84" s="55">
        <f t="shared" si="8"/>
        <v>12</v>
      </c>
    </row>
    <row r="85" ht="13.5">
      <c r="A85" s="54"/>
      <c r="B85" s="5" t="s">
        <v>137</v>
      </c>
      <c r="C85" s="5" t="s">
        <v>154</v>
      </c>
      <c r="D85" s="55" t="str">
        <f>VLOOKUP($B85,Letters!$C$108:$D$131,2,FALSE) &amp; VLOOKUP($C85,Letters!$C$108:$D$131,2,FALSE)</f>
        <v>EV</v>
      </c>
      <c r="E85" s="61" t="s">
        <v>2576</v>
      </c>
      <c r="F85" s="5" t="s">
        <v>2577</v>
      </c>
      <c r="G85" s="55">
        <f t="shared" si="7"/>
        <v>10</v>
      </c>
      <c r="H85" s="55">
        <f t="shared" si="8"/>
        <v>12</v>
      </c>
    </row>
    <row r="86" ht="13.5">
      <c r="A86" s="54"/>
      <c r="B86" s="5" t="s">
        <v>137</v>
      </c>
      <c r="C86" s="5" t="s">
        <v>155</v>
      </c>
      <c r="D86" s="55" t="str">
        <f>VLOOKUP($B86,Letters!$C$108:$D$131,2,FALSE) &amp; VLOOKUP($C86,Letters!$C$108:$D$131,2,FALSE)</f>
        <v>EW</v>
      </c>
      <c r="E86" s="61" t="s">
        <v>2582</v>
      </c>
      <c r="F86" s="5" t="s">
        <v>2583</v>
      </c>
      <c r="G86" s="55">
        <f t="shared" si="7"/>
        <v>11</v>
      </c>
      <c r="H86" s="55">
        <f t="shared" si="8"/>
        <v>12</v>
      </c>
    </row>
    <row r="87" ht="13.5">
      <c r="A87" s="54"/>
      <c r="B87" s="5" t="s">
        <v>137</v>
      </c>
      <c r="C87" s="5" t="s">
        <v>156</v>
      </c>
      <c r="D87" s="55" t="str">
        <f>VLOOKUP($B87,Letters!$C$108:$D$131,2,FALSE) &amp; VLOOKUP($C87,Letters!$C$108:$D$131,2,FALSE)</f>
        <v>EX</v>
      </c>
      <c r="E87" s="61" t="s">
        <v>2586</v>
      </c>
      <c r="F87" s="5" t="s">
        <v>2587</v>
      </c>
      <c r="G87" s="55">
        <f t="shared" si="7"/>
        <v>10</v>
      </c>
      <c r="H87" s="55">
        <f t="shared" si="8"/>
        <v>11</v>
      </c>
    </row>
    <row r="88">
      <c r="A88" s="54"/>
      <c r="B88" s="5"/>
      <c r="C88" s="5"/>
      <c r="D88" s="55"/>
      <c r="E88" s="5"/>
      <c r="F88" s="5"/>
      <c r="G88" s="55"/>
      <c r="H88" s="55"/>
    </row>
    <row r="89" ht="13.5">
      <c r="A89" s="60"/>
      <c r="B89" s="5" t="s">
        <v>138</v>
      </c>
      <c r="C89" s="5" t="s">
        <v>134</v>
      </c>
      <c r="D89" s="55" t="str">
        <f>VLOOKUP($B89,Letters!$C$108:$D$131,2,FALSE) &amp; VLOOKUP($C89,Letters!$C$108:$D$131,2,FALSE)</f>
        <v>FB</v>
      </c>
      <c r="E89" s="61" t="s">
        <v>2592</v>
      </c>
      <c r="F89" s="5" t="s">
        <v>2593</v>
      </c>
      <c r="G89" s="55">
        <f t="shared" ref="G89:G107" si="9">(len($F89)-len(SUBSTITUTE($F89,"R","")))+(len($F89)-len(SUBSTITUTE($F89,"L","")))+(len($F89)-len(SUBSTITUTE($F89,"U","")))+(len($F89)-len(SUBSTITUTE($F89,"D","")))+(len($F89)-len(SUBSTITUTE($F89,"F","")))+(len($F89)-len(SUBSTITUTE($F89,"B","")))+(len($F89)-len(SUBSTITUTE($F89,"r","")))+(len($F89)-len(SUBSTITUTE($F89,"l","")))+(len($F89)-len(SUBSTITUTE($F89,"u","")))+(len($F89)-len(SUBSTITUTE($F89,"d","")))+(len($F89)-len(SUBSTITUTE($F89,"M","")))+(len($F89)-len(SUBSTITUTE($F89,"E","")))</f>
        <v>8</v>
      </c>
      <c r="H89" s="55">
        <f t="shared" ref="H89:H107" si="10">(len($F89)-len(SUBSTITUTE($F89,"R","")))+(len($F89)-len(SUBSTITUTE($F89,"L","")))+(len($F89)-len(SUBSTITUTE($F89,"U","")))+(len($F89)-len(SUBSTITUTE($F89,"D","")))+(len($F89)-len(SUBSTITUTE($F89,"F","")))+(len($F89)-len(SUBSTITUTE($F89,"B","")))+(len($F89)-len(SUBSTITUTE($F89,"r","")))+(len($F89)-len(SUBSTITUTE($F89,"l","")))+(len($F89)-len(SUBSTITUTE($F89,"u","")))+(len($F89)-len(SUBSTITUTE($F89,"d","")))+(len($F89)-len(SUBSTITUTE($F89,"M","")))+(len($F89)-len(SUBSTITUTE($F89,"E","")))+(len($F89)-len(SUBSTITUTE($F89,"2","")))</f>
        <v>8</v>
      </c>
    </row>
    <row r="90" ht="13.5">
      <c r="A90" s="54"/>
      <c r="B90" s="5" t="s">
        <v>138</v>
      </c>
      <c r="C90" s="5" t="s">
        <v>135</v>
      </c>
      <c r="D90" s="55" t="str">
        <f>VLOOKUP($B90,Letters!$C$108:$D$131,2,FALSE) &amp; VLOOKUP($C90,Letters!$C$108:$D$131,2,FALSE)</f>
        <v>FC</v>
      </c>
      <c r="E90" s="61" t="s">
        <v>2610</v>
      </c>
      <c r="F90" s="5" t="s">
        <v>2611</v>
      </c>
      <c r="G90" s="55">
        <f t="shared" si="9"/>
        <v>9</v>
      </c>
      <c r="H90" s="55">
        <f t="shared" si="10"/>
        <v>10</v>
      </c>
    </row>
    <row r="91" ht="13.5">
      <c r="A91" s="60"/>
      <c r="B91" s="5" t="s">
        <v>138</v>
      </c>
      <c r="C91" s="5" t="s">
        <v>136</v>
      </c>
      <c r="D91" s="55" t="str">
        <f>VLOOKUP($B91,Letters!$C$108:$D$131,2,FALSE) &amp; VLOOKUP($C91,Letters!$C$108:$D$131,2,FALSE)</f>
        <v>FD</v>
      </c>
      <c r="E91" s="61" t="s">
        <v>2616</v>
      </c>
      <c r="F91" s="5" t="s">
        <v>2617</v>
      </c>
      <c r="G91" s="55">
        <f t="shared" si="9"/>
        <v>8</v>
      </c>
      <c r="H91" s="55">
        <f t="shared" si="10"/>
        <v>8</v>
      </c>
    </row>
    <row r="92" ht="13.5">
      <c r="A92" s="54"/>
      <c r="B92" s="5" t="s">
        <v>138</v>
      </c>
      <c r="C92" s="5" t="s">
        <v>141</v>
      </c>
      <c r="D92" s="55" t="str">
        <f>VLOOKUP($B92,Letters!$C$108:$D$131,2,FALSE) &amp; VLOOKUP($C92,Letters!$C$108:$D$131,2,FALSE)</f>
        <v>FI</v>
      </c>
      <c r="E92" s="61" t="s">
        <v>2626</v>
      </c>
      <c r="F92" s="5" t="s">
        <v>2628</v>
      </c>
      <c r="G92" s="55">
        <f t="shared" si="9"/>
        <v>10</v>
      </c>
      <c r="H92" s="55">
        <f t="shared" si="10"/>
        <v>10</v>
      </c>
    </row>
    <row r="93" ht="13.5">
      <c r="A93" s="54"/>
      <c r="B93" s="5" t="s">
        <v>138</v>
      </c>
      <c r="C93" s="5" t="s">
        <v>142</v>
      </c>
      <c r="D93" s="55" t="str">
        <f>VLOOKUP($B93,Letters!$C$108:$D$131,2,FALSE) &amp; VLOOKUP($C93,Letters!$C$108:$D$131,2,FALSE)</f>
        <v>FJ</v>
      </c>
      <c r="E93" s="61" t="s">
        <v>2632</v>
      </c>
      <c r="F93" s="5" t="s">
        <v>2633</v>
      </c>
      <c r="G93" s="55">
        <f t="shared" si="9"/>
        <v>8</v>
      </c>
      <c r="H93" s="55">
        <f t="shared" si="10"/>
        <v>8</v>
      </c>
    </row>
    <row r="94" ht="13.5">
      <c r="A94" s="60"/>
      <c r="B94" s="5" t="s">
        <v>138</v>
      </c>
      <c r="C94" s="5" t="s">
        <v>143</v>
      </c>
      <c r="D94" s="55" t="str">
        <f>VLOOKUP($B94,Letters!$C$108:$D$131,2,FALSE) &amp; VLOOKUP($C94,Letters!$C$108:$D$131,2,FALSE)</f>
        <v>FK</v>
      </c>
      <c r="E94" s="61" t="s">
        <v>2638</v>
      </c>
      <c r="F94" s="5" t="s">
        <v>2639</v>
      </c>
      <c r="G94" s="55">
        <f t="shared" si="9"/>
        <v>10</v>
      </c>
      <c r="H94" s="55">
        <f t="shared" si="10"/>
        <v>10</v>
      </c>
    </row>
    <row r="95" ht="13.5">
      <c r="A95" s="60"/>
      <c r="B95" s="5" t="s">
        <v>138</v>
      </c>
      <c r="C95" s="5" t="s">
        <v>144</v>
      </c>
      <c r="D95" s="55" t="str">
        <f>VLOOKUP($B95,Letters!$C$108:$D$131,2,FALSE) &amp; VLOOKUP($C95,Letters!$C$108:$D$131,2,FALSE)</f>
        <v>FL</v>
      </c>
      <c r="E95" s="61" t="s">
        <v>2644</v>
      </c>
      <c r="F95" s="5" t="s">
        <v>2645</v>
      </c>
      <c r="G95" s="55">
        <f t="shared" si="9"/>
        <v>10</v>
      </c>
      <c r="H95" s="55">
        <f t="shared" si="10"/>
        <v>12</v>
      </c>
    </row>
    <row r="96" ht="13.5">
      <c r="A96" s="54"/>
      <c r="B96" s="5" t="s">
        <v>138</v>
      </c>
      <c r="C96" s="5" t="s">
        <v>145</v>
      </c>
      <c r="D96" s="55" t="str">
        <f>VLOOKUP($B96,Letters!$C$108:$D$131,2,FALSE) &amp; VLOOKUP($C96,Letters!$C$108:$D$131,2,FALSE)</f>
        <v>FM</v>
      </c>
      <c r="E96" s="61" t="s">
        <v>2650</v>
      </c>
      <c r="F96" s="5" t="s">
        <v>2651</v>
      </c>
      <c r="G96" s="55">
        <f t="shared" si="9"/>
        <v>11</v>
      </c>
      <c r="H96" s="55">
        <f t="shared" si="10"/>
        <v>12</v>
      </c>
    </row>
    <row r="97" ht="13.5">
      <c r="A97" s="54"/>
      <c r="B97" s="5" t="s">
        <v>138</v>
      </c>
      <c r="C97" s="5" t="s">
        <v>146</v>
      </c>
      <c r="D97" s="55" t="str">
        <f>VLOOKUP($B97,Letters!$C$108:$D$131,2,FALSE) &amp; VLOOKUP($C97,Letters!$C$108:$D$131,2,FALSE)</f>
        <v>FN</v>
      </c>
      <c r="E97" s="61" t="s">
        <v>2656</v>
      </c>
      <c r="F97" s="67" t="s">
        <v>2657</v>
      </c>
      <c r="G97" s="55">
        <f t="shared" si="9"/>
        <v>9</v>
      </c>
      <c r="H97" s="55">
        <f t="shared" si="10"/>
        <v>10</v>
      </c>
    </row>
    <row r="98" ht="13.5">
      <c r="A98" s="54"/>
      <c r="B98" s="5" t="s">
        <v>138</v>
      </c>
      <c r="C98" s="5" t="s">
        <v>147</v>
      </c>
      <c r="D98" s="55" t="str">
        <f>VLOOKUP($B98,Letters!$C$108:$D$131,2,FALSE) &amp; VLOOKUP($C98,Letters!$C$108:$D$131,2,FALSE)</f>
        <v>FO</v>
      </c>
      <c r="E98" s="61" t="s">
        <v>2662</v>
      </c>
      <c r="F98" s="5" t="s">
        <v>2663</v>
      </c>
      <c r="G98" s="55">
        <f t="shared" si="9"/>
        <v>11</v>
      </c>
      <c r="H98" s="55">
        <f t="shared" si="10"/>
        <v>12</v>
      </c>
    </row>
    <row r="99" ht="13.5">
      <c r="A99" s="54"/>
      <c r="B99" s="5" t="s">
        <v>138</v>
      </c>
      <c r="C99" s="5" t="s">
        <v>148</v>
      </c>
      <c r="D99" s="55" t="str">
        <f>VLOOKUP($B99,Letters!$C$108:$D$131,2,FALSE) &amp; VLOOKUP($C99,Letters!$C$108:$D$131,2,FALSE)</f>
        <v>FP</v>
      </c>
      <c r="E99" s="61" t="s">
        <v>2666</v>
      </c>
      <c r="F99" s="5" t="s">
        <v>2667</v>
      </c>
      <c r="G99" s="55">
        <f t="shared" si="9"/>
        <v>11</v>
      </c>
      <c r="H99" s="55">
        <f t="shared" si="10"/>
        <v>14</v>
      </c>
    </row>
    <row r="100" ht="13.5">
      <c r="A100" s="54"/>
      <c r="B100" s="5" t="s">
        <v>138</v>
      </c>
      <c r="C100" s="5" t="s">
        <v>149</v>
      </c>
      <c r="D100" s="55" t="str">
        <f>VLOOKUP($B100,Letters!$C$108:$D$131,2,FALSE) &amp; VLOOKUP($C100,Letters!$C$108:$D$131,2,FALSE)</f>
        <v>FA</v>
      </c>
      <c r="E100" s="61" t="s">
        <v>2668</v>
      </c>
      <c r="F100" s="5" t="s">
        <v>2669</v>
      </c>
      <c r="G100" s="55">
        <f t="shared" si="9"/>
        <v>12</v>
      </c>
      <c r="H100" s="55">
        <f t="shared" si="10"/>
        <v>12</v>
      </c>
    </row>
    <row r="101" ht="13.5">
      <c r="A101" s="60"/>
      <c r="B101" s="5" t="s">
        <v>138</v>
      </c>
      <c r="C101" s="5" t="s">
        <v>150</v>
      </c>
      <c r="D101" s="55" t="str">
        <f>VLOOKUP($B101,Letters!$C$108:$D$131,2,FALSE) &amp; VLOOKUP($C101,Letters!$C$108:$D$131,2,FALSE)</f>
        <v>FR</v>
      </c>
      <c r="E101" s="61" t="s">
        <v>2670</v>
      </c>
      <c r="F101" s="5" t="s">
        <v>2671</v>
      </c>
      <c r="G101" s="55">
        <f t="shared" si="9"/>
        <v>8</v>
      </c>
      <c r="H101" s="55">
        <f t="shared" si="10"/>
        <v>8</v>
      </c>
    </row>
    <row r="102" ht="13.5">
      <c r="A102" s="54"/>
      <c r="B102" s="5" t="s">
        <v>138</v>
      </c>
      <c r="C102" s="5" t="s">
        <v>151</v>
      </c>
      <c r="D102" s="55" t="str">
        <f>VLOOKUP($B102,Letters!$C$108:$D$131,2,FALSE) &amp; VLOOKUP($C102,Letters!$C$108:$D$131,2,FALSE)</f>
        <v>FS</v>
      </c>
      <c r="E102" s="61" t="s">
        <v>2678</v>
      </c>
      <c r="F102" s="5" t="s">
        <v>2679</v>
      </c>
      <c r="G102" s="55">
        <f t="shared" si="9"/>
        <v>12</v>
      </c>
      <c r="H102" s="55">
        <f t="shared" si="10"/>
        <v>12</v>
      </c>
    </row>
    <row r="103" ht="13.5">
      <c r="A103" s="54"/>
      <c r="B103" s="5" t="s">
        <v>138</v>
      </c>
      <c r="C103" s="5" t="s">
        <v>152</v>
      </c>
      <c r="D103" s="55" t="str">
        <f>VLOOKUP($B103,Letters!$C$108:$D$131,2,FALSE) &amp; VLOOKUP($C103,Letters!$C$108:$D$131,2,FALSE)</f>
        <v>FT</v>
      </c>
      <c r="E103" s="61" t="s">
        <v>2682</v>
      </c>
      <c r="F103" s="5" t="s">
        <v>2683</v>
      </c>
      <c r="G103" s="55">
        <f t="shared" si="9"/>
        <v>9</v>
      </c>
      <c r="H103" s="55">
        <f t="shared" si="10"/>
        <v>10</v>
      </c>
    </row>
    <row r="104" ht="13.5">
      <c r="A104" s="54"/>
      <c r="B104" s="5" t="s">
        <v>138</v>
      </c>
      <c r="C104" s="5" t="s">
        <v>153</v>
      </c>
      <c r="D104" s="55" t="str">
        <f>VLOOKUP($B104,Letters!$C$108:$D$131,2,FALSE) &amp; VLOOKUP($C104,Letters!$C$108:$D$131,2,FALSE)</f>
        <v>FU</v>
      </c>
      <c r="E104" s="61" t="s">
        <v>2688</v>
      </c>
      <c r="F104" s="5" t="s">
        <v>2689</v>
      </c>
      <c r="G104" s="55">
        <f t="shared" si="9"/>
        <v>11</v>
      </c>
      <c r="H104" s="55">
        <f t="shared" si="10"/>
        <v>12</v>
      </c>
    </row>
    <row r="105" ht="13.5">
      <c r="A105" s="54"/>
      <c r="B105" s="5" t="s">
        <v>138</v>
      </c>
      <c r="C105" s="5" t="s">
        <v>154</v>
      </c>
      <c r="D105" s="55" t="str">
        <f>VLOOKUP($B105,Letters!$C$108:$D$131,2,FALSE) &amp; VLOOKUP($C105,Letters!$C$108:$D$131,2,FALSE)</f>
        <v>FV</v>
      </c>
      <c r="E105" s="61" t="s">
        <v>2694</v>
      </c>
      <c r="F105" s="5" t="s">
        <v>2695</v>
      </c>
      <c r="G105" s="55">
        <f t="shared" si="9"/>
        <v>9</v>
      </c>
      <c r="H105" s="55">
        <f t="shared" si="10"/>
        <v>10</v>
      </c>
    </row>
    <row r="106" ht="13.5">
      <c r="A106" s="54"/>
      <c r="B106" s="5" t="s">
        <v>138</v>
      </c>
      <c r="C106" s="5" t="s">
        <v>155</v>
      </c>
      <c r="D106" s="55" t="str">
        <f>VLOOKUP($B106,Letters!$C$108:$D$131,2,FALSE) &amp; VLOOKUP($C106,Letters!$C$108:$D$131,2,FALSE)</f>
        <v>FW</v>
      </c>
      <c r="E106" s="61" t="s">
        <v>2700</v>
      </c>
      <c r="F106" s="5" t="s">
        <v>2701</v>
      </c>
      <c r="G106" s="55">
        <f t="shared" si="9"/>
        <v>11</v>
      </c>
      <c r="H106" s="55">
        <f t="shared" si="10"/>
        <v>12</v>
      </c>
    </row>
    <row r="107" ht="13.5">
      <c r="A107" s="54"/>
      <c r="B107" s="5" t="s">
        <v>138</v>
      </c>
      <c r="C107" s="5" t="s">
        <v>156</v>
      </c>
      <c r="D107" s="55" t="str">
        <f>VLOOKUP($B107,Letters!$C$108:$D$131,2,FALSE) &amp; VLOOKUP($C107,Letters!$C$108:$D$131,2,FALSE)</f>
        <v>FX</v>
      </c>
      <c r="E107" s="61" t="s">
        <v>2706</v>
      </c>
      <c r="F107" s="5" t="s">
        <v>2707</v>
      </c>
      <c r="G107" s="55">
        <f t="shared" si="9"/>
        <v>9</v>
      </c>
      <c r="H107" s="55">
        <f t="shared" si="10"/>
        <v>10</v>
      </c>
    </row>
    <row r="108">
      <c r="A108" s="54"/>
      <c r="B108" s="5"/>
      <c r="C108" s="5"/>
      <c r="D108" s="55"/>
      <c r="E108" s="5"/>
      <c r="F108" s="5"/>
      <c r="G108" s="55"/>
      <c r="H108" s="55"/>
    </row>
    <row r="109" ht="13.5">
      <c r="A109" s="60"/>
      <c r="B109" s="5" t="s">
        <v>139</v>
      </c>
      <c r="C109" s="5" t="s">
        <v>134</v>
      </c>
      <c r="D109" s="55" t="str">
        <f>VLOOKUP($B109,Letters!$C$108:$D$131,2,FALSE) &amp; VLOOKUP($C109,Letters!$C$108:$D$131,2,FALSE)</f>
        <v>GB</v>
      </c>
      <c r="E109" s="61" t="s">
        <v>2714</v>
      </c>
      <c r="F109" s="5" t="s">
        <v>2715</v>
      </c>
      <c r="G109" s="55">
        <f t="shared" ref="G109:G127" si="11">(len($F109)-len(SUBSTITUTE($F109,"R","")))+(len($F109)-len(SUBSTITUTE($F109,"L","")))+(len($F109)-len(SUBSTITUTE($F109,"U","")))+(len($F109)-len(SUBSTITUTE($F109,"D","")))+(len($F109)-len(SUBSTITUTE($F109,"F","")))+(len($F109)-len(SUBSTITUTE($F109,"B","")))+(len($F109)-len(SUBSTITUTE($F109,"r","")))+(len($F109)-len(SUBSTITUTE($F109,"l","")))+(len($F109)-len(SUBSTITUTE($F109,"u","")))+(len($F109)-len(SUBSTITUTE($F109,"d","")))+(len($F109)-len(SUBSTITUTE($F109,"M","")))+(len($F109)-len(SUBSTITUTE($F109,"E","")))</f>
        <v>8</v>
      </c>
      <c r="H109" s="55">
        <f t="shared" ref="H109:H127" si="12">(len($F109)-len(SUBSTITUTE($F109,"R","")))+(len($F109)-len(SUBSTITUTE($F109,"L","")))+(len($F109)-len(SUBSTITUTE($F109,"U","")))+(len($F109)-len(SUBSTITUTE($F109,"D","")))+(len($F109)-len(SUBSTITUTE($F109,"F","")))+(len($F109)-len(SUBSTITUTE($F109,"B","")))+(len($F109)-len(SUBSTITUTE($F109,"r","")))+(len($F109)-len(SUBSTITUTE($F109,"l","")))+(len($F109)-len(SUBSTITUTE($F109,"u","")))+(len($F109)-len(SUBSTITUTE($F109,"d","")))+(len($F109)-len(SUBSTITUTE($F109,"M","")))+(len($F109)-len(SUBSTITUTE($F109,"E","")))+(len($F109)-len(SUBSTITUTE($F109,"2","")))</f>
        <v>8</v>
      </c>
    </row>
    <row r="110" ht="13.5">
      <c r="A110" s="54"/>
      <c r="B110" s="5" t="s">
        <v>139</v>
      </c>
      <c r="C110" s="5" t="s">
        <v>135</v>
      </c>
      <c r="D110" s="55" t="str">
        <f>VLOOKUP($B110,Letters!$C$108:$D$131,2,FALSE) &amp; VLOOKUP($C110,Letters!$C$108:$D$131,2,FALSE)</f>
        <v>GC</v>
      </c>
      <c r="E110" s="61" t="s">
        <v>2728</v>
      </c>
      <c r="F110" s="5" t="s">
        <v>2729</v>
      </c>
      <c r="G110" s="55">
        <f t="shared" si="11"/>
        <v>8</v>
      </c>
      <c r="H110" s="55">
        <f t="shared" si="12"/>
        <v>10</v>
      </c>
    </row>
    <row r="111" ht="13.5">
      <c r="A111" s="60"/>
      <c r="B111" s="5" t="s">
        <v>139</v>
      </c>
      <c r="C111" s="5" t="s">
        <v>136</v>
      </c>
      <c r="D111" s="55" t="str">
        <f>VLOOKUP($B111,Letters!$C$108:$D$131,2,FALSE) &amp; VLOOKUP($C111,Letters!$C$108:$D$131,2,FALSE)</f>
        <v>GD</v>
      </c>
      <c r="E111" s="61" t="s">
        <v>2732</v>
      </c>
      <c r="F111" s="5" t="s">
        <v>2734</v>
      </c>
      <c r="G111" s="55">
        <f t="shared" si="11"/>
        <v>8</v>
      </c>
      <c r="H111" s="55">
        <f t="shared" si="12"/>
        <v>8</v>
      </c>
    </row>
    <row r="112" ht="13.5">
      <c r="A112" s="54"/>
      <c r="B112" s="5" t="s">
        <v>139</v>
      </c>
      <c r="C112" s="5" t="s">
        <v>141</v>
      </c>
      <c r="D112" s="55" t="str">
        <f>VLOOKUP($B112,Letters!$C$108:$D$131,2,FALSE) &amp; VLOOKUP($C112,Letters!$C$108:$D$131,2,FALSE)</f>
        <v>GI</v>
      </c>
      <c r="E112" s="61" t="s">
        <v>2738</v>
      </c>
      <c r="F112" s="5"/>
      <c r="G112" s="55">
        <f t="shared" si="11"/>
        <v>0</v>
      </c>
      <c r="H112" s="55">
        <f t="shared" si="12"/>
        <v>0</v>
      </c>
    </row>
    <row r="113" ht="13.5">
      <c r="A113" s="54"/>
      <c r="B113" s="5" t="s">
        <v>139</v>
      </c>
      <c r="C113" s="5" t="s">
        <v>142</v>
      </c>
      <c r="D113" s="55" t="str">
        <f>VLOOKUP($B113,Letters!$C$108:$D$131,2,FALSE) &amp; VLOOKUP($C113,Letters!$C$108:$D$131,2,FALSE)</f>
        <v>GJ</v>
      </c>
      <c r="E113" s="61" t="s">
        <v>2743</v>
      </c>
      <c r="F113" s="5"/>
      <c r="G113" s="55">
        <f t="shared" si="11"/>
        <v>0</v>
      </c>
      <c r="H113" s="55">
        <f t="shared" si="12"/>
        <v>0</v>
      </c>
    </row>
    <row r="114" ht="13.5">
      <c r="A114" s="60"/>
      <c r="B114" s="5" t="s">
        <v>139</v>
      </c>
      <c r="C114" s="5" t="s">
        <v>143</v>
      </c>
      <c r="D114" s="55" t="str">
        <f>VLOOKUP($B114,Letters!$C$108:$D$131,2,FALSE) &amp; VLOOKUP($C114,Letters!$C$108:$D$131,2,FALSE)</f>
        <v>GK</v>
      </c>
      <c r="E114" s="61" t="s">
        <v>2748</v>
      </c>
      <c r="F114" s="5"/>
      <c r="G114" s="55">
        <f t="shared" si="11"/>
        <v>0</v>
      </c>
      <c r="H114" s="55">
        <f t="shared" si="12"/>
        <v>0</v>
      </c>
    </row>
    <row r="115" ht="13.5">
      <c r="A115" s="54"/>
      <c r="B115" s="5" t="s">
        <v>139</v>
      </c>
      <c r="C115" s="5" t="s">
        <v>144</v>
      </c>
      <c r="D115" s="55" t="str">
        <f>VLOOKUP($B115,Letters!$C$108:$D$131,2,FALSE) &amp; VLOOKUP($C115,Letters!$C$108:$D$131,2,FALSE)</f>
        <v>GL</v>
      </c>
      <c r="E115" s="61" t="s">
        <v>2753</v>
      </c>
      <c r="F115" s="5"/>
      <c r="G115" s="55">
        <f t="shared" si="11"/>
        <v>0</v>
      </c>
      <c r="H115" s="55">
        <f t="shared" si="12"/>
        <v>0</v>
      </c>
    </row>
    <row r="116" ht="13.5">
      <c r="A116" s="54"/>
      <c r="B116" s="5" t="s">
        <v>139</v>
      </c>
      <c r="C116" s="5" t="s">
        <v>145</v>
      </c>
      <c r="D116" s="55" t="str">
        <f>VLOOKUP($B116,Letters!$C$108:$D$131,2,FALSE) &amp; VLOOKUP($C116,Letters!$C$108:$D$131,2,FALSE)</f>
        <v>GM</v>
      </c>
      <c r="E116" s="61" t="s">
        <v>2762</v>
      </c>
      <c r="F116" s="5"/>
      <c r="G116" s="55">
        <f t="shared" si="11"/>
        <v>0</v>
      </c>
      <c r="H116" s="55">
        <f t="shared" si="12"/>
        <v>0</v>
      </c>
    </row>
    <row r="117" ht="13.5">
      <c r="A117" s="54"/>
      <c r="B117" s="5" t="s">
        <v>139</v>
      </c>
      <c r="C117" s="5" t="s">
        <v>146</v>
      </c>
      <c r="D117" s="55" t="str">
        <f>VLOOKUP($B117,Letters!$C$108:$D$131,2,FALSE) &amp; VLOOKUP($C117,Letters!$C$108:$D$131,2,FALSE)</f>
        <v>GN</v>
      </c>
      <c r="E117" s="61" t="s">
        <v>2765</v>
      </c>
      <c r="F117" s="5"/>
      <c r="G117" s="55">
        <f t="shared" si="11"/>
        <v>0</v>
      </c>
      <c r="H117" s="55">
        <f t="shared" si="12"/>
        <v>0</v>
      </c>
    </row>
    <row r="118" ht="13.5">
      <c r="A118" s="54"/>
      <c r="B118" s="5" t="s">
        <v>139</v>
      </c>
      <c r="C118" s="5" t="s">
        <v>147</v>
      </c>
      <c r="D118" s="55" t="str">
        <f>VLOOKUP($B118,Letters!$C$108:$D$131,2,FALSE) &amp; VLOOKUP($C118,Letters!$C$108:$D$131,2,FALSE)</f>
        <v>GO</v>
      </c>
      <c r="E118" s="61" t="s">
        <v>2768</v>
      </c>
      <c r="F118" s="5"/>
      <c r="G118" s="55">
        <f t="shared" si="11"/>
        <v>0</v>
      </c>
      <c r="H118" s="55">
        <f t="shared" si="12"/>
        <v>0</v>
      </c>
    </row>
    <row r="119" ht="13.5">
      <c r="A119" s="54"/>
      <c r="B119" s="5" t="s">
        <v>139</v>
      </c>
      <c r="C119" s="5" t="s">
        <v>148</v>
      </c>
      <c r="D119" s="55" t="str">
        <f>VLOOKUP($B119,Letters!$C$108:$D$131,2,FALSE) &amp; VLOOKUP($C119,Letters!$C$108:$D$131,2,FALSE)</f>
        <v>GP</v>
      </c>
      <c r="E119" s="61" t="s">
        <v>2771</v>
      </c>
      <c r="F119" s="5"/>
      <c r="G119" s="55">
        <f t="shared" si="11"/>
        <v>0</v>
      </c>
      <c r="H119" s="55">
        <f t="shared" si="12"/>
        <v>0</v>
      </c>
    </row>
    <row r="120" ht="13.5">
      <c r="A120" s="60"/>
      <c r="B120" s="5" t="s">
        <v>139</v>
      </c>
      <c r="C120" s="5" t="s">
        <v>149</v>
      </c>
      <c r="D120" s="55" t="str">
        <f>VLOOKUP($B120,Letters!$C$108:$D$131,2,FALSE) &amp; VLOOKUP($C120,Letters!$C$108:$D$131,2,FALSE)</f>
        <v>GA</v>
      </c>
      <c r="E120" s="61" t="s">
        <v>2777</v>
      </c>
      <c r="F120" s="5"/>
      <c r="G120" s="55">
        <f t="shared" si="11"/>
        <v>0</v>
      </c>
      <c r="H120" s="55">
        <f t="shared" si="12"/>
        <v>0</v>
      </c>
    </row>
    <row r="121" ht="13.5">
      <c r="A121" s="54"/>
      <c r="B121" s="5" t="s">
        <v>139</v>
      </c>
      <c r="C121" s="5" t="s">
        <v>150</v>
      </c>
      <c r="D121" s="55" t="str">
        <f>VLOOKUP($B121,Letters!$C$108:$D$131,2,FALSE) &amp; VLOOKUP($C121,Letters!$C$108:$D$131,2,FALSE)</f>
        <v>GR</v>
      </c>
      <c r="E121" s="61" t="s">
        <v>2783</v>
      </c>
      <c r="F121" s="5"/>
      <c r="G121" s="55">
        <f t="shared" si="11"/>
        <v>0</v>
      </c>
      <c r="H121" s="55">
        <f t="shared" si="12"/>
        <v>0</v>
      </c>
    </row>
    <row r="122" ht="13.5">
      <c r="A122" s="54"/>
      <c r="B122" s="5" t="s">
        <v>139</v>
      </c>
      <c r="C122" s="5" t="s">
        <v>151</v>
      </c>
      <c r="D122" s="55" t="str">
        <f>VLOOKUP($B122,Letters!$C$108:$D$131,2,FALSE) &amp; VLOOKUP($C122,Letters!$C$108:$D$131,2,FALSE)</f>
        <v>GS</v>
      </c>
      <c r="E122" s="61" t="s">
        <v>2788</v>
      </c>
      <c r="F122" s="5"/>
      <c r="G122" s="55">
        <f t="shared" si="11"/>
        <v>0</v>
      </c>
      <c r="H122" s="55">
        <f t="shared" si="12"/>
        <v>0</v>
      </c>
    </row>
    <row r="123" ht="13.5">
      <c r="A123" s="54"/>
      <c r="B123" s="5" t="s">
        <v>139</v>
      </c>
      <c r="C123" s="5" t="s">
        <v>152</v>
      </c>
      <c r="D123" s="55" t="str">
        <f>VLOOKUP($B123,Letters!$C$108:$D$131,2,FALSE) &amp; VLOOKUP($C123,Letters!$C$108:$D$131,2,FALSE)</f>
        <v>GT</v>
      </c>
      <c r="E123" s="61" t="s">
        <v>2793</v>
      </c>
      <c r="F123" s="5" t="s">
        <v>2794</v>
      </c>
      <c r="G123" s="55">
        <f t="shared" si="11"/>
        <v>9</v>
      </c>
      <c r="H123" s="55">
        <f t="shared" si="12"/>
        <v>9</v>
      </c>
    </row>
    <row r="124" ht="13.5">
      <c r="A124" s="54"/>
      <c r="B124" s="5" t="s">
        <v>139</v>
      </c>
      <c r="C124" s="5" t="s">
        <v>153</v>
      </c>
      <c r="D124" s="55" t="str">
        <f>VLOOKUP($B124,Letters!$C$108:$D$131,2,FALSE) &amp; VLOOKUP($C124,Letters!$C$108:$D$131,2,FALSE)</f>
        <v>GU</v>
      </c>
      <c r="E124" s="61" t="s">
        <v>2797</v>
      </c>
      <c r="F124" s="5"/>
      <c r="G124" s="55">
        <f t="shared" si="11"/>
        <v>0</v>
      </c>
      <c r="H124" s="55">
        <f t="shared" si="12"/>
        <v>0</v>
      </c>
    </row>
    <row r="125" ht="13.5">
      <c r="A125" s="54"/>
      <c r="B125" s="5" t="s">
        <v>139</v>
      </c>
      <c r="C125" s="5" t="s">
        <v>154</v>
      </c>
      <c r="D125" s="55" t="str">
        <f>VLOOKUP($B125,Letters!$C$108:$D$131,2,FALSE) &amp; VLOOKUP($C125,Letters!$C$108:$D$131,2,FALSE)</f>
        <v>GV</v>
      </c>
      <c r="E125" s="61" t="s">
        <v>2800</v>
      </c>
      <c r="F125" s="5"/>
      <c r="G125" s="55">
        <f t="shared" si="11"/>
        <v>0</v>
      </c>
      <c r="H125" s="55">
        <f t="shared" si="12"/>
        <v>0</v>
      </c>
    </row>
    <row r="126" ht="13.5">
      <c r="A126" s="54"/>
      <c r="B126" s="5" t="s">
        <v>139</v>
      </c>
      <c r="C126" s="5" t="s">
        <v>155</v>
      </c>
      <c r="D126" s="55" t="str">
        <f>VLOOKUP($B126,Letters!$C$108:$D$131,2,FALSE) &amp; VLOOKUP($C126,Letters!$C$108:$D$131,2,FALSE)</f>
        <v>GW</v>
      </c>
      <c r="E126" s="61" t="s">
        <v>2803</v>
      </c>
      <c r="F126" s="5"/>
      <c r="G126" s="55">
        <f t="shared" si="11"/>
        <v>0</v>
      </c>
      <c r="H126" s="55">
        <f t="shared" si="12"/>
        <v>0</v>
      </c>
    </row>
    <row r="127" ht="13.5">
      <c r="A127" s="54"/>
      <c r="B127" s="5" t="s">
        <v>139</v>
      </c>
      <c r="C127" s="5" t="s">
        <v>156</v>
      </c>
      <c r="D127" s="55" t="str">
        <f>VLOOKUP($B127,Letters!$C$108:$D$131,2,FALSE) &amp; VLOOKUP($C127,Letters!$C$108:$D$131,2,FALSE)</f>
        <v>GX</v>
      </c>
      <c r="E127" s="61" t="s">
        <v>2808</v>
      </c>
      <c r="F127" s="5"/>
      <c r="G127" s="55">
        <f t="shared" si="11"/>
        <v>0</v>
      </c>
      <c r="H127" s="55">
        <f t="shared" si="12"/>
        <v>0</v>
      </c>
    </row>
    <row r="128">
      <c r="A128" s="60"/>
      <c r="B128" s="5"/>
      <c r="C128" s="5"/>
      <c r="D128" s="55"/>
      <c r="E128" s="5"/>
      <c r="F128" s="5"/>
      <c r="G128" s="55"/>
      <c r="H128" s="55"/>
    </row>
    <row r="129" ht="13.5">
      <c r="A129" s="54"/>
      <c r="B129" s="5" t="s">
        <v>140</v>
      </c>
      <c r="C129" s="5" t="s">
        <v>134</v>
      </c>
      <c r="D129" s="55" t="str">
        <f>VLOOKUP($B129,Letters!$C$108:$D$131,2,FALSE) &amp; VLOOKUP($C129,Letters!$C$108:$D$131,2,FALSE)</f>
        <v>HB</v>
      </c>
      <c r="E129" s="61" t="s">
        <v>2811</v>
      </c>
      <c r="F129" s="5" t="s">
        <v>2812</v>
      </c>
      <c r="G129" s="55">
        <f t="shared" ref="G129:G147" si="13">(len($F129)-len(SUBSTITUTE($F129,"R","")))+(len($F129)-len(SUBSTITUTE($F129,"L","")))+(len($F129)-len(SUBSTITUTE($F129,"U","")))+(len($F129)-len(SUBSTITUTE($F129,"D","")))+(len($F129)-len(SUBSTITUTE($F129,"F","")))+(len($F129)-len(SUBSTITUTE($F129,"B","")))+(len($F129)-len(SUBSTITUTE($F129,"r","")))+(len($F129)-len(SUBSTITUTE($F129,"l","")))+(len($F129)-len(SUBSTITUTE($F129,"u","")))+(len($F129)-len(SUBSTITUTE($F129,"d","")))+(len($F129)-len(SUBSTITUTE($F129,"M","")))+(len($F129)-len(SUBSTITUTE($F129,"E","")))</f>
        <v>8</v>
      </c>
      <c r="H129" s="55">
        <f t="shared" ref="H129:H147" si="14">(len($F129)-len(SUBSTITUTE($F129,"R","")))+(len($F129)-len(SUBSTITUTE($F129,"L","")))+(len($F129)-len(SUBSTITUTE($F129,"U","")))+(len($F129)-len(SUBSTITUTE($F129,"D","")))+(len($F129)-len(SUBSTITUTE($F129,"F","")))+(len($F129)-len(SUBSTITUTE($F129,"B","")))+(len($F129)-len(SUBSTITUTE($F129,"r","")))+(len($F129)-len(SUBSTITUTE($F129,"l","")))+(len($F129)-len(SUBSTITUTE($F129,"u","")))+(len($F129)-len(SUBSTITUTE($F129,"d","")))+(len($F129)-len(SUBSTITUTE($F129,"M","")))+(len($F129)-len(SUBSTITUTE($F129,"E","")))+(len($F129)-len(SUBSTITUTE($F129,"2","")))</f>
        <v>8</v>
      </c>
    </row>
    <row r="130" ht="13.5">
      <c r="A130" s="54"/>
      <c r="B130" s="5" t="s">
        <v>140</v>
      </c>
      <c r="C130" s="5" t="s">
        <v>135</v>
      </c>
      <c r="D130" s="55" t="str">
        <f>VLOOKUP($B130,Letters!$C$108:$D$131,2,FALSE) &amp; VLOOKUP($C130,Letters!$C$108:$D$131,2,FALSE)</f>
        <v>HC</v>
      </c>
      <c r="E130" s="61" t="s">
        <v>2821</v>
      </c>
      <c r="F130" s="5" t="s">
        <v>2822</v>
      </c>
      <c r="G130" s="55">
        <f t="shared" si="13"/>
        <v>9</v>
      </c>
      <c r="H130" s="55">
        <f t="shared" si="14"/>
        <v>10</v>
      </c>
    </row>
    <row r="131" ht="13.5">
      <c r="A131" s="60"/>
      <c r="B131" s="5" t="s">
        <v>140</v>
      </c>
      <c r="C131" s="5" t="s">
        <v>136</v>
      </c>
      <c r="D131" s="55" t="str">
        <f>VLOOKUP($B131,Letters!$C$108:$D$131,2,FALSE) &amp; VLOOKUP($C131,Letters!$C$108:$D$131,2,FALSE)</f>
        <v>HD</v>
      </c>
      <c r="E131" s="61" t="s">
        <v>2825</v>
      </c>
      <c r="F131" s="5" t="s">
        <v>2826</v>
      </c>
      <c r="G131" s="55">
        <f t="shared" si="13"/>
        <v>8</v>
      </c>
      <c r="H131" s="55">
        <f t="shared" si="14"/>
        <v>8</v>
      </c>
    </row>
    <row r="132" ht="13.5">
      <c r="A132" s="54"/>
      <c r="B132" s="5" t="s">
        <v>140</v>
      </c>
      <c r="C132" s="5" t="s">
        <v>141</v>
      </c>
      <c r="D132" s="55" t="str">
        <f>VLOOKUP($B132,Letters!$C$108:$D$131,2,FALSE) &amp; VLOOKUP($C132,Letters!$C$108:$D$131,2,FALSE)</f>
        <v>HI</v>
      </c>
      <c r="E132" s="61" t="s">
        <v>2827</v>
      </c>
      <c r="F132" s="5"/>
      <c r="G132" s="55">
        <f t="shared" si="13"/>
        <v>0</v>
      </c>
      <c r="H132" s="55">
        <f t="shared" si="14"/>
        <v>0</v>
      </c>
    </row>
    <row r="133" ht="13.5">
      <c r="A133" s="54"/>
      <c r="B133" s="5" t="s">
        <v>140</v>
      </c>
      <c r="C133" s="5" t="s">
        <v>142</v>
      </c>
      <c r="D133" s="55" t="str">
        <f>VLOOKUP($B133,Letters!$C$108:$D$131,2,FALSE) &amp; VLOOKUP($C133,Letters!$C$108:$D$131,2,FALSE)</f>
        <v>HJ</v>
      </c>
      <c r="E133" s="61" t="s">
        <v>2830</v>
      </c>
      <c r="F133" s="5"/>
      <c r="G133" s="55">
        <f t="shared" si="13"/>
        <v>0</v>
      </c>
      <c r="H133" s="55">
        <f t="shared" si="14"/>
        <v>0</v>
      </c>
    </row>
    <row r="134" ht="13.5">
      <c r="A134" s="54"/>
      <c r="B134" s="5" t="s">
        <v>140</v>
      </c>
      <c r="C134" s="5" t="s">
        <v>143</v>
      </c>
      <c r="D134" s="55" t="str">
        <f>VLOOKUP($B134,Letters!$C$108:$D$131,2,FALSE) &amp; VLOOKUP($C134,Letters!$C$108:$D$131,2,FALSE)</f>
        <v>HK</v>
      </c>
      <c r="E134" s="61" t="s">
        <v>2832</v>
      </c>
      <c r="F134" s="5"/>
      <c r="G134" s="55">
        <f t="shared" si="13"/>
        <v>0</v>
      </c>
      <c r="H134" s="55">
        <f t="shared" si="14"/>
        <v>0</v>
      </c>
    </row>
    <row r="135" ht="13.5">
      <c r="A135" s="54"/>
      <c r="B135" s="5" t="s">
        <v>140</v>
      </c>
      <c r="C135" s="5" t="s">
        <v>144</v>
      </c>
      <c r="D135" s="55" t="str">
        <f>VLOOKUP($B135,Letters!$C$108:$D$131,2,FALSE) &amp; VLOOKUP($C135,Letters!$C$108:$D$131,2,FALSE)</f>
        <v>HL</v>
      </c>
      <c r="E135" s="61" t="s">
        <v>2833</v>
      </c>
      <c r="F135" s="5"/>
      <c r="G135" s="55">
        <f t="shared" si="13"/>
        <v>0</v>
      </c>
      <c r="H135" s="55">
        <f t="shared" si="14"/>
        <v>0</v>
      </c>
    </row>
    <row r="136" ht="13.5">
      <c r="A136" s="54"/>
      <c r="B136" s="5" t="s">
        <v>140</v>
      </c>
      <c r="C136" s="5" t="s">
        <v>145</v>
      </c>
      <c r="D136" s="55" t="str">
        <f>VLOOKUP($B136,Letters!$C$108:$D$131,2,FALSE) &amp; VLOOKUP($C136,Letters!$C$108:$D$131,2,FALSE)</f>
        <v>HM</v>
      </c>
      <c r="E136" s="61" t="s">
        <v>2834</v>
      </c>
      <c r="F136" s="5"/>
      <c r="G136" s="55">
        <f t="shared" si="13"/>
        <v>0</v>
      </c>
      <c r="H136" s="55">
        <f t="shared" si="14"/>
        <v>0</v>
      </c>
    </row>
    <row r="137" ht="13.5">
      <c r="A137" s="54"/>
      <c r="B137" s="5" t="s">
        <v>140</v>
      </c>
      <c r="C137" s="5" t="s">
        <v>146</v>
      </c>
      <c r="D137" s="55" t="str">
        <f>VLOOKUP($B137,Letters!$C$108:$D$131,2,FALSE) &amp; VLOOKUP($C137,Letters!$C$108:$D$131,2,FALSE)</f>
        <v>HN</v>
      </c>
      <c r="E137" s="61" t="s">
        <v>2837</v>
      </c>
      <c r="F137" s="5"/>
      <c r="G137" s="55">
        <f t="shared" si="13"/>
        <v>0</v>
      </c>
      <c r="H137" s="55">
        <f t="shared" si="14"/>
        <v>0</v>
      </c>
    </row>
    <row r="138" ht="13.5">
      <c r="A138" s="54"/>
      <c r="B138" s="5" t="s">
        <v>140</v>
      </c>
      <c r="C138" s="5" t="s">
        <v>147</v>
      </c>
      <c r="D138" s="55" t="str">
        <f>VLOOKUP($B138,Letters!$C$108:$D$131,2,FALSE) &amp; VLOOKUP($C138,Letters!$C$108:$D$131,2,FALSE)</f>
        <v>HO</v>
      </c>
      <c r="E138" s="61" t="s">
        <v>2840</v>
      </c>
      <c r="F138" s="5"/>
      <c r="G138" s="55">
        <f t="shared" si="13"/>
        <v>0</v>
      </c>
      <c r="H138" s="55">
        <f t="shared" si="14"/>
        <v>0</v>
      </c>
    </row>
    <row r="139" ht="13.5">
      <c r="A139" s="60"/>
      <c r="B139" s="5" t="s">
        <v>140</v>
      </c>
      <c r="C139" s="5" t="s">
        <v>148</v>
      </c>
      <c r="D139" s="55" t="str">
        <f>VLOOKUP($B139,Letters!$C$108:$D$131,2,FALSE) &amp; VLOOKUP($C139,Letters!$C$108:$D$131,2,FALSE)</f>
        <v>HP</v>
      </c>
      <c r="E139" s="61" t="s">
        <v>2843</v>
      </c>
      <c r="F139" s="5"/>
      <c r="G139" s="55">
        <f t="shared" si="13"/>
        <v>0</v>
      </c>
      <c r="H139" s="55">
        <f t="shared" si="14"/>
        <v>0</v>
      </c>
    </row>
    <row r="140" ht="13.5">
      <c r="A140" s="54"/>
      <c r="B140" s="5" t="s">
        <v>140</v>
      </c>
      <c r="C140" s="5" t="s">
        <v>149</v>
      </c>
      <c r="D140" s="55" t="str">
        <f>VLOOKUP($B140,Letters!$C$108:$D$131,2,FALSE) &amp; VLOOKUP($C140,Letters!$C$108:$D$131,2,FALSE)</f>
        <v>HA</v>
      </c>
      <c r="E140" s="61" t="s">
        <v>2552</v>
      </c>
      <c r="F140" s="5" t="s">
        <v>2553</v>
      </c>
      <c r="G140" s="55">
        <f t="shared" si="13"/>
        <v>9</v>
      </c>
      <c r="H140" s="55">
        <f t="shared" si="14"/>
        <v>9</v>
      </c>
    </row>
    <row r="141" ht="13.5">
      <c r="A141" s="54"/>
      <c r="B141" s="5" t="s">
        <v>140</v>
      </c>
      <c r="C141" s="5" t="s">
        <v>150</v>
      </c>
      <c r="D141" s="55" t="str">
        <f>VLOOKUP($B141,Letters!$C$108:$D$131,2,FALSE) &amp; VLOOKUP($C141,Letters!$C$108:$D$131,2,FALSE)</f>
        <v>HR</v>
      </c>
      <c r="E141" s="61" t="s">
        <v>2850</v>
      </c>
      <c r="F141" s="5" t="s">
        <v>2851</v>
      </c>
      <c r="G141" s="55">
        <f t="shared" si="13"/>
        <v>9</v>
      </c>
      <c r="H141" s="55">
        <f t="shared" si="14"/>
        <v>9</v>
      </c>
    </row>
    <row r="142" ht="13.5">
      <c r="A142" s="54"/>
      <c r="B142" s="5" t="s">
        <v>140</v>
      </c>
      <c r="C142" s="5" t="s">
        <v>151</v>
      </c>
      <c r="D142" s="55" t="str">
        <f>VLOOKUP($B142,Letters!$C$108:$D$131,2,FALSE) &amp; VLOOKUP($C142,Letters!$C$108:$D$131,2,FALSE)</f>
        <v>HS</v>
      </c>
      <c r="E142" s="61" t="s">
        <v>2854</v>
      </c>
      <c r="F142" s="5"/>
      <c r="G142" s="55">
        <f t="shared" si="13"/>
        <v>0</v>
      </c>
      <c r="H142" s="55">
        <f t="shared" si="14"/>
        <v>0</v>
      </c>
    </row>
    <row r="143" ht="13.5">
      <c r="A143" s="54"/>
      <c r="B143" s="5" t="s">
        <v>140</v>
      </c>
      <c r="C143" s="5" t="s">
        <v>152</v>
      </c>
      <c r="D143" s="55" t="str">
        <f>VLOOKUP($B143,Letters!$C$108:$D$131,2,FALSE) &amp; VLOOKUP($C143,Letters!$C$108:$D$131,2,FALSE)</f>
        <v>HT</v>
      </c>
      <c r="E143" s="61" t="s">
        <v>2859</v>
      </c>
      <c r="F143" s="5"/>
      <c r="G143" s="55">
        <f t="shared" si="13"/>
        <v>0</v>
      </c>
      <c r="H143" s="55">
        <f t="shared" si="14"/>
        <v>0</v>
      </c>
    </row>
    <row r="144" ht="13.5">
      <c r="A144" s="54"/>
      <c r="B144" s="5" t="s">
        <v>140</v>
      </c>
      <c r="C144" s="5" t="s">
        <v>153</v>
      </c>
      <c r="D144" s="55" t="str">
        <f>VLOOKUP($B144,Letters!$C$108:$D$131,2,FALSE) &amp; VLOOKUP($C144,Letters!$C$108:$D$131,2,FALSE)</f>
        <v>HU</v>
      </c>
      <c r="E144" s="61" t="s">
        <v>2862</v>
      </c>
      <c r="F144" s="5"/>
      <c r="G144" s="55">
        <f t="shared" si="13"/>
        <v>0</v>
      </c>
      <c r="H144" s="55">
        <f t="shared" si="14"/>
        <v>0</v>
      </c>
    </row>
    <row r="145" ht="13.5">
      <c r="A145" s="54"/>
      <c r="B145" s="5" t="s">
        <v>140</v>
      </c>
      <c r="C145" s="5" t="s">
        <v>154</v>
      </c>
      <c r="D145" s="55" t="str">
        <f>VLOOKUP($B145,Letters!$C$108:$D$131,2,FALSE) &amp; VLOOKUP($C145,Letters!$C$108:$D$131,2,FALSE)</f>
        <v>HV</v>
      </c>
      <c r="E145" s="61" t="s">
        <v>2865</v>
      </c>
      <c r="F145" s="5"/>
      <c r="G145" s="55">
        <f t="shared" si="13"/>
        <v>0</v>
      </c>
      <c r="H145" s="55">
        <f t="shared" si="14"/>
        <v>0</v>
      </c>
    </row>
    <row r="146" ht="13.5">
      <c r="A146" s="54"/>
      <c r="B146" s="5" t="s">
        <v>140</v>
      </c>
      <c r="C146" s="5" t="s">
        <v>155</v>
      </c>
      <c r="D146" s="55" t="str">
        <f>VLOOKUP($B146,Letters!$C$108:$D$131,2,FALSE) &amp; VLOOKUP($C146,Letters!$C$108:$D$131,2,FALSE)</f>
        <v>HW</v>
      </c>
      <c r="E146" s="61" t="s">
        <v>2868</v>
      </c>
      <c r="F146" s="5"/>
      <c r="G146" s="55">
        <f t="shared" si="13"/>
        <v>0</v>
      </c>
      <c r="H146" s="55">
        <f t="shared" si="14"/>
        <v>0</v>
      </c>
    </row>
    <row r="147" ht="13.5">
      <c r="A147" s="60"/>
      <c r="B147" s="5" t="s">
        <v>140</v>
      </c>
      <c r="C147" s="5" t="s">
        <v>156</v>
      </c>
      <c r="D147" s="55" t="str">
        <f>VLOOKUP($B147,Letters!$C$108:$D$131,2,FALSE) &amp; VLOOKUP($C147,Letters!$C$108:$D$131,2,FALSE)</f>
        <v>HX</v>
      </c>
      <c r="E147" s="61" t="s">
        <v>2873</v>
      </c>
      <c r="F147" s="5"/>
      <c r="G147" s="55">
        <f t="shared" si="13"/>
        <v>0</v>
      </c>
      <c r="H147" s="55">
        <f t="shared" si="14"/>
        <v>0</v>
      </c>
    </row>
    <row r="148">
      <c r="A148" s="54"/>
      <c r="B148" s="5"/>
      <c r="C148" s="5"/>
      <c r="D148" s="55"/>
      <c r="E148" s="5"/>
      <c r="F148" s="5"/>
      <c r="G148" s="55"/>
      <c r="H148" s="55"/>
    </row>
    <row r="149" ht="13.5">
      <c r="A149" s="54"/>
      <c r="B149" s="5" t="s">
        <v>141</v>
      </c>
      <c r="C149" s="5" t="s">
        <v>134</v>
      </c>
      <c r="D149" s="55" t="str">
        <f>VLOOKUP($B149,Letters!$C$108:$D$131,2,FALSE) &amp; VLOOKUP($C149,Letters!$C$108:$D$131,2,FALSE)</f>
        <v>IB</v>
      </c>
      <c r="E149" s="61" t="s">
        <v>2876</v>
      </c>
      <c r="F149" s="5" t="s">
        <v>2879</v>
      </c>
      <c r="G149" s="55">
        <f t="shared" ref="G149:G167" si="15">(len($F149)-len(SUBSTITUTE($F149,"R","")))+(len($F149)-len(SUBSTITUTE($F149,"L","")))+(len($F149)-len(SUBSTITUTE($F149,"U","")))+(len($F149)-len(SUBSTITUTE($F149,"D","")))+(len($F149)-len(SUBSTITUTE($F149,"F","")))+(len($F149)-len(SUBSTITUTE($F149,"B","")))+(len($F149)-len(SUBSTITUTE($F149,"r","")))+(len($F149)-len(SUBSTITUTE($F149,"l","")))+(len($F149)-len(SUBSTITUTE($F149,"u","")))+(len($F149)-len(SUBSTITUTE($F149,"d","")))+(len($F149)-len(SUBSTITUTE($F149,"M","")))+(len($F149)-len(SUBSTITUTE($F149,"E","")))</f>
        <v>10</v>
      </c>
      <c r="H149" s="55">
        <f t="shared" ref="H149:H167" si="16">(len($F149)-len(SUBSTITUTE($F149,"R","")))+(len($F149)-len(SUBSTITUTE($F149,"L","")))+(len($F149)-len(SUBSTITUTE($F149,"U","")))+(len($F149)-len(SUBSTITUTE($F149,"D","")))+(len($F149)-len(SUBSTITUTE($F149,"F","")))+(len($F149)-len(SUBSTITUTE($F149,"B","")))+(len($F149)-len(SUBSTITUTE($F149,"r","")))+(len($F149)-len(SUBSTITUTE($F149,"l","")))+(len($F149)-len(SUBSTITUTE($F149,"u","")))+(len($F149)-len(SUBSTITUTE($F149,"d","")))+(len($F149)-len(SUBSTITUTE($F149,"M","")))+(len($F149)-len(SUBSTITUTE($F149,"E","")))+(len($F149)-len(SUBSTITUTE($F149,"2","")))</f>
        <v>11</v>
      </c>
    </row>
    <row r="150" ht="13.5">
      <c r="A150" s="60"/>
      <c r="B150" s="5" t="s">
        <v>141</v>
      </c>
      <c r="C150" s="5" t="s">
        <v>135</v>
      </c>
      <c r="D150" s="55" t="str">
        <f>VLOOKUP($B150,Letters!$C$108:$D$131,2,FALSE) &amp; VLOOKUP($C150,Letters!$C$108:$D$131,2,FALSE)</f>
        <v>IC</v>
      </c>
      <c r="E150" s="61" t="s">
        <v>2886</v>
      </c>
      <c r="F150" s="5" t="s">
        <v>2887</v>
      </c>
      <c r="G150" s="55">
        <f t="shared" si="15"/>
        <v>13</v>
      </c>
      <c r="H150" s="55">
        <f t="shared" si="16"/>
        <v>14</v>
      </c>
    </row>
    <row r="151" ht="13.5">
      <c r="A151" s="54"/>
      <c r="B151" s="5" t="s">
        <v>141</v>
      </c>
      <c r="C151" s="5" t="s">
        <v>136</v>
      </c>
      <c r="D151" s="55" t="str">
        <f>VLOOKUP($B151,Letters!$C$108:$D$131,2,FALSE) &amp; VLOOKUP($C151,Letters!$C$108:$D$131,2,FALSE)</f>
        <v>ID</v>
      </c>
      <c r="E151" s="61" t="s">
        <v>2888</v>
      </c>
      <c r="F151" s="5" t="s">
        <v>2889</v>
      </c>
      <c r="G151" s="55">
        <f t="shared" si="15"/>
        <v>10</v>
      </c>
      <c r="H151" s="55">
        <f t="shared" si="16"/>
        <v>11</v>
      </c>
    </row>
    <row r="152" ht="13.5">
      <c r="A152" s="54"/>
      <c r="B152" s="5" t="s">
        <v>141</v>
      </c>
      <c r="C152" s="5" t="s">
        <v>137</v>
      </c>
      <c r="D152" s="55" t="str">
        <f>VLOOKUP($B152,Letters!$C$108:$D$131,2,FALSE) &amp; VLOOKUP($C152,Letters!$C$108:$D$131,2,FALSE)</f>
        <v>IE</v>
      </c>
      <c r="E152" s="61" t="s">
        <v>2892</v>
      </c>
      <c r="F152" s="5" t="s">
        <v>2893</v>
      </c>
      <c r="G152" s="55">
        <f t="shared" si="15"/>
        <v>9</v>
      </c>
      <c r="H152" s="55">
        <f t="shared" si="16"/>
        <v>9</v>
      </c>
    </row>
    <row r="153" ht="13.5">
      <c r="A153" s="54"/>
      <c r="B153" s="5" t="s">
        <v>141</v>
      </c>
      <c r="C153" s="5" t="s">
        <v>138</v>
      </c>
      <c r="D153" s="55" t="str">
        <f>VLOOKUP($B153,Letters!$C$108:$D$131,2,FALSE) &amp; VLOOKUP($C153,Letters!$C$108:$D$131,2,FALSE)</f>
        <v>IF</v>
      </c>
      <c r="E153" s="61" t="s">
        <v>2896</v>
      </c>
      <c r="F153" s="5" t="s">
        <v>2897</v>
      </c>
      <c r="G153" s="55">
        <f t="shared" si="15"/>
        <v>10</v>
      </c>
      <c r="H153" s="55">
        <f t="shared" si="16"/>
        <v>10</v>
      </c>
    </row>
    <row r="154" ht="13.5">
      <c r="A154" s="54"/>
      <c r="B154" s="5" t="s">
        <v>141</v>
      </c>
      <c r="C154" s="5" t="s">
        <v>139</v>
      </c>
      <c r="D154" s="55" t="str">
        <f>VLOOKUP($B154,Letters!$C$108:$D$131,2,FALSE) &amp; VLOOKUP($C154,Letters!$C$108:$D$131,2,FALSE)</f>
        <v>IG</v>
      </c>
      <c r="E154" s="61"/>
      <c r="F154" s="5"/>
      <c r="G154" s="55">
        <f t="shared" si="15"/>
        <v>0</v>
      </c>
      <c r="H154" s="55">
        <f t="shared" si="16"/>
        <v>0</v>
      </c>
    </row>
    <row r="155" ht="13.5">
      <c r="A155" s="54"/>
      <c r="B155" s="5" t="s">
        <v>141</v>
      </c>
      <c r="C155" s="5" t="s">
        <v>140</v>
      </c>
      <c r="D155" s="55" t="str">
        <f>VLOOKUP($B155,Letters!$C$108:$D$131,2,FALSE) &amp; VLOOKUP($C155,Letters!$C$108:$D$131,2,FALSE)</f>
        <v>IH</v>
      </c>
      <c r="E155" s="61" t="s">
        <v>2902</v>
      </c>
      <c r="F155" s="5"/>
      <c r="G155" s="55">
        <f t="shared" si="15"/>
        <v>0</v>
      </c>
      <c r="H155" s="55">
        <f t="shared" si="16"/>
        <v>0</v>
      </c>
    </row>
    <row r="156" ht="13.5">
      <c r="A156" s="54"/>
      <c r="B156" s="5" t="s">
        <v>141</v>
      </c>
      <c r="C156" s="5" t="s">
        <v>145</v>
      </c>
      <c r="D156" s="55" t="str">
        <f>VLOOKUP($B156,Letters!$C$108:$D$131,2,FALSE) &amp; VLOOKUP($C156,Letters!$C$108:$D$131,2,FALSE)</f>
        <v>IM</v>
      </c>
      <c r="E156" s="61" t="s">
        <v>2905</v>
      </c>
      <c r="F156" s="5" t="s">
        <v>2906</v>
      </c>
      <c r="G156" s="55">
        <f t="shared" si="15"/>
        <v>9</v>
      </c>
      <c r="H156" s="55">
        <f t="shared" si="16"/>
        <v>9</v>
      </c>
    </row>
    <row r="157" ht="13.5">
      <c r="A157" s="54"/>
      <c r="B157" s="5" t="s">
        <v>141</v>
      </c>
      <c r="C157" s="5" t="s">
        <v>146</v>
      </c>
      <c r="D157" s="55" t="str">
        <f>VLOOKUP($B157,Letters!$C$108:$D$131,2,FALSE) &amp; VLOOKUP($C157,Letters!$C$108:$D$131,2,FALSE)</f>
        <v>IN</v>
      </c>
      <c r="E157" s="61" t="s">
        <v>2909</v>
      </c>
      <c r="F157" s="5"/>
      <c r="G157" s="55">
        <f t="shared" si="15"/>
        <v>0</v>
      </c>
      <c r="H157" s="55">
        <f t="shared" si="16"/>
        <v>0</v>
      </c>
    </row>
    <row r="158" ht="13.5">
      <c r="A158" s="60"/>
      <c r="B158" s="5" t="s">
        <v>141</v>
      </c>
      <c r="C158" s="5" t="s">
        <v>147</v>
      </c>
      <c r="D158" s="55" t="str">
        <f>VLOOKUP($B158,Letters!$C$108:$D$131,2,FALSE) &amp; VLOOKUP($C158,Letters!$C$108:$D$131,2,FALSE)</f>
        <v>IO</v>
      </c>
      <c r="E158" s="61"/>
      <c r="F158" s="5"/>
      <c r="G158" s="55">
        <f t="shared" si="15"/>
        <v>0</v>
      </c>
      <c r="H158" s="55">
        <f t="shared" si="16"/>
        <v>0</v>
      </c>
    </row>
    <row r="159" ht="13.5">
      <c r="A159" s="54"/>
      <c r="B159" s="5" t="s">
        <v>141</v>
      </c>
      <c r="C159" s="5" t="s">
        <v>148</v>
      </c>
      <c r="D159" s="55" t="str">
        <f>VLOOKUP($B159,Letters!$C$108:$D$131,2,FALSE) &amp; VLOOKUP($C159,Letters!$C$108:$D$131,2,FALSE)</f>
        <v>IP</v>
      </c>
      <c r="E159" s="61" t="s">
        <v>2914</v>
      </c>
      <c r="F159" s="5" t="s">
        <v>2915</v>
      </c>
      <c r="G159" s="55">
        <f t="shared" si="15"/>
        <v>11</v>
      </c>
      <c r="H159" s="55">
        <f t="shared" si="16"/>
        <v>11</v>
      </c>
    </row>
    <row r="160" ht="13.5">
      <c r="A160" s="54"/>
      <c r="B160" s="5" t="s">
        <v>141</v>
      </c>
      <c r="C160" s="5" t="s">
        <v>149</v>
      </c>
      <c r="D160" s="55" t="str">
        <f>VLOOKUP($B160,Letters!$C$108:$D$131,2,FALSE) &amp; VLOOKUP($C160,Letters!$C$108:$D$131,2,FALSE)</f>
        <v>IA</v>
      </c>
      <c r="E160" s="61" t="s">
        <v>2918</v>
      </c>
      <c r="F160" s="5" t="s">
        <v>2919</v>
      </c>
      <c r="G160" s="55">
        <f t="shared" si="15"/>
        <v>10</v>
      </c>
      <c r="H160" s="55">
        <f t="shared" si="16"/>
        <v>12</v>
      </c>
    </row>
    <row r="161" ht="13.5">
      <c r="A161" s="54"/>
      <c r="B161" s="5" t="s">
        <v>141</v>
      </c>
      <c r="C161" s="5" t="s">
        <v>150</v>
      </c>
      <c r="D161" s="55" t="str">
        <f>VLOOKUP($B161,Letters!$C$108:$D$131,2,FALSE) &amp; VLOOKUP($C161,Letters!$C$108:$D$131,2,FALSE)</f>
        <v>IR</v>
      </c>
      <c r="E161" s="61" t="s">
        <v>2922</v>
      </c>
      <c r="F161" s="5"/>
      <c r="G161" s="55">
        <f t="shared" si="15"/>
        <v>0</v>
      </c>
      <c r="H161" s="55">
        <f t="shared" si="16"/>
        <v>0</v>
      </c>
    </row>
    <row r="162" ht="13.5">
      <c r="A162" s="60"/>
      <c r="B162" s="5" t="s">
        <v>141</v>
      </c>
      <c r="C162" s="5" t="s">
        <v>151</v>
      </c>
      <c r="D162" s="55" t="str">
        <f>VLOOKUP($B162,Letters!$C$108:$D$131,2,FALSE) &amp; VLOOKUP($C162,Letters!$C$108:$D$131,2,FALSE)</f>
        <v>IS</v>
      </c>
      <c r="E162" s="61" t="s">
        <v>2925</v>
      </c>
      <c r="F162" s="5"/>
      <c r="G162" s="55">
        <f t="shared" si="15"/>
        <v>0</v>
      </c>
      <c r="H162" s="55">
        <f t="shared" si="16"/>
        <v>0</v>
      </c>
    </row>
    <row r="163" ht="13.5">
      <c r="A163" s="54"/>
      <c r="B163" s="5" t="s">
        <v>141</v>
      </c>
      <c r="C163" s="5" t="s">
        <v>152</v>
      </c>
      <c r="D163" s="55" t="str">
        <f>VLOOKUP($B163,Letters!$C$108:$D$131,2,FALSE) &amp; VLOOKUP($C163,Letters!$C$108:$D$131,2,FALSE)</f>
        <v>IT</v>
      </c>
      <c r="E163" s="61" t="s">
        <v>2928</v>
      </c>
      <c r="F163" s="5"/>
      <c r="G163" s="55">
        <f t="shared" si="15"/>
        <v>0</v>
      </c>
      <c r="H163" s="55">
        <f t="shared" si="16"/>
        <v>0</v>
      </c>
    </row>
    <row r="164" ht="13.5">
      <c r="A164" s="54"/>
      <c r="B164" s="5" t="s">
        <v>141</v>
      </c>
      <c r="C164" s="5" t="s">
        <v>153</v>
      </c>
      <c r="D164" s="55" t="str">
        <f>VLOOKUP($B164,Letters!$C$108:$D$131,2,FALSE) &amp; VLOOKUP($C164,Letters!$C$108:$D$131,2,FALSE)</f>
        <v>IU</v>
      </c>
      <c r="E164" s="61" t="s">
        <v>2932</v>
      </c>
      <c r="F164" s="5"/>
      <c r="G164" s="55">
        <f t="shared" si="15"/>
        <v>0</v>
      </c>
      <c r="H164" s="55">
        <f t="shared" si="16"/>
        <v>0</v>
      </c>
    </row>
    <row r="165" ht="13.5">
      <c r="A165" s="54"/>
      <c r="B165" s="5" t="s">
        <v>141</v>
      </c>
      <c r="C165" s="5" t="s">
        <v>154</v>
      </c>
      <c r="D165" s="55" t="str">
        <f>VLOOKUP($B165,Letters!$C$108:$D$131,2,FALSE) &amp; VLOOKUP($C165,Letters!$C$108:$D$131,2,FALSE)</f>
        <v>IV</v>
      </c>
      <c r="E165" s="61" t="s">
        <v>2934</v>
      </c>
      <c r="F165" s="5"/>
      <c r="G165" s="55">
        <f t="shared" si="15"/>
        <v>0</v>
      </c>
      <c r="H165" s="55">
        <f t="shared" si="16"/>
        <v>0</v>
      </c>
    </row>
    <row r="166" ht="13.5">
      <c r="A166" s="54"/>
      <c r="B166" s="5" t="s">
        <v>141</v>
      </c>
      <c r="C166" s="5" t="s">
        <v>155</v>
      </c>
      <c r="D166" s="55" t="str">
        <f>VLOOKUP($B166,Letters!$C$108:$D$131,2,FALSE) &amp; VLOOKUP($C166,Letters!$C$108:$D$131,2,FALSE)</f>
        <v>IW</v>
      </c>
      <c r="E166" s="61" t="s">
        <v>2937</v>
      </c>
      <c r="F166" s="5"/>
      <c r="G166" s="55">
        <f t="shared" si="15"/>
        <v>0</v>
      </c>
      <c r="H166" s="55">
        <f t="shared" si="16"/>
        <v>0</v>
      </c>
    </row>
    <row r="167" ht="13.5">
      <c r="A167" s="54"/>
      <c r="B167" s="5" t="s">
        <v>141</v>
      </c>
      <c r="C167" s="5" t="s">
        <v>156</v>
      </c>
      <c r="D167" s="55" t="str">
        <f>VLOOKUP($B167,Letters!$C$108:$D$131,2,FALSE) &amp; VLOOKUP($C167,Letters!$C$108:$D$131,2,FALSE)</f>
        <v>IX</v>
      </c>
      <c r="E167" s="61" t="s">
        <v>2940</v>
      </c>
      <c r="F167" s="5"/>
      <c r="G167" s="55">
        <f t="shared" si="15"/>
        <v>0</v>
      </c>
      <c r="H167" s="55">
        <f t="shared" si="16"/>
        <v>0</v>
      </c>
    </row>
    <row r="168">
      <c r="A168" s="60"/>
      <c r="B168" s="5"/>
      <c r="C168" s="5"/>
      <c r="D168" s="55"/>
      <c r="E168" s="5"/>
      <c r="F168" s="5"/>
      <c r="G168" s="55"/>
      <c r="H168" s="55"/>
    </row>
    <row r="169" ht="13.5">
      <c r="A169" s="60"/>
      <c r="B169" s="5" t="s">
        <v>142</v>
      </c>
      <c r="C169" s="5" t="s">
        <v>134</v>
      </c>
      <c r="D169" s="55" t="str">
        <f>VLOOKUP($B169,Letters!$C$108:$D$131,2,FALSE) &amp; VLOOKUP($C169,Letters!$C$108:$D$131,2,FALSE)</f>
        <v>JB</v>
      </c>
      <c r="E169" s="61" t="s">
        <v>2943</v>
      </c>
      <c r="F169" s="5" t="s">
        <v>2944</v>
      </c>
      <c r="G169" s="55">
        <f t="shared" ref="G169:G187" si="17">(len($F169)-len(SUBSTITUTE($F169,"R","")))+(len($F169)-len(SUBSTITUTE($F169,"L","")))+(len($F169)-len(SUBSTITUTE($F169,"U","")))+(len($F169)-len(SUBSTITUTE($F169,"D","")))+(len($F169)-len(SUBSTITUTE($F169,"F","")))+(len($F169)-len(SUBSTITUTE($F169,"B","")))+(len($F169)-len(SUBSTITUTE($F169,"r","")))+(len($F169)-len(SUBSTITUTE($F169,"l","")))+(len($F169)-len(SUBSTITUTE($F169,"u","")))+(len($F169)-len(SUBSTITUTE($F169,"d","")))+(len($F169)-len(SUBSTITUTE($F169,"M","")))+(len($F169)-len(SUBSTITUTE($F169,"E","")))</f>
        <v>10</v>
      </c>
      <c r="H169" s="55">
        <f t="shared" ref="H169:H187" si="18">(len($F169)-len(SUBSTITUTE($F169,"R","")))+(len($F169)-len(SUBSTITUTE($F169,"L","")))+(len($F169)-len(SUBSTITUTE($F169,"U","")))+(len($F169)-len(SUBSTITUTE($F169,"D","")))+(len($F169)-len(SUBSTITUTE($F169,"F","")))+(len($F169)-len(SUBSTITUTE($F169,"B","")))+(len($F169)-len(SUBSTITUTE($F169,"r","")))+(len($F169)-len(SUBSTITUTE($F169,"l","")))+(len($F169)-len(SUBSTITUTE($F169,"u","")))+(len($F169)-len(SUBSTITUTE($F169,"d","")))+(len($F169)-len(SUBSTITUTE($F169,"M","")))+(len($F169)-len(SUBSTITUTE($F169,"E","")))+(len($F169)-len(SUBSTITUTE($F169,"2","")))</f>
        <v>11</v>
      </c>
    </row>
    <row r="170" ht="13.5">
      <c r="A170" s="60"/>
      <c r="B170" s="5" t="s">
        <v>142</v>
      </c>
      <c r="C170" s="5" t="s">
        <v>135</v>
      </c>
      <c r="D170" s="55" t="str">
        <f>VLOOKUP($B170,Letters!$C$108:$D$131,2,FALSE) &amp; VLOOKUP($C170,Letters!$C$108:$D$131,2,FALSE)</f>
        <v>JC</v>
      </c>
      <c r="E170" s="61" t="s">
        <v>2949</v>
      </c>
      <c r="F170" s="5" t="s">
        <v>2950</v>
      </c>
      <c r="G170" s="55">
        <f t="shared" si="17"/>
        <v>9</v>
      </c>
      <c r="H170" s="55">
        <f t="shared" si="18"/>
        <v>12</v>
      </c>
    </row>
    <row r="171" ht="13.5">
      <c r="A171" s="60"/>
      <c r="B171" s="5" t="s">
        <v>142</v>
      </c>
      <c r="C171" s="5" t="s">
        <v>136</v>
      </c>
      <c r="D171" s="55" t="str">
        <f>VLOOKUP($B171,Letters!$C$108:$D$131,2,FALSE) &amp; VLOOKUP($C171,Letters!$C$108:$D$131,2,FALSE)</f>
        <v>JD</v>
      </c>
      <c r="E171" s="61" t="s">
        <v>2951</v>
      </c>
      <c r="F171" s="5" t="s">
        <v>2952</v>
      </c>
      <c r="G171" s="55">
        <f t="shared" si="17"/>
        <v>8</v>
      </c>
      <c r="H171" s="55">
        <f t="shared" si="18"/>
        <v>10</v>
      </c>
    </row>
    <row r="172" ht="13.5">
      <c r="A172" s="54"/>
      <c r="B172" s="5" t="s">
        <v>142</v>
      </c>
      <c r="C172" s="5" t="s">
        <v>137</v>
      </c>
      <c r="D172" s="55" t="str">
        <f>VLOOKUP($B172,Letters!$C$108:$D$131,2,FALSE) &amp; VLOOKUP($C172,Letters!$C$108:$D$131,2,FALSE)</f>
        <v>JE</v>
      </c>
      <c r="E172" s="61" t="s">
        <v>2953</v>
      </c>
      <c r="F172" s="5" t="s">
        <v>2954</v>
      </c>
      <c r="G172" s="55">
        <f t="shared" si="17"/>
        <v>10</v>
      </c>
      <c r="H172" s="55">
        <f t="shared" si="18"/>
        <v>10</v>
      </c>
    </row>
    <row r="173" ht="13.5">
      <c r="A173" s="54"/>
      <c r="B173" s="5" t="s">
        <v>142</v>
      </c>
      <c r="C173" s="5" t="s">
        <v>138</v>
      </c>
      <c r="D173" s="55" t="str">
        <f>VLOOKUP($B173,Letters!$C$108:$D$131,2,FALSE) &amp; VLOOKUP($C173,Letters!$C$108:$D$131,2,FALSE)</f>
        <v>JF</v>
      </c>
      <c r="E173" s="74" t="s">
        <v>2957</v>
      </c>
      <c r="F173" s="5" t="s">
        <v>2958</v>
      </c>
      <c r="G173" s="55">
        <f t="shared" si="17"/>
        <v>8</v>
      </c>
      <c r="H173" s="55">
        <f t="shared" si="18"/>
        <v>8</v>
      </c>
    </row>
    <row r="174" ht="13.5">
      <c r="A174" s="54"/>
      <c r="B174" s="5" t="s">
        <v>142</v>
      </c>
      <c r="C174" s="5" t="s">
        <v>139</v>
      </c>
      <c r="D174" s="55" t="str">
        <f>VLOOKUP($B174,Letters!$C$108:$D$131,2,FALSE) &amp; VLOOKUP($C174,Letters!$C$108:$D$131,2,FALSE)</f>
        <v>JG</v>
      </c>
      <c r="E174" s="61"/>
      <c r="F174" s="5"/>
      <c r="G174" s="55">
        <f t="shared" si="17"/>
        <v>0</v>
      </c>
      <c r="H174" s="55">
        <f t="shared" si="18"/>
        <v>0</v>
      </c>
    </row>
    <row r="175" ht="13.5">
      <c r="A175" s="54"/>
      <c r="B175" s="5" t="s">
        <v>142</v>
      </c>
      <c r="C175" s="5" t="s">
        <v>140</v>
      </c>
      <c r="D175" s="55" t="str">
        <f>VLOOKUP($B175,Letters!$C$108:$D$131,2,FALSE) &amp; VLOOKUP($C175,Letters!$C$108:$D$131,2,FALSE)</f>
        <v>JH</v>
      </c>
      <c r="E175" s="61"/>
      <c r="F175" s="5"/>
      <c r="G175" s="55">
        <f t="shared" si="17"/>
        <v>0</v>
      </c>
      <c r="H175" s="55">
        <f t="shared" si="18"/>
        <v>0</v>
      </c>
    </row>
    <row r="176" ht="13.5">
      <c r="A176" s="54"/>
      <c r="B176" s="5" t="s">
        <v>142</v>
      </c>
      <c r="C176" s="5" t="s">
        <v>145</v>
      </c>
      <c r="D176" s="55" t="str">
        <f>VLOOKUP($B176,Letters!$C$108:$D$131,2,FALSE) &amp; VLOOKUP($C176,Letters!$C$108:$D$131,2,FALSE)</f>
        <v>JM</v>
      </c>
      <c r="E176" s="61" t="s">
        <v>2963</v>
      </c>
      <c r="F176" s="5"/>
      <c r="G176" s="55">
        <f t="shared" si="17"/>
        <v>0</v>
      </c>
      <c r="H176" s="55">
        <f t="shared" si="18"/>
        <v>0</v>
      </c>
    </row>
    <row r="177" ht="13.5">
      <c r="A177" s="60"/>
      <c r="B177" s="5" t="s">
        <v>142</v>
      </c>
      <c r="C177" s="5" t="s">
        <v>146</v>
      </c>
      <c r="D177" s="55" t="str">
        <f>VLOOKUP($B177,Letters!$C$108:$D$131,2,FALSE) &amp; VLOOKUP($C177,Letters!$C$108:$D$131,2,FALSE)</f>
        <v>JN</v>
      </c>
      <c r="E177" s="61" t="s">
        <v>2966</v>
      </c>
      <c r="F177" s="5"/>
      <c r="G177" s="55">
        <f t="shared" si="17"/>
        <v>0</v>
      </c>
      <c r="H177" s="55">
        <f t="shared" si="18"/>
        <v>0</v>
      </c>
    </row>
    <row r="178" ht="13.5">
      <c r="A178" s="54"/>
      <c r="B178" s="5" t="s">
        <v>142</v>
      </c>
      <c r="C178" s="5" t="s">
        <v>147</v>
      </c>
      <c r="D178" s="55" t="str">
        <f>VLOOKUP($B178,Letters!$C$108:$D$131,2,FALSE) &amp; VLOOKUP($C178,Letters!$C$108:$D$131,2,FALSE)</f>
        <v>JO</v>
      </c>
      <c r="E178" s="61" t="s">
        <v>2969</v>
      </c>
      <c r="F178" s="5"/>
      <c r="G178" s="55">
        <f t="shared" si="17"/>
        <v>0</v>
      </c>
      <c r="H178" s="55">
        <f t="shared" si="18"/>
        <v>0</v>
      </c>
    </row>
    <row r="179" ht="13.5">
      <c r="A179" s="54"/>
      <c r="B179" s="5" t="s">
        <v>142</v>
      </c>
      <c r="C179" s="5" t="s">
        <v>148</v>
      </c>
      <c r="D179" s="55" t="str">
        <f>VLOOKUP($B179,Letters!$C$108:$D$131,2,FALSE) &amp; VLOOKUP($C179,Letters!$C$108:$D$131,2,FALSE)</f>
        <v>JP</v>
      </c>
      <c r="E179" s="61" t="s">
        <v>2974</v>
      </c>
      <c r="F179" s="5"/>
      <c r="G179" s="55">
        <f t="shared" si="17"/>
        <v>0</v>
      </c>
      <c r="H179" s="55">
        <f t="shared" si="18"/>
        <v>0</v>
      </c>
    </row>
    <row r="180" ht="13.5">
      <c r="A180" s="54"/>
      <c r="B180" s="5" t="s">
        <v>142</v>
      </c>
      <c r="C180" s="5" t="s">
        <v>149</v>
      </c>
      <c r="D180" s="55" t="str">
        <f>VLOOKUP($B180,Letters!$C$108:$D$131,2,FALSE) &amp; VLOOKUP($C180,Letters!$C$108:$D$131,2,FALSE)</f>
        <v>JA</v>
      </c>
      <c r="E180" s="61" t="s">
        <v>2975</v>
      </c>
      <c r="F180" s="5"/>
      <c r="G180" s="55">
        <f t="shared" si="17"/>
        <v>0</v>
      </c>
      <c r="H180" s="55">
        <f t="shared" si="18"/>
        <v>0</v>
      </c>
    </row>
    <row r="181" ht="13.5">
      <c r="A181" s="60"/>
      <c r="B181" s="5" t="s">
        <v>142</v>
      </c>
      <c r="C181" s="5" t="s">
        <v>150</v>
      </c>
      <c r="D181" s="55" t="str">
        <f>VLOOKUP($B181,Letters!$C$108:$D$131,2,FALSE) &amp; VLOOKUP($C181,Letters!$C$108:$D$131,2,FALSE)</f>
        <v>JR</v>
      </c>
      <c r="E181" s="61" t="s">
        <v>2978</v>
      </c>
      <c r="F181" s="5"/>
      <c r="G181" s="55">
        <f t="shared" si="17"/>
        <v>0</v>
      </c>
      <c r="H181" s="55">
        <f t="shared" si="18"/>
        <v>0</v>
      </c>
    </row>
    <row r="182" ht="13.5">
      <c r="A182" s="54"/>
      <c r="B182" s="5" t="s">
        <v>142</v>
      </c>
      <c r="C182" s="5" t="s">
        <v>151</v>
      </c>
      <c r="D182" s="55" t="str">
        <f>VLOOKUP($B182,Letters!$C$108:$D$131,2,FALSE) &amp; VLOOKUP($C182,Letters!$C$108:$D$131,2,FALSE)</f>
        <v>JS</v>
      </c>
      <c r="E182" s="61" t="s">
        <v>2981</v>
      </c>
      <c r="F182" s="5"/>
      <c r="G182" s="55">
        <f t="shared" si="17"/>
        <v>0</v>
      </c>
      <c r="H182" s="55">
        <f t="shared" si="18"/>
        <v>0</v>
      </c>
    </row>
    <row r="183" ht="13.5">
      <c r="A183" s="54"/>
      <c r="B183" s="5" t="s">
        <v>142</v>
      </c>
      <c r="C183" s="5" t="s">
        <v>152</v>
      </c>
      <c r="D183" s="55" t="str">
        <f>VLOOKUP($B183,Letters!$C$108:$D$131,2,FALSE) &amp; VLOOKUP($C183,Letters!$C$108:$D$131,2,FALSE)</f>
        <v>JT</v>
      </c>
      <c r="E183" s="61" t="s">
        <v>2984</v>
      </c>
      <c r="F183" s="5"/>
      <c r="G183" s="55">
        <f t="shared" si="17"/>
        <v>0</v>
      </c>
      <c r="H183" s="55">
        <f t="shared" si="18"/>
        <v>0</v>
      </c>
    </row>
    <row r="184" ht="13.5">
      <c r="A184" s="54"/>
      <c r="B184" s="5" t="s">
        <v>142</v>
      </c>
      <c r="C184" s="5" t="s">
        <v>153</v>
      </c>
      <c r="D184" s="55" t="str">
        <f>VLOOKUP($B184,Letters!$C$108:$D$131,2,FALSE) &amp; VLOOKUP($C184,Letters!$C$108:$D$131,2,FALSE)</f>
        <v>JU</v>
      </c>
      <c r="E184" s="61" t="s">
        <v>2987</v>
      </c>
      <c r="F184" s="5"/>
      <c r="G184" s="55">
        <f t="shared" si="17"/>
        <v>0</v>
      </c>
      <c r="H184" s="55">
        <f t="shared" si="18"/>
        <v>0</v>
      </c>
    </row>
    <row r="185" ht="13.5">
      <c r="A185" s="54"/>
      <c r="B185" s="5" t="s">
        <v>142</v>
      </c>
      <c r="C185" s="5" t="s">
        <v>154</v>
      </c>
      <c r="D185" s="55" t="str">
        <f>VLOOKUP($B185,Letters!$C$108:$D$131,2,FALSE) &amp; VLOOKUP($C185,Letters!$C$108:$D$131,2,FALSE)</f>
        <v>JV</v>
      </c>
      <c r="E185" s="61" t="s">
        <v>2990</v>
      </c>
      <c r="F185" s="5"/>
      <c r="G185" s="55">
        <f t="shared" si="17"/>
        <v>0</v>
      </c>
      <c r="H185" s="55">
        <f t="shared" si="18"/>
        <v>0</v>
      </c>
    </row>
    <row r="186" ht="13.5">
      <c r="A186" s="60"/>
      <c r="B186" s="5" t="s">
        <v>142</v>
      </c>
      <c r="C186" s="5" t="s">
        <v>155</v>
      </c>
      <c r="D186" s="55" t="str">
        <f>VLOOKUP($B186,Letters!$C$108:$D$131,2,FALSE) &amp; VLOOKUP($C186,Letters!$C$108:$D$131,2,FALSE)</f>
        <v>JW</v>
      </c>
      <c r="E186" s="61" t="s">
        <v>2993</v>
      </c>
      <c r="F186" s="5"/>
      <c r="G186" s="55">
        <f t="shared" si="17"/>
        <v>0</v>
      </c>
      <c r="H186" s="55">
        <f t="shared" si="18"/>
        <v>0</v>
      </c>
    </row>
    <row r="187" ht="13.5">
      <c r="A187" s="54"/>
      <c r="B187" s="5" t="s">
        <v>142</v>
      </c>
      <c r="C187" s="5" t="s">
        <v>156</v>
      </c>
      <c r="D187" s="55" t="str">
        <f>VLOOKUP($B187,Letters!$C$108:$D$131,2,FALSE) &amp; VLOOKUP($C187,Letters!$C$108:$D$131,2,FALSE)</f>
        <v>JX</v>
      </c>
      <c r="E187" s="61" t="s">
        <v>2996</v>
      </c>
      <c r="F187" s="5"/>
      <c r="G187" s="55">
        <f t="shared" si="17"/>
        <v>0</v>
      </c>
      <c r="H187" s="55">
        <f t="shared" si="18"/>
        <v>0</v>
      </c>
    </row>
    <row r="188">
      <c r="A188" s="60"/>
      <c r="B188" s="5"/>
      <c r="C188" s="5"/>
      <c r="D188" s="55"/>
      <c r="E188" s="5"/>
      <c r="F188" s="5"/>
      <c r="G188" s="55"/>
      <c r="H188" s="55"/>
    </row>
    <row r="189" ht="13.5">
      <c r="A189" s="60"/>
      <c r="B189" s="5" t="s">
        <v>143</v>
      </c>
      <c r="C189" s="5" t="s">
        <v>134</v>
      </c>
      <c r="D189" s="55" t="str">
        <f>VLOOKUP($B189,Letters!$C$108:$D$131,2,FALSE) &amp; VLOOKUP($C189,Letters!$C$108:$D$131,2,FALSE)</f>
        <v>KB</v>
      </c>
      <c r="E189" s="61" t="s">
        <v>2999</v>
      </c>
      <c r="F189" s="5" t="s">
        <v>3001</v>
      </c>
      <c r="G189" s="55">
        <f t="shared" ref="G189:G207" si="19">(len($F189)-len(SUBSTITUTE($F189,"R","")))+(len($F189)-len(SUBSTITUTE($F189,"L","")))+(len($F189)-len(SUBSTITUTE($F189,"U","")))+(len($F189)-len(SUBSTITUTE($F189,"D","")))+(len($F189)-len(SUBSTITUTE($F189,"F","")))+(len($F189)-len(SUBSTITUTE($F189,"B","")))+(len($F189)-len(SUBSTITUTE($F189,"r","")))+(len($F189)-len(SUBSTITUTE($F189,"l","")))+(len($F189)-len(SUBSTITUTE($F189,"u","")))+(len($F189)-len(SUBSTITUTE($F189,"d","")))+(len($F189)-len(SUBSTITUTE($F189,"M","")))+(len($F189)-len(SUBSTITUTE($F189,"E","")))</f>
        <v>11</v>
      </c>
      <c r="H189" s="55">
        <f t="shared" ref="H189:H207" si="20">(len($F189)-len(SUBSTITUTE($F189,"R","")))+(len($F189)-len(SUBSTITUTE($F189,"L","")))+(len($F189)-len(SUBSTITUTE($F189,"U","")))+(len($F189)-len(SUBSTITUTE($F189,"D","")))+(len($F189)-len(SUBSTITUTE($F189,"F","")))+(len($F189)-len(SUBSTITUTE($F189,"B","")))+(len($F189)-len(SUBSTITUTE($F189,"r","")))+(len($F189)-len(SUBSTITUTE($F189,"l","")))+(len($F189)-len(SUBSTITUTE($F189,"u","")))+(len($F189)-len(SUBSTITUTE($F189,"d","")))+(len($F189)-len(SUBSTITUTE($F189,"M","")))+(len($F189)-len(SUBSTITUTE($F189,"E","")))+(len($F189)-len(SUBSTITUTE($F189,"2","")))</f>
        <v>12</v>
      </c>
    </row>
    <row r="190" ht="13.5">
      <c r="A190" s="54"/>
      <c r="B190" s="5" t="s">
        <v>143</v>
      </c>
      <c r="C190" s="5" t="s">
        <v>135</v>
      </c>
      <c r="D190" s="55" t="str">
        <f>VLOOKUP($B190,Letters!$C$108:$D$131,2,FALSE) &amp; VLOOKUP($C190,Letters!$C$108:$D$131,2,FALSE)</f>
        <v>KC</v>
      </c>
      <c r="E190" s="61" t="s">
        <v>3009</v>
      </c>
      <c r="F190" s="5" t="s">
        <v>3010</v>
      </c>
      <c r="G190" s="55">
        <f t="shared" si="19"/>
        <v>13</v>
      </c>
      <c r="H190" s="55">
        <f t="shared" si="20"/>
        <v>14</v>
      </c>
    </row>
    <row r="191" ht="13.5">
      <c r="A191" s="60"/>
      <c r="B191" s="5" t="s">
        <v>143</v>
      </c>
      <c r="C191" s="5" t="s">
        <v>136</v>
      </c>
      <c r="D191" s="55" t="str">
        <f>VLOOKUP($B191,Letters!$C$108:$D$131,2,FALSE) &amp; VLOOKUP($C191,Letters!$C$108:$D$131,2,FALSE)</f>
        <v>KD</v>
      </c>
      <c r="E191" s="61" t="s">
        <v>3011</v>
      </c>
      <c r="F191" s="5" t="s">
        <v>3012</v>
      </c>
      <c r="G191" s="55">
        <f t="shared" si="19"/>
        <v>12</v>
      </c>
      <c r="H191" s="55">
        <f t="shared" si="20"/>
        <v>15</v>
      </c>
    </row>
    <row r="192" ht="13.5">
      <c r="A192" s="54"/>
      <c r="B192" s="5" t="s">
        <v>143</v>
      </c>
      <c r="C192" s="5" t="s">
        <v>137</v>
      </c>
      <c r="D192" s="55" t="str">
        <f>VLOOKUP($B192,Letters!$C$108:$D$131,2,FALSE) &amp; VLOOKUP($C192,Letters!$C$108:$D$131,2,FALSE)</f>
        <v>KE</v>
      </c>
      <c r="E192" s="61" t="s">
        <v>3013</v>
      </c>
      <c r="F192" s="5" t="s">
        <v>3014</v>
      </c>
      <c r="G192" s="55">
        <f t="shared" si="19"/>
        <v>12</v>
      </c>
      <c r="H192" s="55">
        <f t="shared" si="20"/>
        <v>13</v>
      </c>
    </row>
    <row r="193" ht="13.5">
      <c r="A193" s="54"/>
      <c r="B193" s="5" t="s">
        <v>143</v>
      </c>
      <c r="C193" s="5" t="s">
        <v>138</v>
      </c>
      <c r="D193" s="55" t="str">
        <f>VLOOKUP($B193,Letters!$C$108:$D$131,2,FALSE) &amp; VLOOKUP($C193,Letters!$C$108:$D$131,2,FALSE)</f>
        <v>KF</v>
      </c>
      <c r="E193" s="61" t="s">
        <v>3017</v>
      </c>
      <c r="F193" s="5" t="s">
        <v>3018</v>
      </c>
      <c r="G193" s="55">
        <f t="shared" si="19"/>
        <v>10</v>
      </c>
      <c r="H193" s="55">
        <f t="shared" si="20"/>
        <v>10</v>
      </c>
    </row>
    <row r="194" ht="13.5">
      <c r="A194" s="54"/>
      <c r="B194" s="5" t="s">
        <v>143</v>
      </c>
      <c r="C194" s="5" t="s">
        <v>139</v>
      </c>
      <c r="D194" s="55" t="str">
        <f>VLOOKUP($B194,Letters!$C$108:$D$131,2,FALSE) &amp; VLOOKUP($C194,Letters!$C$108:$D$131,2,FALSE)</f>
        <v>KG</v>
      </c>
      <c r="E194" s="61"/>
      <c r="F194" s="5"/>
      <c r="G194" s="55">
        <f t="shared" si="19"/>
        <v>0</v>
      </c>
      <c r="H194" s="55">
        <f t="shared" si="20"/>
        <v>0</v>
      </c>
    </row>
    <row r="195" ht="13.5">
      <c r="A195" s="54"/>
      <c r="B195" s="5" t="s">
        <v>143</v>
      </c>
      <c r="C195" s="5" t="s">
        <v>140</v>
      </c>
      <c r="D195" s="55" t="str">
        <f>VLOOKUP($B195,Letters!$C$108:$D$131,2,FALSE) &amp; VLOOKUP($C195,Letters!$C$108:$D$131,2,FALSE)</f>
        <v>KH</v>
      </c>
      <c r="E195" s="61"/>
      <c r="F195" s="5"/>
      <c r="G195" s="55">
        <f t="shared" si="19"/>
        <v>0</v>
      </c>
      <c r="H195" s="55">
        <f t="shared" si="20"/>
        <v>0</v>
      </c>
    </row>
    <row r="196" ht="13.5">
      <c r="A196" s="60"/>
      <c r="B196" s="5" t="s">
        <v>143</v>
      </c>
      <c r="C196" s="5" t="s">
        <v>145</v>
      </c>
      <c r="D196" s="55" t="str">
        <f>VLOOKUP($B196,Letters!$C$108:$D$131,2,FALSE) &amp; VLOOKUP($C196,Letters!$C$108:$D$131,2,FALSE)</f>
        <v>KM</v>
      </c>
      <c r="E196" s="61"/>
      <c r="F196" s="5"/>
      <c r="G196" s="55">
        <f t="shared" si="19"/>
        <v>0</v>
      </c>
      <c r="H196" s="55">
        <f t="shared" si="20"/>
        <v>0</v>
      </c>
    </row>
    <row r="197" ht="13.5">
      <c r="A197" s="54"/>
      <c r="B197" s="5" t="s">
        <v>143</v>
      </c>
      <c r="C197" s="5" t="s">
        <v>146</v>
      </c>
      <c r="D197" s="55" t="str">
        <f>VLOOKUP($B197,Letters!$C$108:$D$131,2,FALSE) &amp; VLOOKUP($C197,Letters!$C$108:$D$131,2,FALSE)</f>
        <v>KN</v>
      </c>
      <c r="E197" s="61" t="s">
        <v>3027</v>
      </c>
      <c r="F197" s="5"/>
      <c r="G197" s="55">
        <f t="shared" si="19"/>
        <v>0</v>
      </c>
      <c r="H197" s="55">
        <f t="shared" si="20"/>
        <v>0</v>
      </c>
    </row>
    <row r="198" ht="13.5">
      <c r="A198" s="54"/>
      <c r="B198" s="5" t="s">
        <v>143</v>
      </c>
      <c r="C198" s="5" t="s">
        <v>147</v>
      </c>
      <c r="D198" s="55" t="str">
        <f>VLOOKUP($B198,Letters!$C$108:$D$131,2,FALSE) &amp; VLOOKUP($C198,Letters!$C$108:$D$131,2,FALSE)</f>
        <v>KO</v>
      </c>
      <c r="E198" s="61" t="s">
        <v>3030</v>
      </c>
      <c r="F198" s="5"/>
      <c r="G198" s="55">
        <f t="shared" si="19"/>
        <v>0</v>
      </c>
      <c r="H198" s="55">
        <f t="shared" si="20"/>
        <v>0</v>
      </c>
    </row>
    <row r="199" ht="13.5">
      <c r="A199" s="54"/>
      <c r="B199" s="5" t="s">
        <v>143</v>
      </c>
      <c r="C199" s="5" t="s">
        <v>148</v>
      </c>
      <c r="D199" s="55" t="str">
        <f>VLOOKUP($B199,Letters!$C$108:$D$131,2,FALSE) &amp; VLOOKUP($C199,Letters!$C$108:$D$131,2,FALSE)</f>
        <v>KP</v>
      </c>
      <c r="E199" s="61" t="s">
        <v>3033</v>
      </c>
      <c r="F199" s="5"/>
      <c r="G199" s="55">
        <f t="shared" si="19"/>
        <v>0</v>
      </c>
      <c r="H199" s="55">
        <f t="shared" si="20"/>
        <v>0</v>
      </c>
    </row>
    <row r="200" ht="13.5">
      <c r="A200" s="54"/>
      <c r="B200" s="5" t="s">
        <v>143</v>
      </c>
      <c r="C200" s="5" t="s">
        <v>149</v>
      </c>
      <c r="D200" s="55" t="str">
        <f>VLOOKUP($B200,Letters!$C$108:$D$131,2,FALSE) &amp; VLOOKUP($C200,Letters!$C$108:$D$131,2,FALSE)</f>
        <v>KA</v>
      </c>
      <c r="E200" s="61" t="s">
        <v>3036</v>
      </c>
      <c r="F200" s="5" t="s">
        <v>3037</v>
      </c>
      <c r="G200" s="55">
        <f t="shared" si="19"/>
        <v>12</v>
      </c>
      <c r="H200" s="55">
        <f t="shared" si="20"/>
        <v>14</v>
      </c>
    </row>
    <row r="201" ht="13.5">
      <c r="A201" s="54"/>
      <c r="B201" s="5" t="s">
        <v>143</v>
      </c>
      <c r="C201" s="5" t="s">
        <v>150</v>
      </c>
      <c r="D201" s="55" t="str">
        <f>VLOOKUP($B201,Letters!$C$108:$D$131,2,FALSE) &amp; VLOOKUP($C201,Letters!$C$108:$D$131,2,FALSE)</f>
        <v>KR</v>
      </c>
      <c r="E201" s="61" t="s">
        <v>3040</v>
      </c>
      <c r="F201" s="5"/>
      <c r="G201" s="55">
        <f t="shared" si="19"/>
        <v>0</v>
      </c>
      <c r="H201" s="55">
        <f t="shared" si="20"/>
        <v>0</v>
      </c>
    </row>
    <row r="202" ht="13.5">
      <c r="A202" s="54"/>
      <c r="B202" s="5" t="s">
        <v>143</v>
      </c>
      <c r="C202" s="5" t="s">
        <v>151</v>
      </c>
      <c r="D202" s="55" t="str">
        <f>VLOOKUP($B202,Letters!$C$108:$D$131,2,FALSE) &amp; VLOOKUP($C202,Letters!$C$108:$D$131,2,FALSE)</f>
        <v>KS</v>
      </c>
      <c r="E202" s="61" t="s">
        <v>3043</v>
      </c>
      <c r="F202" s="5"/>
      <c r="G202" s="55">
        <f t="shared" si="19"/>
        <v>0</v>
      </c>
      <c r="H202" s="55">
        <f t="shared" si="20"/>
        <v>0</v>
      </c>
    </row>
    <row r="203" ht="13.5">
      <c r="A203" s="54"/>
      <c r="B203" s="5" t="s">
        <v>143</v>
      </c>
      <c r="C203" s="5" t="s">
        <v>152</v>
      </c>
      <c r="D203" s="55" t="str">
        <f>VLOOKUP($B203,Letters!$C$108:$D$131,2,FALSE) &amp; VLOOKUP($C203,Letters!$C$108:$D$131,2,FALSE)</f>
        <v>KT</v>
      </c>
      <c r="E203" s="61" t="s">
        <v>3046</v>
      </c>
      <c r="F203" s="5"/>
      <c r="G203" s="55">
        <f t="shared" si="19"/>
        <v>0</v>
      </c>
      <c r="H203" s="55">
        <f t="shared" si="20"/>
        <v>0</v>
      </c>
    </row>
    <row r="204" ht="13.5">
      <c r="A204" s="60"/>
      <c r="B204" s="5" t="s">
        <v>143</v>
      </c>
      <c r="C204" s="5" t="s">
        <v>153</v>
      </c>
      <c r="D204" s="55" t="str">
        <f>VLOOKUP($B204,Letters!$C$108:$D$131,2,FALSE) &amp; VLOOKUP($C204,Letters!$C$108:$D$131,2,FALSE)</f>
        <v>KU</v>
      </c>
      <c r="E204" s="61" t="s">
        <v>3049</v>
      </c>
      <c r="F204" s="5"/>
      <c r="G204" s="55">
        <f t="shared" si="19"/>
        <v>0</v>
      </c>
      <c r="H204" s="55">
        <f t="shared" si="20"/>
        <v>0</v>
      </c>
    </row>
    <row r="205" ht="13.5">
      <c r="A205" s="54"/>
      <c r="B205" s="5" t="s">
        <v>143</v>
      </c>
      <c r="C205" s="5" t="s">
        <v>154</v>
      </c>
      <c r="D205" s="55" t="str">
        <f>VLOOKUP($B205,Letters!$C$108:$D$131,2,FALSE) &amp; VLOOKUP($C205,Letters!$C$108:$D$131,2,FALSE)</f>
        <v>KV</v>
      </c>
      <c r="E205" s="61" t="s">
        <v>3052</v>
      </c>
      <c r="F205" s="5"/>
      <c r="G205" s="55">
        <f t="shared" si="19"/>
        <v>0</v>
      </c>
      <c r="H205" s="55">
        <f t="shared" si="20"/>
        <v>0</v>
      </c>
    </row>
    <row r="206" ht="13.5">
      <c r="A206" s="54"/>
      <c r="B206" s="5" t="s">
        <v>143</v>
      </c>
      <c r="C206" s="5" t="s">
        <v>155</v>
      </c>
      <c r="D206" s="55" t="str">
        <f>VLOOKUP($B206,Letters!$C$108:$D$131,2,FALSE) &amp; VLOOKUP($C206,Letters!$C$108:$D$131,2,FALSE)</f>
        <v>KW</v>
      </c>
      <c r="E206" s="61" t="s">
        <v>3055</v>
      </c>
      <c r="F206" s="5"/>
      <c r="G206" s="55">
        <f t="shared" si="19"/>
        <v>0</v>
      </c>
      <c r="H206" s="55">
        <f t="shared" si="20"/>
        <v>0</v>
      </c>
    </row>
    <row r="207" ht="13.5">
      <c r="A207" s="60"/>
      <c r="B207" s="5" t="s">
        <v>143</v>
      </c>
      <c r="C207" s="5" t="s">
        <v>156</v>
      </c>
      <c r="D207" s="55" t="str">
        <f>VLOOKUP($B207,Letters!$C$108:$D$131,2,FALSE) &amp; VLOOKUP($C207,Letters!$C$108:$D$131,2,FALSE)</f>
        <v>KX</v>
      </c>
      <c r="E207" s="61" t="s">
        <v>3058</v>
      </c>
      <c r="F207" s="5"/>
      <c r="G207" s="55">
        <f t="shared" si="19"/>
        <v>0</v>
      </c>
      <c r="H207" s="55">
        <f t="shared" si="20"/>
        <v>0</v>
      </c>
    </row>
    <row r="208">
      <c r="A208" s="54"/>
      <c r="B208" s="5"/>
      <c r="C208" s="5"/>
      <c r="D208" s="55"/>
      <c r="E208" s="5"/>
      <c r="F208" s="5"/>
      <c r="G208" s="55"/>
      <c r="H208" s="55"/>
    </row>
    <row r="209" ht="13.5">
      <c r="A209" s="54"/>
      <c r="B209" s="5" t="s">
        <v>144</v>
      </c>
      <c r="C209" s="5" t="s">
        <v>134</v>
      </c>
      <c r="D209" s="55" t="str">
        <f>VLOOKUP($B209,Letters!$C$108:$D$131,2,FALSE) &amp; VLOOKUP($C209,Letters!$C$108:$D$131,2,FALSE)</f>
        <v>LB</v>
      </c>
      <c r="E209" s="61" t="s">
        <v>3061</v>
      </c>
      <c r="F209" s="5" t="s">
        <v>3062</v>
      </c>
      <c r="G209" s="55">
        <f t="shared" ref="G209:G227" si="21">(len($F209)-len(SUBSTITUTE($F209,"R","")))+(len($F209)-len(SUBSTITUTE($F209,"L","")))+(len($F209)-len(SUBSTITUTE($F209,"U","")))+(len($F209)-len(SUBSTITUTE($F209,"D","")))+(len($F209)-len(SUBSTITUTE($F209,"F","")))+(len($F209)-len(SUBSTITUTE($F209,"B","")))+(len($F209)-len(SUBSTITUTE($F209,"r","")))+(len($F209)-len(SUBSTITUTE($F209,"l","")))+(len($F209)-len(SUBSTITUTE($F209,"u","")))+(len($F209)-len(SUBSTITUTE($F209,"d","")))+(len($F209)-len(SUBSTITUTE($F209,"M","")))+(len($F209)-len(SUBSTITUTE($F209,"E","")))</f>
        <v>8</v>
      </c>
      <c r="H209" s="55">
        <f t="shared" ref="H209:H227" si="22">(len($F209)-len(SUBSTITUTE($F209,"R","")))+(len($F209)-len(SUBSTITUTE($F209,"L","")))+(len($F209)-len(SUBSTITUTE($F209,"U","")))+(len($F209)-len(SUBSTITUTE($F209,"D","")))+(len($F209)-len(SUBSTITUTE($F209,"F","")))+(len($F209)-len(SUBSTITUTE($F209,"B","")))+(len($F209)-len(SUBSTITUTE($F209,"r","")))+(len($F209)-len(SUBSTITUTE($F209,"l","")))+(len($F209)-len(SUBSTITUTE($F209,"u","")))+(len($F209)-len(SUBSTITUTE($F209,"d","")))+(len($F209)-len(SUBSTITUTE($F209,"M","")))+(len($F209)-len(SUBSTITUTE($F209,"E","")))+(len($F209)-len(SUBSTITUTE($F209,"2","")))</f>
        <v>10</v>
      </c>
    </row>
    <row r="210" ht="13.5">
      <c r="A210" s="54"/>
      <c r="B210" s="5" t="s">
        <v>144</v>
      </c>
      <c r="C210" s="5" t="s">
        <v>135</v>
      </c>
      <c r="D210" s="55" t="str">
        <f>VLOOKUP($B210,Letters!$C$108:$D$131,2,FALSE) &amp; VLOOKUP($C210,Letters!$C$108:$D$131,2,FALSE)</f>
        <v>LC</v>
      </c>
      <c r="E210" s="61" t="s">
        <v>3069</v>
      </c>
      <c r="F210" s="5" t="s">
        <v>3070</v>
      </c>
      <c r="G210" s="55">
        <f t="shared" si="21"/>
        <v>9</v>
      </c>
      <c r="H210" s="55">
        <f t="shared" si="22"/>
        <v>12</v>
      </c>
    </row>
    <row r="211" ht="13.5">
      <c r="A211" s="54"/>
      <c r="B211" s="5" t="s">
        <v>144</v>
      </c>
      <c r="C211" s="5" t="s">
        <v>136</v>
      </c>
      <c r="D211" s="55" t="str">
        <f>VLOOKUP($B211,Letters!$C$108:$D$131,2,FALSE) &amp; VLOOKUP($C211,Letters!$C$108:$D$131,2,FALSE)</f>
        <v>LD</v>
      </c>
      <c r="E211" s="61" t="s">
        <v>3071</v>
      </c>
      <c r="F211" s="5" t="s">
        <v>3072</v>
      </c>
      <c r="G211" s="55">
        <f t="shared" si="21"/>
        <v>10</v>
      </c>
      <c r="H211" s="55">
        <f t="shared" si="22"/>
        <v>11</v>
      </c>
    </row>
    <row r="212" ht="13.5">
      <c r="A212" s="54"/>
      <c r="B212" s="5" t="s">
        <v>144</v>
      </c>
      <c r="C212" s="5" t="s">
        <v>137</v>
      </c>
      <c r="D212" s="55" t="str">
        <f>VLOOKUP($B212,Letters!$C$108:$D$131,2,FALSE) &amp; VLOOKUP($C212,Letters!$C$108:$D$131,2,FALSE)</f>
        <v>LE</v>
      </c>
      <c r="E212" s="61" t="s">
        <v>3075</v>
      </c>
      <c r="F212" s="5" t="s">
        <v>3076</v>
      </c>
      <c r="G212" s="55">
        <f t="shared" si="21"/>
        <v>9</v>
      </c>
      <c r="H212" s="55">
        <f t="shared" si="22"/>
        <v>9</v>
      </c>
    </row>
    <row r="213" ht="13.5">
      <c r="A213" s="54"/>
      <c r="B213" s="5" t="s">
        <v>144</v>
      </c>
      <c r="C213" s="5" t="s">
        <v>138</v>
      </c>
      <c r="D213" s="55" t="str">
        <f>VLOOKUP($B213,Letters!$C$108:$D$131,2,FALSE) &amp; VLOOKUP($C213,Letters!$C$108:$D$131,2,FALSE)</f>
        <v>LF</v>
      </c>
      <c r="E213" s="61" t="s">
        <v>3079</v>
      </c>
      <c r="F213" s="5" t="s">
        <v>3080</v>
      </c>
      <c r="G213" s="55">
        <f t="shared" si="21"/>
        <v>10</v>
      </c>
      <c r="H213" s="55">
        <f t="shared" si="22"/>
        <v>12</v>
      </c>
    </row>
    <row r="214" ht="13.5">
      <c r="A214" s="54"/>
      <c r="B214" s="5" t="s">
        <v>144</v>
      </c>
      <c r="C214" s="5" t="s">
        <v>139</v>
      </c>
      <c r="D214" s="55" t="str">
        <f>VLOOKUP($B214,Letters!$C$108:$D$131,2,FALSE) &amp; VLOOKUP($C214,Letters!$C$108:$D$131,2,FALSE)</f>
        <v>LG</v>
      </c>
      <c r="E214" s="61"/>
      <c r="F214" s="5"/>
      <c r="G214" s="55">
        <f t="shared" si="21"/>
        <v>0</v>
      </c>
      <c r="H214" s="55">
        <f t="shared" si="22"/>
        <v>0</v>
      </c>
    </row>
    <row r="215" ht="13.5">
      <c r="A215" s="60"/>
      <c r="B215" s="5" t="s">
        <v>144</v>
      </c>
      <c r="C215" s="5" t="s">
        <v>140</v>
      </c>
      <c r="D215" s="55" t="str">
        <f>VLOOKUP($B215,Letters!$C$108:$D$131,2,FALSE) &amp; VLOOKUP($C215,Letters!$C$108:$D$131,2,FALSE)</f>
        <v>LH</v>
      </c>
      <c r="E215" s="61"/>
      <c r="F215" s="5"/>
      <c r="G215" s="55">
        <f t="shared" si="21"/>
        <v>0</v>
      </c>
      <c r="H215" s="55">
        <f t="shared" si="22"/>
        <v>0</v>
      </c>
    </row>
    <row r="216" ht="13.5">
      <c r="A216" s="60"/>
      <c r="B216" s="5" t="s">
        <v>144</v>
      </c>
      <c r="C216" s="5" t="s">
        <v>145</v>
      </c>
      <c r="D216" s="55" t="str">
        <f>VLOOKUP($B216,Letters!$C$108:$D$131,2,FALSE) &amp; VLOOKUP($C216,Letters!$C$108:$D$131,2,FALSE)</f>
        <v>LM</v>
      </c>
      <c r="E216" s="61" t="s">
        <v>3089</v>
      </c>
      <c r="F216" s="5"/>
      <c r="G216" s="55">
        <f t="shared" si="21"/>
        <v>0</v>
      </c>
      <c r="H216" s="55">
        <f t="shared" si="22"/>
        <v>0</v>
      </c>
    </row>
    <row r="217" ht="13.5">
      <c r="A217" s="60"/>
      <c r="B217" s="5" t="s">
        <v>144</v>
      </c>
      <c r="C217" s="5" t="s">
        <v>146</v>
      </c>
      <c r="D217" s="55" t="str">
        <f>VLOOKUP($B217,Letters!$C$108:$D$131,2,FALSE) &amp; VLOOKUP($C217,Letters!$C$108:$D$131,2,FALSE)</f>
        <v>LN</v>
      </c>
      <c r="E217" s="61" t="s">
        <v>3092</v>
      </c>
      <c r="F217" s="5"/>
      <c r="G217" s="55">
        <f t="shared" si="21"/>
        <v>0</v>
      </c>
      <c r="H217" s="55">
        <f t="shared" si="22"/>
        <v>0</v>
      </c>
    </row>
    <row r="218" ht="13.5">
      <c r="A218" s="60"/>
      <c r="B218" s="5" t="s">
        <v>144</v>
      </c>
      <c r="C218" s="5" t="s">
        <v>147</v>
      </c>
      <c r="D218" s="55" t="str">
        <f>VLOOKUP($B218,Letters!$C$108:$D$131,2,FALSE) &amp; VLOOKUP($C218,Letters!$C$108:$D$131,2,FALSE)</f>
        <v>LO</v>
      </c>
      <c r="E218" s="61" t="s">
        <v>3099</v>
      </c>
      <c r="F218" s="5"/>
      <c r="G218" s="55">
        <f t="shared" si="21"/>
        <v>0</v>
      </c>
      <c r="H218" s="55">
        <f t="shared" si="22"/>
        <v>0</v>
      </c>
    </row>
    <row r="219" ht="13.5">
      <c r="A219" s="60"/>
      <c r="B219" s="5" t="s">
        <v>144</v>
      </c>
      <c r="C219" s="5" t="s">
        <v>148</v>
      </c>
      <c r="D219" s="55" t="str">
        <f>VLOOKUP($B219,Letters!$C$108:$D$131,2,FALSE) &amp; VLOOKUP($C219,Letters!$C$108:$D$131,2,FALSE)</f>
        <v>LP</v>
      </c>
      <c r="E219" s="61" t="s">
        <v>3102</v>
      </c>
      <c r="F219" s="5"/>
      <c r="G219" s="55">
        <f t="shared" si="21"/>
        <v>0</v>
      </c>
      <c r="H219" s="55">
        <f t="shared" si="22"/>
        <v>0</v>
      </c>
    </row>
    <row r="220" ht="13.5">
      <c r="A220" s="60"/>
      <c r="B220" s="5" t="s">
        <v>144</v>
      </c>
      <c r="C220" s="5" t="s">
        <v>149</v>
      </c>
      <c r="D220" s="55" t="str">
        <f>VLOOKUP($B220,Letters!$C$108:$D$131,2,FALSE) &amp; VLOOKUP($C220,Letters!$C$108:$D$131,2,FALSE)</f>
        <v>LA</v>
      </c>
      <c r="E220" s="61" t="s">
        <v>3105</v>
      </c>
      <c r="F220" s="5"/>
      <c r="G220" s="55">
        <f t="shared" si="21"/>
        <v>0</v>
      </c>
      <c r="H220" s="55">
        <f t="shared" si="22"/>
        <v>0</v>
      </c>
    </row>
    <row r="221" ht="13.5">
      <c r="A221" s="60"/>
      <c r="B221" s="5" t="s">
        <v>144</v>
      </c>
      <c r="C221" s="5" t="s">
        <v>150</v>
      </c>
      <c r="D221" s="55" t="str">
        <f>VLOOKUP($B221,Letters!$C$108:$D$131,2,FALSE) &amp; VLOOKUP($C221,Letters!$C$108:$D$131,2,FALSE)</f>
        <v>LR</v>
      </c>
      <c r="E221" s="61" t="s">
        <v>3108</v>
      </c>
      <c r="F221" s="5"/>
      <c r="G221" s="55">
        <f t="shared" si="21"/>
        <v>0</v>
      </c>
      <c r="H221" s="55">
        <f t="shared" si="22"/>
        <v>0</v>
      </c>
    </row>
    <row r="222" ht="13.5">
      <c r="A222" s="60"/>
      <c r="B222" s="5" t="s">
        <v>144</v>
      </c>
      <c r="C222" s="5" t="s">
        <v>151</v>
      </c>
      <c r="D222" s="55" t="str">
        <f>VLOOKUP($B222,Letters!$C$108:$D$131,2,FALSE) &amp; VLOOKUP($C222,Letters!$C$108:$D$131,2,FALSE)</f>
        <v>LS</v>
      </c>
      <c r="E222" s="61" t="s">
        <v>3111</v>
      </c>
      <c r="F222" s="5"/>
      <c r="G222" s="55">
        <f t="shared" si="21"/>
        <v>0</v>
      </c>
      <c r="H222" s="55">
        <f t="shared" si="22"/>
        <v>0</v>
      </c>
    </row>
    <row r="223" ht="13.5">
      <c r="A223" s="60"/>
      <c r="B223" s="5" t="s">
        <v>144</v>
      </c>
      <c r="C223" s="5" t="s">
        <v>152</v>
      </c>
      <c r="D223" s="55" t="str">
        <f>VLOOKUP($B223,Letters!$C$108:$D$131,2,FALSE) &amp; VLOOKUP($C223,Letters!$C$108:$D$131,2,FALSE)</f>
        <v>LT</v>
      </c>
      <c r="E223" s="61" t="s">
        <v>3114</v>
      </c>
      <c r="F223" s="5"/>
      <c r="G223" s="55">
        <f t="shared" si="21"/>
        <v>0</v>
      </c>
      <c r="H223" s="55">
        <f t="shared" si="22"/>
        <v>0</v>
      </c>
    </row>
    <row r="224" ht="13.5">
      <c r="A224" s="60"/>
      <c r="B224" s="5" t="s">
        <v>144</v>
      </c>
      <c r="C224" s="5" t="s">
        <v>153</v>
      </c>
      <c r="D224" s="55" t="str">
        <f>VLOOKUP($B224,Letters!$C$108:$D$131,2,FALSE) &amp; VLOOKUP($C224,Letters!$C$108:$D$131,2,FALSE)</f>
        <v>LU</v>
      </c>
      <c r="E224" s="61" t="s">
        <v>3117</v>
      </c>
      <c r="F224" s="5"/>
      <c r="G224" s="55">
        <f t="shared" si="21"/>
        <v>0</v>
      </c>
      <c r="H224" s="55">
        <f t="shared" si="22"/>
        <v>0</v>
      </c>
    </row>
    <row r="225" ht="13.5">
      <c r="A225" s="60"/>
      <c r="B225" s="5" t="s">
        <v>144</v>
      </c>
      <c r="C225" s="5" t="s">
        <v>154</v>
      </c>
      <c r="D225" s="55" t="str">
        <f>VLOOKUP($B225,Letters!$C$108:$D$131,2,FALSE) &amp; VLOOKUP($C225,Letters!$C$108:$D$131,2,FALSE)</f>
        <v>LV</v>
      </c>
      <c r="E225" s="61" t="s">
        <v>3122</v>
      </c>
      <c r="F225" s="5"/>
      <c r="G225" s="55">
        <f t="shared" si="21"/>
        <v>0</v>
      </c>
      <c r="H225" s="55">
        <f t="shared" si="22"/>
        <v>0</v>
      </c>
    </row>
    <row r="226" ht="13.5">
      <c r="A226" s="60"/>
      <c r="B226" s="5" t="s">
        <v>144</v>
      </c>
      <c r="C226" s="5" t="s">
        <v>155</v>
      </c>
      <c r="D226" s="55" t="str">
        <f>VLOOKUP($B226,Letters!$C$108:$D$131,2,FALSE) &amp; VLOOKUP($C226,Letters!$C$108:$D$131,2,FALSE)</f>
        <v>LW</v>
      </c>
      <c r="E226" s="61" t="s">
        <v>3125</v>
      </c>
      <c r="F226" s="5"/>
      <c r="G226" s="55">
        <f t="shared" si="21"/>
        <v>0</v>
      </c>
      <c r="H226" s="55">
        <f t="shared" si="22"/>
        <v>0</v>
      </c>
    </row>
    <row r="227" ht="13.5">
      <c r="A227" s="60"/>
      <c r="B227" s="5" t="s">
        <v>144</v>
      </c>
      <c r="C227" s="5" t="s">
        <v>156</v>
      </c>
      <c r="D227" s="55" t="str">
        <f>VLOOKUP($B227,Letters!$C$108:$D$131,2,FALSE) &amp; VLOOKUP($C227,Letters!$C$108:$D$131,2,FALSE)</f>
        <v>LX</v>
      </c>
      <c r="E227" s="61" t="s">
        <v>3126</v>
      </c>
      <c r="F227" s="5"/>
      <c r="G227" s="55">
        <f t="shared" si="21"/>
        <v>0</v>
      </c>
      <c r="H227" s="55">
        <f t="shared" si="22"/>
        <v>0</v>
      </c>
    </row>
    <row r="228">
      <c r="A228" s="60"/>
      <c r="B228" s="5"/>
      <c r="C228" s="5"/>
      <c r="D228" s="55"/>
      <c r="E228" s="5"/>
      <c r="F228" s="5"/>
      <c r="G228" s="55"/>
      <c r="H228" s="55"/>
    </row>
    <row r="229" ht="13.5">
      <c r="A229" s="60"/>
      <c r="B229" s="5" t="s">
        <v>145</v>
      </c>
      <c r="C229" s="5" t="s">
        <v>134</v>
      </c>
      <c r="D229" s="55" t="str">
        <f>VLOOKUP($B229,Letters!$C$108:$D$131,2,FALSE) &amp; VLOOKUP($C229,Letters!$C$108:$D$131,2,FALSE)</f>
        <v>MB</v>
      </c>
      <c r="E229" s="61" t="s">
        <v>3129</v>
      </c>
      <c r="F229" s="5" t="s">
        <v>3130</v>
      </c>
      <c r="G229" s="55">
        <f t="shared" ref="G229:G247" si="23">(len($F229)-len(SUBSTITUTE($F229,"R","")))+(len($F229)-len(SUBSTITUTE($F229,"L","")))+(len($F229)-len(SUBSTITUTE($F229,"U","")))+(len($F229)-len(SUBSTITUTE($F229,"D","")))+(len($F229)-len(SUBSTITUTE($F229,"F","")))+(len($F229)-len(SUBSTITUTE($F229,"B","")))+(len($F229)-len(SUBSTITUTE($F229,"r","")))+(len($F229)-len(SUBSTITUTE($F229,"l","")))+(len($F229)-len(SUBSTITUTE($F229,"u","")))+(len($F229)-len(SUBSTITUTE($F229,"d","")))+(len($F229)-len(SUBSTITUTE($F229,"M","")))+(len($F229)-len(SUBSTITUTE($F229,"E","")))</f>
        <v>8</v>
      </c>
      <c r="H229" s="55">
        <f t="shared" ref="H229:H247" si="24">(len($F229)-len(SUBSTITUTE($F229,"R","")))+(len($F229)-len(SUBSTITUTE($F229,"L","")))+(len($F229)-len(SUBSTITUTE($F229,"U","")))+(len($F229)-len(SUBSTITUTE($F229,"D","")))+(len($F229)-len(SUBSTITUTE($F229,"F","")))+(len($F229)-len(SUBSTITUTE($F229,"B","")))+(len($F229)-len(SUBSTITUTE($F229,"r","")))+(len($F229)-len(SUBSTITUTE($F229,"l","")))+(len($F229)-len(SUBSTITUTE($F229,"u","")))+(len($F229)-len(SUBSTITUTE($F229,"d","")))+(len($F229)-len(SUBSTITUTE($F229,"M","")))+(len($F229)-len(SUBSTITUTE($F229,"E","")))+(len($F229)-len(SUBSTITUTE($F229,"2","")))</f>
        <v>8</v>
      </c>
    </row>
    <row r="230" ht="13.5">
      <c r="A230" s="60"/>
      <c r="B230" s="5" t="s">
        <v>145</v>
      </c>
      <c r="C230" s="5" t="s">
        <v>135</v>
      </c>
      <c r="D230" s="55" t="str">
        <f>VLOOKUP($B230,Letters!$C$108:$D$131,2,FALSE) &amp; VLOOKUP($C230,Letters!$C$108:$D$131,2,FALSE)</f>
        <v>MC</v>
      </c>
      <c r="E230" s="61" t="s">
        <v>3137</v>
      </c>
      <c r="F230" s="5" t="s">
        <v>3138</v>
      </c>
      <c r="G230" s="55">
        <f t="shared" si="23"/>
        <v>8</v>
      </c>
      <c r="H230" s="55">
        <f t="shared" si="24"/>
        <v>10</v>
      </c>
    </row>
    <row r="231" ht="13.5">
      <c r="A231" s="60"/>
      <c r="B231" s="5" t="s">
        <v>145</v>
      </c>
      <c r="C231" s="5" t="s">
        <v>136</v>
      </c>
      <c r="D231" s="55" t="str">
        <f>VLOOKUP($B231,Letters!$C$108:$D$131,2,FALSE) &amp; VLOOKUP($C231,Letters!$C$108:$D$131,2,FALSE)</f>
        <v>MD</v>
      </c>
      <c r="E231" s="61" t="s">
        <v>3141</v>
      </c>
      <c r="F231" s="5" t="s">
        <v>3142</v>
      </c>
      <c r="G231" s="55">
        <f t="shared" si="23"/>
        <v>8</v>
      </c>
      <c r="H231" s="55">
        <f t="shared" si="24"/>
        <v>8</v>
      </c>
    </row>
    <row r="232" ht="13.5">
      <c r="A232" s="60"/>
      <c r="B232" s="5" t="s">
        <v>145</v>
      </c>
      <c r="C232" s="5" t="s">
        <v>137</v>
      </c>
      <c r="D232" s="55" t="str">
        <f>VLOOKUP($B232,Letters!$C$108:$D$131,2,FALSE) &amp; VLOOKUP($C232,Letters!$C$108:$D$131,2,FALSE)</f>
        <v>ME</v>
      </c>
      <c r="E232" s="61" t="s">
        <v>3145</v>
      </c>
      <c r="F232" s="5" t="s">
        <v>3146</v>
      </c>
      <c r="G232" s="55">
        <f t="shared" si="23"/>
        <v>10</v>
      </c>
      <c r="H232" s="55">
        <f t="shared" si="24"/>
        <v>12</v>
      </c>
    </row>
    <row r="233" ht="13.5">
      <c r="A233" s="54"/>
      <c r="B233" s="5" t="s">
        <v>145</v>
      </c>
      <c r="C233" s="5" t="s">
        <v>138</v>
      </c>
      <c r="D233" s="55" t="str">
        <f>VLOOKUP($B233,Letters!$C$108:$D$131,2,FALSE) &amp; VLOOKUP($C233,Letters!$C$108:$D$131,2,FALSE)</f>
        <v>MF</v>
      </c>
      <c r="E233" s="61" t="s">
        <v>3149</v>
      </c>
      <c r="F233" s="5" t="s">
        <v>3150</v>
      </c>
      <c r="G233" s="55">
        <f t="shared" si="23"/>
        <v>11</v>
      </c>
      <c r="H233" s="55">
        <f t="shared" si="24"/>
        <v>12</v>
      </c>
    </row>
    <row r="234" ht="13.5">
      <c r="A234" s="60"/>
      <c r="B234" s="5" t="s">
        <v>145</v>
      </c>
      <c r="C234" s="5" t="s">
        <v>139</v>
      </c>
      <c r="D234" s="55" t="str">
        <f>VLOOKUP($B234,Letters!$C$108:$D$131,2,FALSE) &amp; VLOOKUP($C234,Letters!$C$108:$D$131,2,FALSE)</f>
        <v>MG</v>
      </c>
      <c r="E234" s="61"/>
      <c r="F234" s="5"/>
      <c r="G234" s="55">
        <f t="shared" si="23"/>
        <v>0</v>
      </c>
      <c r="H234" s="55">
        <f t="shared" si="24"/>
        <v>0</v>
      </c>
    </row>
    <row r="235" ht="13.5">
      <c r="A235" s="54"/>
      <c r="B235" s="5" t="s">
        <v>145</v>
      </c>
      <c r="C235" s="5" t="s">
        <v>140</v>
      </c>
      <c r="D235" s="55" t="str">
        <f>VLOOKUP($B235,Letters!$C$108:$D$131,2,FALSE) &amp; VLOOKUP($C235,Letters!$C$108:$D$131,2,FALSE)</f>
        <v>MH</v>
      </c>
      <c r="E235" s="61"/>
      <c r="F235" s="5"/>
      <c r="G235" s="55">
        <f t="shared" si="23"/>
        <v>0</v>
      </c>
      <c r="H235" s="55">
        <f t="shared" si="24"/>
        <v>0</v>
      </c>
    </row>
    <row r="236" ht="13.5">
      <c r="A236" s="60"/>
      <c r="B236" s="5" t="s">
        <v>145</v>
      </c>
      <c r="C236" s="5" t="s">
        <v>141</v>
      </c>
      <c r="D236" s="55" t="str">
        <f>VLOOKUP($B236,Letters!$C$108:$D$131,2,FALSE) &amp; VLOOKUP($C236,Letters!$C$108:$D$131,2,FALSE)</f>
        <v>MI</v>
      </c>
      <c r="E236" s="61"/>
      <c r="F236" s="5"/>
      <c r="G236" s="55">
        <f t="shared" si="23"/>
        <v>0</v>
      </c>
      <c r="H236" s="55">
        <f t="shared" si="24"/>
        <v>0</v>
      </c>
    </row>
    <row r="237" ht="13.5">
      <c r="A237" s="54"/>
      <c r="B237" s="5" t="s">
        <v>145</v>
      </c>
      <c r="C237" s="5" t="s">
        <v>142</v>
      </c>
      <c r="D237" s="55" t="str">
        <f>VLOOKUP($B237,Letters!$C$108:$D$131,2,FALSE) &amp; VLOOKUP($C237,Letters!$C$108:$D$131,2,FALSE)</f>
        <v>MJ</v>
      </c>
      <c r="E237" s="61"/>
      <c r="F237" s="5"/>
      <c r="G237" s="55">
        <f t="shared" si="23"/>
        <v>0</v>
      </c>
      <c r="H237" s="55">
        <f t="shared" si="24"/>
        <v>0</v>
      </c>
    </row>
    <row r="238" ht="13.5">
      <c r="A238" s="54"/>
      <c r="B238" s="5" t="s">
        <v>145</v>
      </c>
      <c r="C238" s="5" t="s">
        <v>143</v>
      </c>
      <c r="D238" s="55" t="str">
        <f>VLOOKUP($B238,Letters!$C$108:$D$131,2,FALSE) &amp; VLOOKUP($C238,Letters!$C$108:$D$131,2,FALSE)</f>
        <v>MK</v>
      </c>
      <c r="E238" s="61"/>
      <c r="F238" s="5"/>
      <c r="G238" s="55">
        <f t="shared" si="23"/>
        <v>0</v>
      </c>
      <c r="H238" s="55">
        <f t="shared" si="24"/>
        <v>0</v>
      </c>
    </row>
    <row r="239" ht="13.5">
      <c r="A239" s="54"/>
      <c r="B239" s="5" t="s">
        <v>145</v>
      </c>
      <c r="C239" s="5" t="s">
        <v>144</v>
      </c>
      <c r="D239" s="55" t="str">
        <f>VLOOKUP($B239,Letters!$C$108:$D$131,2,FALSE) &amp; VLOOKUP($C239,Letters!$C$108:$D$131,2,FALSE)</f>
        <v>ML</v>
      </c>
      <c r="E239" s="61"/>
      <c r="F239" s="5"/>
      <c r="G239" s="55">
        <f t="shared" si="23"/>
        <v>0</v>
      </c>
      <c r="H239" s="55">
        <f t="shared" si="24"/>
        <v>0</v>
      </c>
    </row>
    <row r="240" ht="13.5">
      <c r="A240" s="54"/>
      <c r="B240" s="5" t="s">
        <v>145</v>
      </c>
      <c r="C240" s="5" t="s">
        <v>149</v>
      </c>
      <c r="D240" s="55" t="str">
        <f>VLOOKUP($B240,Letters!$C$108:$D$131,2,FALSE) &amp; VLOOKUP($C240,Letters!$C$108:$D$131,2,FALSE)</f>
        <v>MA</v>
      </c>
      <c r="E240" s="61" t="s">
        <v>3167</v>
      </c>
      <c r="F240" s="5"/>
      <c r="G240" s="55">
        <f t="shared" si="23"/>
        <v>0</v>
      </c>
      <c r="H240" s="55">
        <f t="shared" si="24"/>
        <v>0</v>
      </c>
    </row>
    <row r="241" ht="13.5">
      <c r="A241" s="54"/>
      <c r="B241" s="5" t="s">
        <v>145</v>
      </c>
      <c r="C241" s="5" t="s">
        <v>150</v>
      </c>
      <c r="D241" s="55" t="str">
        <f>VLOOKUP($B241,Letters!$C$108:$D$131,2,FALSE) &amp; VLOOKUP($C241,Letters!$C$108:$D$131,2,FALSE)</f>
        <v>MR</v>
      </c>
      <c r="E241" s="61" t="s">
        <v>3170</v>
      </c>
      <c r="F241" s="5"/>
      <c r="G241" s="55">
        <f t="shared" si="23"/>
        <v>0</v>
      </c>
      <c r="H241" s="55">
        <f t="shared" si="24"/>
        <v>0</v>
      </c>
    </row>
    <row r="242" ht="13.5">
      <c r="A242" s="60"/>
      <c r="B242" s="5" t="s">
        <v>145</v>
      </c>
      <c r="C242" s="5" t="s">
        <v>151</v>
      </c>
      <c r="D242" s="55" t="str">
        <f>VLOOKUP($B242,Letters!$C$108:$D$131,2,FALSE) &amp; VLOOKUP($C242,Letters!$C$108:$D$131,2,FALSE)</f>
        <v>MS</v>
      </c>
      <c r="E242" s="61" t="s">
        <v>3173</v>
      </c>
      <c r="F242" s="5" t="s">
        <v>3174</v>
      </c>
      <c r="G242" s="55">
        <f t="shared" si="23"/>
        <v>10</v>
      </c>
      <c r="H242" s="55">
        <f t="shared" si="24"/>
        <v>11</v>
      </c>
    </row>
    <row r="243" ht="13.5">
      <c r="A243" s="54"/>
      <c r="B243" s="5" t="s">
        <v>145</v>
      </c>
      <c r="C243" s="5" t="s">
        <v>152</v>
      </c>
      <c r="D243" s="55" t="str">
        <f>VLOOKUP($B243,Letters!$C$108:$D$131,2,FALSE) &amp; VLOOKUP($C243,Letters!$C$108:$D$131,2,FALSE)</f>
        <v>MT</v>
      </c>
      <c r="E243" s="61" t="s">
        <v>3177</v>
      </c>
      <c r="F243" s="5"/>
      <c r="G243" s="55">
        <f t="shared" si="23"/>
        <v>0</v>
      </c>
      <c r="H243" s="55">
        <f t="shared" si="24"/>
        <v>0</v>
      </c>
    </row>
    <row r="244" ht="13.5">
      <c r="A244" s="54"/>
      <c r="B244" s="5" t="s">
        <v>145</v>
      </c>
      <c r="C244" s="5" t="s">
        <v>153</v>
      </c>
      <c r="D244" s="55" t="str">
        <f>VLOOKUP($B244,Letters!$C$108:$D$131,2,FALSE) &amp; VLOOKUP($C244,Letters!$C$108:$D$131,2,FALSE)</f>
        <v>MU</v>
      </c>
      <c r="E244" s="61" t="s">
        <v>3178</v>
      </c>
      <c r="F244" s="5"/>
      <c r="G244" s="55">
        <f t="shared" si="23"/>
        <v>0</v>
      </c>
      <c r="H244" s="55">
        <f t="shared" si="24"/>
        <v>0</v>
      </c>
    </row>
    <row r="245" ht="13.5">
      <c r="A245" s="60"/>
      <c r="B245" s="5" t="s">
        <v>145</v>
      </c>
      <c r="C245" s="5" t="s">
        <v>154</v>
      </c>
      <c r="D245" s="55" t="str">
        <f>VLOOKUP($B245,Letters!$C$108:$D$131,2,FALSE) &amp; VLOOKUP($C245,Letters!$C$108:$D$131,2,FALSE)</f>
        <v>MV</v>
      </c>
      <c r="E245" s="61" t="s">
        <v>3179</v>
      </c>
      <c r="F245" s="5"/>
      <c r="G245" s="55">
        <f t="shared" si="23"/>
        <v>0</v>
      </c>
      <c r="H245" s="55">
        <f t="shared" si="24"/>
        <v>0</v>
      </c>
    </row>
    <row r="246" ht="13.5">
      <c r="A246" s="54"/>
      <c r="B246" s="5" t="s">
        <v>145</v>
      </c>
      <c r="C246" s="5" t="s">
        <v>155</v>
      </c>
      <c r="D246" s="55" t="str">
        <f>VLOOKUP($B246,Letters!$C$108:$D$131,2,FALSE) &amp; VLOOKUP($C246,Letters!$C$108:$D$131,2,FALSE)</f>
        <v>MW</v>
      </c>
      <c r="E246" s="61" t="s">
        <v>3182</v>
      </c>
      <c r="F246" s="5"/>
      <c r="G246" s="55">
        <f t="shared" si="23"/>
        <v>0</v>
      </c>
      <c r="H246" s="55">
        <f t="shared" si="24"/>
        <v>0</v>
      </c>
    </row>
    <row r="247" ht="13.5">
      <c r="A247" s="60"/>
      <c r="B247" s="5" t="s">
        <v>145</v>
      </c>
      <c r="C247" s="5" t="s">
        <v>156</v>
      </c>
      <c r="D247" s="55" t="str">
        <f>VLOOKUP($B247,Letters!$C$108:$D$131,2,FALSE) &amp; VLOOKUP($C247,Letters!$C$108:$D$131,2,FALSE)</f>
        <v>MX</v>
      </c>
      <c r="E247" s="61" t="s">
        <v>3185</v>
      </c>
      <c r="F247" s="5"/>
      <c r="G247" s="55">
        <f t="shared" si="23"/>
        <v>0</v>
      </c>
      <c r="H247" s="55">
        <f t="shared" si="24"/>
        <v>0</v>
      </c>
    </row>
    <row r="248">
      <c r="A248" s="54"/>
      <c r="B248" s="5"/>
      <c r="C248" s="5"/>
      <c r="D248" s="55"/>
      <c r="E248" s="5"/>
      <c r="F248" s="5"/>
      <c r="G248" s="55"/>
      <c r="H248" s="55"/>
    </row>
    <row r="249" ht="13.5">
      <c r="A249" s="54"/>
      <c r="B249" s="5" t="s">
        <v>146</v>
      </c>
      <c r="C249" s="5" t="s">
        <v>134</v>
      </c>
      <c r="D249" s="55" t="str">
        <f>VLOOKUP($B249,Letters!$C$108:$D$131,2,FALSE) &amp; VLOOKUP($C249,Letters!$C$108:$D$131,2,FALSE)</f>
        <v>NB</v>
      </c>
      <c r="E249" s="61" t="s">
        <v>3188</v>
      </c>
      <c r="F249" s="5" t="s">
        <v>3189</v>
      </c>
      <c r="G249" s="55">
        <f t="shared" ref="G249:G267" si="25">(len($F249)-len(SUBSTITUTE($F249,"R","")))+(len($F249)-len(SUBSTITUTE($F249,"L","")))+(len($F249)-len(SUBSTITUTE($F249,"U","")))+(len($F249)-len(SUBSTITUTE($F249,"D","")))+(len($F249)-len(SUBSTITUTE($F249,"F","")))+(len($F249)-len(SUBSTITUTE($F249,"B","")))+(len($F249)-len(SUBSTITUTE($F249,"r","")))+(len($F249)-len(SUBSTITUTE($F249,"l","")))+(len($F249)-len(SUBSTITUTE($F249,"u","")))+(len($F249)-len(SUBSTITUTE($F249,"d","")))+(len($F249)-len(SUBSTITUTE($F249,"M","")))+(len($F249)-len(SUBSTITUTE($F249,"E","")))</f>
        <v>8</v>
      </c>
      <c r="H249" s="55">
        <f t="shared" ref="H249:H267" si="26">(len($F249)-len(SUBSTITUTE($F249,"R","")))+(len($F249)-len(SUBSTITUTE($F249,"L","")))+(len($F249)-len(SUBSTITUTE($F249,"U","")))+(len($F249)-len(SUBSTITUTE($F249,"D","")))+(len($F249)-len(SUBSTITUTE($F249,"F","")))+(len($F249)-len(SUBSTITUTE($F249,"B","")))+(len($F249)-len(SUBSTITUTE($F249,"r","")))+(len($F249)-len(SUBSTITUTE($F249,"l","")))+(len($F249)-len(SUBSTITUTE($F249,"u","")))+(len($F249)-len(SUBSTITUTE($F249,"d","")))+(len($F249)-len(SUBSTITUTE($F249,"M","")))+(len($F249)-len(SUBSTITUTE($F249,"E","")))+(len($F249)-len(SUBSTITUTE($F249,"2","")))</f>
        <v>8</v>
      </c>
    </row>
    <row r="250" ht="13.5">
      <c r="A250" s="54"/>
      <c r="B250" s="5" t="s">
        <v>146</v>
      </c>
      <c r="C250" s="5" t="s">
        <v>135</v>
      </c>
      <c r="D250" s="55" t="str">
        <f>VLOOKUP($B250,Letters!$C$108:$D$131,2,FALSE) &amp; VLOOKUP($C250,Letters!$C$108:$D$131,2,FALSE)</f>
        <v>NC</v>
      </c>
      <c r="E250" s="61" t="s">
        <v>3194</v>
      </c>
      <c r="F250" s="5" t="s">
        <v>3195</v>
      </c>
      <c r="G250" s="55">
        <f t="shared" si="25"/>
        <v>9</v>
      </c>
      <c r="H250" s="55">
        <f t="shared" si="26"/>
        <v>10</v>
      </c>
    </row>
    <row r="251" ht="13.5">
      <c r="A251" s="54"/>
      <c r="B251" s="5" t="s">
        <v>146</v>
      </c>
      <c r="C251" s="5" t="s">
        <v>136</v>
      </c>
      <c r="D251" s="55" t="str">
        <f>VLOOKUP($B251,Letters!$C$108:$D$131,2,FALSE) &amp; VLOOKUP($C251,Letters!$C$108:$D$131,2,FALSE)</f>
        <v>ND</v>
      </c>
      <c r="E251" s="61" t="s">
        <v>3198</v>
      </c>
      <c r="F251" s="5" t="s">
        <v>3199</v>
      </c>
      <c r="G251" s="55">
        <f t="shared" si="25"/>
        <v>8</v>
      </c>
      <c r="H251" s="55">
        <f t="shared" si="26"/>
        <v>8</v>
      </c>
    </row>
    <row r="252" ht="13.5">
      <c r="A252" s="54"/>
      <c r="B252" s="5" t="s">
        <v>146</v>
      </c>
      <c r="C252" s="5" t="s">
        <v>137</v>
      </c>
      <c r="D252" s="55" t="str">
        <f>VLOOKUP($B252,Letters!$C$108:$D$131,2,FALSE) &amp; VLOOKUP($C252,Letters!$C$108:$D$131,2,FALSE)</f>
        <v>NE</v>
      </c>
      <c r="E252" s="61" t="s">
        <v>3202</v>
      </c>
      <c r="F252" s="5" t="s">
        <v>3203</v>
      </c>
      <c r="G252" s="55">
        <f t="shared" si="25"/>
        <v>12</v>
      </c>
      <c r="H252" s="55">
        <f t="shared" si="26"/>
        <v>14</v>
      </c>
    </row>
    <row r="253" ht="13.5">
      <c r="A253" s="60"/>
      <c r="B253" s="5" t="s">
        <v>146</v>
      </c>
      <c r="C253" s="5" t="s">
        <v>138</v>
      </c>
      <c r="D253" s="55" t="str">
        <f>VLOOKUP($B253,Letters!$C$108:$D$131,2,FALSE) &amp; VLOOKUP($C253,Letters!$C$108:$D$131,2,FALSE)</f>
        <v>NF</v>
      </c>
      <c r="E253" s="61" t="s">
        <v>3206</v>
      </c>
      <c r="F253" s="5" t="s">
        <v>3207</v>
      </c>
      <c r="G253" s="55">
        <f t="shared" si="25"/>
        <v>9</v>
      </c>
      <c r="H253" s="55">
        <f t="shared" si="26"/>
        <v>10</v>
      </c>
    </row>
    <row r="254" ht="13.5">
      <c r="A254" s="60"/>
      <c r="B254" s="5" t="s">
        <v>146</v>
      </c>
      <c r="C254" s="5" t="s">
        <v>139</v>
      </c>
      <c r="D254" s="55" t="str">
        <f>VLOOKUP($B254,Letters!$C$108:$D$131,2,FALSE) &amp; VLOOKUP($C254,Letters!$C$108:$D$131,2,FALSE)</f>
        <v>NG</v>
      </c>
      <c r="E254" s="61"/>
      <c r="F254" s="5"/>
      <c r="G254" s="55">
        <f t="shared" si="25"/>
        <v>0</v>
      </c>
      <c r="H254" s="55">
        <f t="shared" si="26"/>
        <v>0</v>
      </c>
    </row>
    <row r="255" ht="13.5">
      <c r="A255" s="60"/>
      <c r="B255" s="5" t="s">
        <v>146</v>
      </c>
      <c r="C255" s="5" t="s">
        <v>140</v>
      </c>
      <c r="D255" s="55" t="str">
        <f>VLOOKUP($B255,Letters!$C$108:$D$131,2,FALSE) &amp; VLOOKUP($C255,Letters!$C$108:$D$131,2,FALSE)</f>
        <v>NH</v>
      </c>
      <c r="E255" s="61"/>
      <c r="F255" s="5"/>
      <c r="G255" s="55">
        <f t="shared" si="25"/>
        <v>0</v>
      </c>
      <c r="H255" s="55">
        <f t="shared" si="26"/>
        <v>0</v>
      </c>
    </row>
    <row r="256" ht="13.5">
      <c r="A256" s="54"/>
      <c r="B256" s="5" t="s">
        <v>146</v>
      </c>
      <c r="C256" s="5" t="s">
        <v>141</v>
      </c>
      <c r="D256" s="55" t="str">
        <f>VLOOKUP($B256,Letters!$C$108:$D$131,2,FALSE) &amp; VLOOKUP($C256,Letters!$C$108:$D$131,2,FALSE)</f>
        <v>NI</v>
      </c>
      <c r="E256" s="61"/>
      <c r="F256" s="5"/>
      <c r="G256" s="55">
        <f t="shared" si="25"/>
        <v>0</v>
      </c>
      <c r="H256" s="55">
        <f t="shared" si="26"/>
        <v>0</v>
      </c>
    </row>
    <row r="257" ht="13.5">
      <c r="A257" s="54"/>
      <c r="B257" s="5" t="s">
        <v>146</v>
      </c>
      <c r="C257" s="5" t="s">
        <v>142</v>
      </c>
      <c r="D257" s="55" t="str">
        <f>VLOOKUP($B257,Letters!$C$108:$D$131,2,FALSE) &amp; VLOOKUP($C257,Letters!$C$108:$D$131,2,FALSE)</f>
        <v>NJ</v>
      </c>
      <c r="E257" s="61"/>
      <c r="F257" s="5"/>
      <c r="G257" s="55">
        <f t="shared" si="25"/>
        <v>0</v>
      </c>
      <c r="H257" s="55">
        <f t="shared" si="26"/>
        <v>0</v>
      </c>
    </row>
    <row r="258" ht="13.5">
      <c r="A258" s="54"/>
      <c r="B258" s="5" t="s">
        <v>146</v>
      </c>
      <c r="C258" s="5" t="s">
        <v>143</v>
      </c>
      <c r="D258" s="55" t="str">
        <f>VLOOKUP($B258,Letters!$C$108:$D$131,2,FALSE) &amp; VLOOKUP($C258,Letters!$C$108:$D$131,2,FALSE)</f>
        <v>NK</v>
      </c>
      <c r="E258" s="61"/>
      <c r="F258" s="5"/>
      <c r="G258" s="55">
        <f t="shared" si="25"/>
        <v>0</v>
      </c>
      <c r="H258" s="55">
        <f t="shared" si="26"/>
        <v>0</v>
      </c>
    </row>
    <row r="259" ht="13.5">
      <c r="A259" s="54"/>
      <c r="B259" s="5" t="s">
        <v>146</v>
      </c>
      <c r="C259" s="5" t="s">
        <v>144</v>
      </c>
      <c r="D259" s="55" t="str">
        <f>VLOOKUP($B259,Letters!$C$108:$D$131,2,FALSE) &amp; VLOOKUP($C259,Letters!$C$108:$D$131,2,FALSE)</f>
        <v>NL</v>
      </c>
      <c r="E259" s="61"/>
      <c r="F259" s="5"/>
      <c r="G259" s="55">
        <f t="shared" si="25"/>
        <v>0</v>
      </c>
      <c r="H259" s="55">
        <f t="shared" si="26"/>
        <v>0</v>
      </c>
    </row>
    <row r="260" ht="13.5">
      <c r="A260" s="54"/>
      <c r="B260" s="5" t="s">
        <v>146</v>
      </c>
      <c r="C260" s="5" t="s">
        <v>149</v>
      </c>
      <c r="D260" s="55" t="str">
        <f>VLOOKUP($B260,Letters!$C$108:$D$131,2,FALSE) &amp; VLOOKUP($C260,Letters!$C$108:$D$131,2,FALSE)</f>
        <v>NA</v>
      </c>
      <c r="E260" s="61" t="s">
        <v>3218</v>
      </c>
      <c r="F260" s="5"/>
      <c r="G260" s="55">
        <f t="shared" si="25"/>
        <v>0</v>
      </c>
      <c r="H260" s="55">
        <f t="shared" si="26"/>
        <v>0</v>
      </c>
    </row>
    <row r="261" ht="13.5">
      <c r="A261" s="60"/>
      <c r="B261" s="5" t="s">
        <v>146</v>
      </c>
      <c r="C261" s="5" t="s">
        <v>150</v>
      </c>
      <c r="D261" s="55" t="str">
        <f>VLOOKUP($B261,Letters!$C$108:$D$131,2,FALSE) &amp; VLOOKUP($C261,Letters!$C$108:$D$131,2,FALSE)</f>
        <v>NR</v>
      </c>
      <c r="E261" s="74" t="s">
        <v>3221</v>
      </c>
      <c r="F261" s="5"/>
      <c r="G261" s="55">
        <f t="shared" si="25"/>
        <v>0</v>
      </c>
      <c r="H261" s="55">
        <f t="shared" si="26"/>
        <v>0</v>
      </c>
    </row>
    <row r="262" ht="13.5">
      <c r="A262" s="54"/>
      <c r="B262" s="5" t="s">
        <v>146</v>
      </c>
      <c r="C262" s="5" t="s">
        <v>151</v>
      </c>
      <c r="D262" s="55" t="str">
        <f>VLOOKUP($B262,Letters!$C$108:$D$131,2,FALSE) &amp; VLOOKUP($C262,Letters!$C$108:$D$131,2,FALSE)</f>
        <v>NS</v>
      </c>
      <c r="E262" s="61" t="s">
        <v>3224</v>
      </c>
      <c r="F262" s="5"/>
      <c r="G262" s="55">
        <f t="shared" si="25"/>
        <v>0</v>
      </c>
      <c r="H262" s="55">
        <f t="shared" si="26"/>
        <v>0</v>
      </c>
    </row>
    <row r="263" ht="13.5">
      <c r="A263" s="60"/>
      <c r="B263" s="5" t="s">
        <v>146</v>
      </c>
      <c r="C263" s="5" t="s">
        <v>152</v>
      </c>
      <c r="D263" s="55" t="str">
        <f>VLOOKUP($B263,Letters!$C$108:$D$131,2,FALSE) &amp; VLOOKUP($C263,Letters!$C$108:$D$131,2,FALSE)</f>
        <v>NT</v>
      </c>
      <c r="E263" s="61" t="s">
        <v>3227</v>
      </c>
      <c r="F263" s="5" t="s">
        <v>3228</v>
      </c>
      <c r="G263" s="55">
        <f t="shared" si="25"/>
        <v>9</v>
      </c>
      <c r="H263" s="55">
        <f t="shared" si="26"/>
        <v>9</v>
      </c>
    </row>
    <row r="264" ht="13.5">
      <c r="A264" s="54"/>
      <c r="B264" s="5" t="s">
        <v>146</v>
      </c>
      <c r="C264" s="5" t="s">
        <v>153</v>
      </c>
      <c r="D264" s="55" t="str">
        <f>VLOOKUP($B264,Letters!$C$108:$D$131,2,FALSE) &amp; VLOOKUP($C264,Letters!$C$108:$D$131,2,FALSE)</f>
        <v>NU</v>
      </c>
      <c r="E264" s="61" t="s">
        <v>3231</v>
      </c>
      <c r="F264" s="5"/>
      <c r="G264" s="55">
        <f t="shared" si="25"/>
        <v>0</v>
      </c>
      <c r="H264" s="55">
        <f t="shared" si="26"/>
        <v>0</v>
      </c>
    </row>
    <row r="265" ht="13.5">
      <c r="A265" s="60"/>
      <c r="B265" s="5" t="s">
        <v>146</v>
      </c>
      <c r="C265" s="5" t="s">
        <v>154</v>
      </c>
      <c r="D265" s="55" t="str">
        <f>VLOOKUP($B265,Letters!$C$108:$D$131,2,FALSE) &amp; VLOOKUP($C265,Letters!$C$108:$D$131,2,FALSE)</f>
        <v>NV</v>
      </c>
      <c r="E265" s="61" t="s">
        <v>3232</v>
      </c>
      <c r="F265" s="5"/>
      <c r="G265" s="55">
        <f t="shared" si="25"/>
        <v>0</v>
      </c>
      <c r="H265" s="55">
        <f t="shared" si="26"/>
        <v>0</v>
      </c>
    </row>
    <row r="266" ht="13.5">
      <c r="A266" s="54"/>
      <c r="B266" s="5" t="s">
        <v>146</v>
      </c>
      <c r="C266" s="5" t="s">
        <v>155</v>
      </c>
      <c r="D266" s="55" t="str">
        <f>VLOOKUP($B266,Letters!$C$108:$D$131,2,FALSE) &amp; VLOOKUP($C266,Letters!$C$108:$D$131,2,FALSE)</f>
        <v>NW</v>
      </c>
      <c r="E266" s="61" t="s">
        <v>3235</v>
      </c>
      <c r="F266" s="5"/>
      <c r="G266" s="55">
        <f t="shared" si="25"/>
        <v>0</v>
      </c>
      <c r="H266" s="55">
        <f t="shared" si="26"/>
        <v>0</v>
      </c>
    </row>
    <row r="267" ht="13.5">
      <c r="A267" s="60"/>
      <c r="B267" s="5" t="s">
        <v>146</v>
      </c>
      <c r="C267" s="5" t="s">
        <v>156</v>
      </c>
      <c r="D267" s="55" t="str">
        <f>VLOOKUP($B267,Letters!$C$108:$D$131,2,FALSE) &amp; VLOOKUP($C267,Letters!$C$108:$D$131,2,FALSE)</f>
        <v>NX</v>
      </c>
      <c r="E267" s="61" t="s">
        <v>3238</v>
      </c>
      <c r="F267" s="5"/>
      <c r="G267" s="55">
        <f t="shared" si="25"/>
        <v>0</v>
      </c>
      <c r="H267" s="55">
        <f t="shared" si="26"/>
        <v>0</v>
      </c>
    </row>
    <row r="268">
      <c r="A268" s="54"/>
      <c r="B268" s="5"/>
      <c r="C268" s="5"/>
      <c r="D268" s="55"/>
      <c r="E268" s="5"/>
      <c r="F268" s="5"/>
      <c r="G268" s="55"/>
      <c r="H268" s="55"/>
    </row>
    <row r="269" ht="13.5">
      <c r="A269" s="54"/>
      <c r="B269" s="5" t="s">
        <v>147</v>
      </c>
      <c r="C269" s="5" t="s">
        <v>134</v>
      </c>
      <c r="D269" s="55" t="str">
        <f>VLOOKUP($B269,Letters!$C$108:$D$131,2,FALSE) &amp; VLOOKUP($C269,Letters!$C$108:$D$131,2,FALSE)</f>
        <v>OB</v>
      </c>
      <c r="E269" s="61" t="s">
        <v>3239</v>
      </c>
      <c r="F269" s="5" t="s">
        <v>3240</v>
      </c>
      <c r="G269" s="55">
        <f t="shared" ref="G269:G287" si="27">(len($F269)-len(SUBSTITUTE($F269,"R","")))+(len($F269)-len(SUBSTITUTE($F269,"L","")))+(len($F269)-len(SUBSTITUTE($F269,"U","")))+(len($F269)-len(SUBSTITUTE($F269,"D","")))+(len($F269)-len(SUBSTITUTE($F269,"F","")))+(len($F269)-len(SUBSTITUTE($F269,"B","")))+(len($F269)-len(SUBSTITUTE($F269,"r","")))+(len($F269)-len(SUBSTITUTE($F269,"l","")))+(len($F269)-len(SUBSTITUTE($F269,"u","")))+(len($F269)-len(SUBSTITUTE($F269,"d","")))+(len($F269)-len(SUBSTITUTE($F269,"M","")))+(len($F269)-len(SUBSTITUTE($F269,"E","")))</f>
        <v>8</v>
      </c>
      <c r="H269" s="55">
        <f t="shared" ref="H269:H287" si="28">(len($F269)-len(SUBSTITUTE($F269,"R","")))+(len($F269)-len(SUBSTITUTE($F269,"L","")))+(len($F269)-len(SUBSTITUTE($F269,"U","")))+(len($F269)-len(SUBSTITUTE($F269,"D","")))+(len($F269)-len(SUBSTITUTE($F269,"F","")))+(len($F269)-len(SUBSTITUTE($F269,"B","")))+(len($F269)-len(SUBSTITUTE($F269,"r","")))+(len($F269)-len(SUBSTITUTE($F269,"l","")))+(len($F269)-len(SUBSTITUTE($F269,"u","")))+(len($F269)-len(SUBSTITUTE($F269,"d","")))+(len($F269)-len(SUBSTITUTE($F269,"M","")))+(len($F269)-len(SUBSTITUTE($F269,"E","")))+(len($F269)-len(SUBSTITUTE($F269,"2","")))</f>
        <v>8</v>
      </c>
    </row>
    <row r="270" ht="13.5">
      <c r="A270" s="54"/>
      <c r="B270" s="5" t="s">
        <v>147</v>
      </c>
      <c r="C270" s="5" t="s">
        <v>135</v>
      </c>
      <c r="D270" s="55" t="str">
        <f>VLOOKUP($B270,Letters!$C$108:$D$131,2,FALSE) &amp; VLOOKUP($C270,Letters!$C$108:$D$131,2,FALSE)</f>
        <v>OC</v>
      </c>
      <c r="E270" s="61" t="s">
        <v>3245</v>
      </c>
      <c r="F270" s="5" t="s">
        <v>3246</v>
      </c>
      <c r="G270" s="55">
        <f t="shared" si="27"/>
        <v>8</v>
      </c>
      <c r="H270" s="55">
        <f t="shared" si="28"/>
        <v>10</v>
      </c>
    </row>
    <row r="271" ht="13.5">
      <c r="A271" s="54"/>
      <c r="B271" s="5" t="s">
        <v>147</v>
      </c>
      <c r="C271" s="5" t="s">
        <v>136</v>
      </c>
      <c r="D271" s="55" t="str">
        <f>VLOOKUP($B271,Letters!$C$108:$D$131,2,FALSE) &amp; VLOOKUP($C271,Letters!$C$108:$D$131,2,FALSE)</f>
        <v>OD</v>
      </c>
      <c r="E271" s="61" t="s">
        <v>2419</v>
      </c>
      <c r="F271" s="5" t="s">
        <v>2421</v>
      </c>
      <c r="G271" s="55">
        <f t="shared" si="27"/>
        <v>8</v>
      </c>
      <c r="H271" s="55">
        <f t="shared" si="28"/>
        <v>8</v>
      </c>
    </row>
    <row r="272" ht="13.5">
      <c r="A272" s="60"/>
      <c r="B272" s="5" t="s">
        <v>147</v>
      </c>
      <c r="C272" s="5" t="s">
        <v>137</v>
      </c>
      <c r="D272" s="55" t="str">
        <f>VLOOKUP($B272,Letters!$C$108:$D$131,2,FALSE) &amp; VLOOKUP($C272,Letters!$C$108:$D$131,2,FALSE)</f>
        <v>OE</v>
      </c>
      <c r="E272" s="61" t="s">
        <v>3249</v>
      </c>
      <c r="F272" s="5" t="s">
        <v>3250</v>
      </c>
      <c r="G272" s="55">
        <f t="shared" si="27"/>
        <v>12</v>
      </c>
      <c r="H272" s="55">
        <f t="shared" si="28"/>
        <v>16</v>
      </c>
    </row>
    <row r="273" ht="13.5">
      <c r="A273" s="60"/>
      <c r="B273" s="5" t="s">
        <v>147</v>
      </c>
      <c r="C273" s="5" t="s">
        <v>138</v>
      </c>
      <c r="D273" s="55" t="str">
        <f>VLOOKUP($B273,Letters!$C$108:$D$131,2,FALSE) &amp; VLOOKUP($C273,Letters!$C$108:$D$131,2,FALSE)</f>
        <v>OF</v>
      </c>
      <c r="E273" s="61" t="s">
        <v>3253</v>
      </c>
      <c r="F273" s="5" t="s">
        <v>3254</v>
      </c>
      <c r="G273" s="55">
        <f t="shared" si="27"/>
        <v>11</v>
      </c>
      <c r="H273" s="55">
        <f t="shared" si="28"/>
        <v>12</v>
      </c>
    </row>
    <row r="274" ht="13.5">
      <c r="A274" s="60"/>
      <c r="B274" s="5" t="s">
        <v>147</v>
      </c>
      <c r="C274" s="5" t="s">
        <v>139</v>
      </c>
      <c r="D274" s="55" t="str">
        <f>VLOOKUP($B274,Letters!$C$108:$D$131,2,FALSE) &amp; VLOOKUP($C274,Letters!$C$108:$D$131,2,FALSE)</f>
        <v>OG</v>
      </c>
      <c r="E274" s="61"/>
      <c r="F274" s="5"/>
      <c r="G274" s="55">
        <f t="shared" si="27"/>
        <v>0</v>
      </c>
      <c r="H274" s="55">
        <f t="shared" si="28"/>
        <v>0</v>
      </c>
    </row>
    <row r="275" ht="13.5">
      <c r="A275" s="60"/>
      <c r="B275" s="5" t="s">
        <v>147</v>
      </c>
      <c r="C275" s="5" t="s">
        <v>140</v>
      </c>
      <c r="D275" s="55" t="str">
        <f>VLOOKUP($B275,Letters!$C$108:$D$131,2,FALSE) &amp; VLOOKUP($C275,Letters!$C$108:$D$131,2,FALSE)</f>
        <v>OH</v>
      </c>
      <c r="E275" s="61"/>
      <c r="F275" s="5"/>
      <c r="G275" s="55">
        <f t="shared" si="27"/>
        <v>0</v>
      </c>
      <c r="H275" s="55">
        <f t="shared" si="28"/>
        <v>0</v>
      </c>
    </row>
    <row r="276" ht="13.5">
      <c r="A276" s="60"/>
      <c r="B276" s="5" t="s">
        <v>147</v>
      </c>
      <c r="C276" s="5" t="s">
        <v>141</v>
      </c>
      <c r="D276" s="55" t="str">
        <f>VLOOKUP($B276,Letters!$C$108:$D$131,2,FALSE) &amp; VLOOKUP($C276,Letters!$C$108:$D$131,2,FALSE)</f>
        <v>OI</v>
      </c>
      <c r="E276" s="61"/>
      <c r="F276" s="5"/>
      <c r="G276" s="55">
        <f t="shared" si="27"/>
        <v>0</v>
      </c>
      <c r="H276" s="55">
        <f t="shared" si="28"/>
        <v>0</v>
      </c>
    </row>
    <row r="277" ht="13.5">
      <c r="A277" s="60"/>
      <c r="B277" s="5" t="s">
        <v>147</v>
      </c>
      <c r="C277" s="5" t="s">
        <v>142</v>
      </c>
      <c r="D277" s="55" t="str">
        <f>VLOOKUP($B277,Letters!$C$108:$D$131,2,FALSE) &amp; VLOOKUP($C277,Letters!$C$108:$D$131,2,FALSE)</f>
        <v>OJ</v>
      </c>
      <c r="E277" s="61"/>
      <c r="F277" s="5"/>
      <c r="G277" s="55">
        <f t="shared" si="27"/>
        <v>0</v>
      </c>
      <c r="H277" s="55">
        <f t="shared" si="28"/>
        <v>0</v>
      </c>
    </row>
    <row r="278" ht="13.5">
      <c r="A278" s="60"/>
      <c r="B278" s="5" t="s">
        <v>147</v>
      </c>
      <c r="C278" s="5" t="s">
        <v>143</v>
      </c>
      <c r="D278" s="55" t="str">
        <f>VLOOKUP($B278,Letters!$C$108:$D$131,2,FALSE) &amp; VLOOKUP($C278,Letters!$C$108:$D$131,2,FALSE)</f>
        <v>OK</v>
      </c>
      <c r="E278" s="61"/>
      <c r="F278" s="5"/>
      <c r="G278" s="55">
        <f t="shared" si="27"/>
        <v>0</v>
      </c>
      <c r="H278" s="55">
        <f t="shared" si="28"/>
        <v>0</v>
      </c>
    </row>
    <row r="279" ht="13.5">
      <c r="A279" s="60"/>
      <c r="B279" s="5" t="s">
        <v>147</v>
      </c>
      <c r="C279" s="5" t="s">
        <v>144</v>
      </c>
      <c r="D279" s="55" t="str">
        <f>VLOOKUP($B279,Letters!$C$108:$D$131,2,FALSE) &amp; VLOOKUP($C279,Letters!$C$108:$D$131,2,FALSE)</f>
        <v>OL</v>
      </c>
      <c r="E279" s="61"/>
      <c r="F279" s="5"/>
      <c r="G279" s="55">
        <f t="shared" si="27"/>
        <v>0</v>
      </c>
      <c r="H279" s="55">
        <f t="shared" si="28"/>
        <v>0</v>
      </c>
    </row>
    <row r="280" ht="13.5">
      <c r="A280" s="60"/>
      <c r="B280" s="5" t="s">
        <v>147</v>
      </c>
      <c r="C280" s="5" t="s">
        <v>149</v>
      </c>
      <c r="D280" s="55" t="str">
        <f>VLOOKUP($B280,Letters!$C$108:$D$131,2,FALSE) &amp; VLOOKUP($C280,Letters!$C$108:$D$131,2,FALSE)</f>
        <v>OA</v>
      </c>
      <c r="E280" s="61" t="s">
        <v>3267</v>
      </c>
      <c r="F280" s="5"/>
      <c r="G280" s="55">
        <f t="shared" si="27"/>
        <v>0</v>
      </c>
      <c r="H280" s="55">
        <f t="shared" si="28"/>
        <v>0</v>
      </c>
    </row>
    <row r="281" ht="13.5">
      <c r="A281" s="60"/>
      <c r="B281" s="5" t="s">
        <v>147</v>
      </c>
      <c r="C281" s="5" t="s">
        <v>150</v>
      </c>
      <c r="D281" s="55" t="str">
        <f>VLOOKUP($B281,Letters!$C$108:$D$131,2,FALSE) &amp; VLOOKUP($C281,Letters!$C$108:$D$131,2,FALSE)</f>
        <v>OR</v>
      </c>
      <c r="E281" s="61" t="s">
        <v>3272</v>
      </c>
      <c r="F281" s="5"/>
      <c r="G281" s="55">
        <f t="shared" si="27"/>
        <v>0</v>
      </c>
      <c r="H281" s="55">
        <f t="shared" si="28"/>
        <v>0</v>
      </c>
    </row>
    <row r="282" ht="13.5">
      <c r="A282" s="60"/>
      <c r="B282" s="5" t="s">
        <v>147</v>
      </c>
      <c r="C282" s="5" t="s">
        <v>151</v>
      </c>
      <c r="D282" s="55" t="str">
        <f>VLOOKUP($B282,Letters!$C$108:$D$131,2,FALSE) &amp; VLOOKUP($C282,Letters!$C$108:$D$131,2,FALSE)</f>
        <v>OS</v>
      </c>
      <c r="E282" s="61" t="s">
        <v>2788</v>
      </c>
      <c r="F282" s="5"/>
      <c r="G282" s="55">
        <f t="shared" si="27"/>
        <v>0</v>
      </c>
      <c r="H282" s="55">
        <f t="shared" si="28"/>
        <v>0</v>
      </c>
    </row>
    <row r="283" ht="13.5">
      <c r="A283" s="60"/>
      <c r="B283" s="5" t="s">
        <v>147</v>
      </c>
      <c r="C283" s="5" t="s">
        <v>152</v>
      </c>
      <c r="D283" s="55" t="str">
        <f>VLOOKUP($B283,Letters!$C$108:$D$131,2,FALSE) &amp; VLOOKUP($C283,Letters!$C$108:$D$131,2,FALSE)</f>
        <v>OT</v>
      </c>
      <c r="E283" s="61" t="s">
        <v>3277</v>
      </c>
      <c r="F283" s="5"/>
      <c r="G283" s="55">
        <f t="shared" si="27"/>
        <v>0</v>
      </c>
      <c r="H283" s="55">
        <f t="shared" si="28"/>
        <v>0</v>
      </c>
    </row>
    <row r="284" ht="13.5">
      <c r="A284" s="60"/>
      <c r="B284" s="5" t="s">
        <v>147</v>
      </c>
      <c r="C284" s="5" t="s">
        <v>153</v>
      </c>
      <c r="D284" s="55" t="str">
        <f>VLOOKUP($B284,Letters!$C$108:$D$131,2,FALSE) &amp; VLOOKUP($C284,Letters!$C$108:$D$131,2,FALSE)</f>
        <v>OU</v>
      </c>
      <c r="E284" s="61" t="s">
        <v>3280</v>
      </c>
      <c r="F284" s="5"/>
      <c r="G284" s="55">
        <f t="shared" si="27"/>
        <v>0</v>
      </c>
      <c r="H284" s="55">
        <f t="shared" si="28"/>
        <v>0</v>
      </c>
    </row>
    <row r="285" ht="13.5">
      <c r="A285" s="60"/>
      <c r="B285" s="5" t="s">
        <v>147</v>
      </c>
      <c r="C285" s="5" t="s">
        <v>154</v>
      </c>
      <c r="D285" s="55" t="str">
        <f>VLOOKUP($B285,Letters!$C$108:$D$131,2,FALSE) &amp; VLOOKUP($C285,Letters!$C$108:$D$131,2,FALSE)</f>
        <v>OV</v>
      </c>
      <c r="E285" s="61" t="s">
        <v>3283</v>
      </c>
      <c r="F285" s="5"/>
      <c r="G285" s="55">
        <f t="shared" si="27"/>
        <v>0</v>
      </c>
      <c r="H285" s="55">
        <f t="shared" si="28"/>
        <v>0</v>
      </c>
    </row>
    <row r="286" ht="13.5">
      <c r="A286" s="54"/>
      <c r="B286" s="5" t="s">
        <v>147</v>
      </c>
      <c r="C286" s="5" t="s">
        <v>155</v>
      </c>
      <c r="D286" s="55" t="str">
        <f>VLOOKUP($B286,Letters!$C$108:$D$131,2,FALSE) &amp; VLOOKUP($C286,Letters!$C$108:$D$131,2,FALSE)</f>
        <v>OW</v>
      </c>
      <c r="E286" s="61" t="s">
        <v>3286</v>
      </c>
      <c r="F286" s="5"/>
      <c r="G286" s="55">
        <f t="shared" si="27"/>
        <v>0</v>
      </c>
      <c r="H286" s="55">
        <f t="shared" si="28"/>
        <v>0</v>
      </c>
    </row>
    <row r="287" ht="13.5">
      <c r="A287" s="54"/>
      <c r="B287" s="5" t="s">
        <v>147</v>
      </c>
      <c r="C287" s="5" t="s">
        <v>156</v>
      </c>
      <c r="D287" s="55" t="str">
        <f>VLOOKUP($B287,Letters!$C$108:$D$131,2,FALSE) &amp; VLOOKUP($C287,Letters!$C$108:$D$131,2,FALSE)</f>
        <v>OX</v>
      </c>
      <c r="E287" s="61" t="s">
        <v>3289</v>
      </c>
      <c r="F287" s="5"/>
      <c r="G287" s="55">
        <f t="shared" si="27"/>
        <v>0</v>
      </c>
      <c r="H287" s="55">
        <f t="shared" si="28"/>
        <v>0</v>
      </c>
    </row>
    <row r="288">
      <c r="A288" s="54"/>
      <c r="B288" s="5"/>
      <c r="C288" s="5"/>
      <c r="D288" s="55"/>
      <c r="E288" s="5"/>
      <c r="F288" s="5"/>
      <c r="G288" s="55"/>
      <c r="H288" s="55"/>
    </row>
    <row r="289" ht="13.5">
      <c r="A289" s="54"/>
      <c r="B289" s="5" t="s">
        <v>148</v>
      </c>
      <c r="C289" s="5" t="s">
        <v>134</v>
      </c>
      <c r="D289" s="55" t="str">
        <f>VLOOKUP($B289,Letters!$C$108:$D$131,2,FALSE) &amp; VLOOKUP($C289,Letters!$C$108:$D$131,2,FALSE)</f>
        <v>PB</v>
      </c>
      <c r="E289" s="61" t="s">
        <v>3292</v>
      </c>
      <c r="F289" s="5" t="s">
        <v>3293</v>
      </c>
      <c r="G289" s="55">
        <f t="shared" ref="G289:G307" si="29">(len($F289)-len(SUBSTITUTE($F289,"R","")))+(len($F289)-len(SUBSTITUTE($F289,"L","")))+(len($F289)-len(SUBSTITUTE($F289,"U","")))+(len($F289)-len(SUBSTITUTE($F289,"D","")))+(len($F289)-len(SUBSTITUTE($F289,"F","")))+(len($F289)-len(SUBSTITUTE($F289,"B","")))+(len($F289)-len(SUBSTITUTE($F289,"r","")))+(len($F289)-len(SUBSTITUTE($F289,"l","")))+(len($F289)-len(SUBSTITUTE($F289,"u","")))+(len($F289)-len(SUBSTITUTE($F289,"d","")))+(len($F289)-len(SUBSTITUTE($F289,"M","")))+(len($F289)-len(SUBSTITUTE($F289,"E","")))</f>
        <v>8</v>
      </c>
      <c r="H289" s="55">
        <f t="shared" ref="H289:H307" si="30">(len($F289)-len(SUBSTITUTE($F289,"R","")))+(len($F289)-len(SUBSTITUTE($F289,"L","")))+(len($F289)-len(SUBSTITUTE($F289,"U","")))+(len($F289)-len(SUBSTITUTE($F289,"D","")))+(len($F289)-len(SUBSTITUTE($F289,"F","")))+(len($F289)-len(SUBSTITUTE($F289,"B","")))+(len($F289)-len(SUBSTITUTE($F289,"r","")))+(len($F289)-len(SUBSTITUTE($F289,"l","")))+(len($F289)-len(SUBSTITUTE($F289,"u","")))+(len($F289)-len(SUBSTITUTE($F289,"d","")))+(len($F289)-len(SUBSTITUTE($F289,"M","")))+(len($F289)-len(SUBSTITUTE($F289,"E","")))+(len($F289)-len(SUBSTITUTE($F289,"2","")))</f>
        <v>8</v>
      </c>
    </row>
    <row r="290" ht="13.5">
      <c r="A290" s="54"/>
      <c r="B290" s="5" t="s">
        <v>148</v>
      </c>
      <c r="C290" s="5" t="s">
        <v>135</v>
      </c>
      <c r="D290" s="55" t="str">
        <f>VLOOKUP($B290,Letters!$C$108:$D$131,2,FALSE) &amp; VLOOKUP($C290,Letters!$C$108:$D$131,2,FALSE)</f>
        <v>PC</v>
      </c>
      <c r="E290" s="61" t="s">
        <v>3294</v>
      </c>
      <c r="F290" s="5" t="s">
        <v>3295</v>
      </c>
      <c r="G290" s="55">
        <f t="shared" si="29"/>
        <v>9</v>
      </c>
      <c r="H290" s="55">
        <f t="shared" si="30"/>
        <v>10</v>
      </c>
    </row>
    <row r="291" ht="13.5">
      <c r="A291" s="60"/>
      <c r="B291" s="5" t="s">
        <v>148</v>
      </c>
      <c r="C291" s="5" t="s">
        <v>136</v>
      </c>
      <c r="D291" s="55" t="str">
        <f>VLOOKUP($B291,Letters!$C$108:$D$131,2,FALSE) &amp; VLOOKUP($C291,Letters!$C$108:$D$131,2,FALSE)</f>
        <v>PD</v>
      </c>
      <c r="E291" s="61" t="s">
        <v>2426</v>
      </c>
      <c r="F291" s="5" t="s">
        <v>2427</v>
      </c>
      <c r="G291" s="55">
        <f t="shared" si="29"/>
        <v>8</v>
      </c>
      <c r="H291" s="55">
        <f t="shared" si="30"/>
        <v>8</v>
      </c>
    </row>
    <row r="292" ht="13.5">
      <c r="A292" s="54"/>
      <c r="B292" s="5" t="s">
        <v>148</v>
      </c>
      <c r="C292" s="5" t="s">
        <v>137</v>
      </c>
      <c r="D292" s="55" t="str">
        <f>VLOOKUP($B292,Letters!$C$108:$D$131,2,FALSE) &amp; VLOOKUP($C292,Letters!$C$108:$D$131,2,FALSE)</f>
        <v>PE</v>
      </c>
      <c r="E292" s="61" t="s">
        <v>3299</v>
      </c>
      <c r="F292" s="5" t="s">
        <v>3301</v>
      </c>
      <c r="G292" s="55">
        <f t="shared" si="29"/>
        <v>12</v>
      </c>
      <c r="H292" s="55">
        <f t="shared" si="30"/>
        <v>14</v>
      </c>
    </row>
    <row r="293" ht="13.5">
      <c r="A293" s="54"/>
      <c r="B293" s="5" t="s">
        <v>148</v>
      </c>
      <c r="C293" s="5" t="s">
        <v>138</v>
      </c>
      <c r="D293" s="55" t="str">
        <f>VLOOKUP($B293,Letters!$C$108:$D$131,2,FALSE) &amp; VLOOKUP($C293,Letters!$C$108:$D$131,2,FALSE)</f>
        <v>PF</v>
      </c>
      <c r="E293" s="61" t="s">
        <v>3302</v>
      </c>
      <c r="F293" s="5" t="s">
        <v>3303</v>
      </c>
      <c r="G293" s="55">
        <f t="shared" si="29"/>
        <v>11</v>
      </c>
      <c r="H293" s="55">
        <f t="shared" si="30"/>
        <v>14</v>
      </c>
    </row>
    <row r="294" ht="13.5">
      <c r="A294" s="54"/>
      <c r="B294" s="5" t="s">
        <v>148</v>
      </c>
      <c r="C294" s="5" t="s">
        <v>139</v>
      </c>
      <c r="D294" s="55" t="str">
        <f>VLOOKUP($B294,Letters!$C$108:$D$131,2,FALSE) &amp; VLOOKUP($C294,Letters!$C$108:$D$131,2,FALSE)</f>
        <v>PG</v>
      </c>
      <c r="E294" s="61"/>
      <c r="F294" s="5"/>
      <c r="G294" s="55">
        <f t="shared" si="29"/>
        <v>0</v>
      </c>
      <c r="H294" s="55">
        <f t="shared" si="30"/>
        <v>0</v>
      </c>
    </row>
    <row r="295" ht="13.5">
      <c r="A295" s="54"/>
      <c r="B295" s="5" t="s">
        <v>148</v>
      </c>
      <c r="C295" s="5" t="s">
        <v>140</v>
      </c>
      <c r="D295" s="55" t="str">
        <f>VLOOKUP($B295,Letters!$C$108:$D$131,2,FALSE) &amp; VLOOKUP($C295,Letters!$C$108:$D$131,2,FALSE)</f>
        <v>PH</v>
      </c>
      <c r="E295" s="61"/>
      <c r="F295" s="5"/>
      <c r="G295" s="55">
        <f t="shared" si="29"/>
        <v>0</v>
      </c>
      <c r="H295" s="55">
        <f t="shared" si="30"/>
        <v>0</v>
      </c>
    </row>
    <row r="296" ht="13.5">
      <c r="A296" s="54"/>
      <c r="B296" s="5" t="s">
        <v>148</v>
      </c>
      <c r="C296" s="5" t="s">
        <v>141</v>
      </c>
      <c r="D296" s="55" t="str">
        <f>VLOOKUP($B296,Letters!$C$108:$D$131,2,FALSE) &amp; VLOOKUP($C296,Letters!$C$108:$D$131,2,FALSE)</f>
        <v>PI</v>
      </c>
      <c r="E296" s="61"/>
      <c r="F296" s="5"/>
      <c r="G296" s="55">
        <f t="shared" si="29"/>
        <v>0</v>
      </c>
      <c r="H296" s="55">
        <f t="shared" si="30"/>
        <v>0</v>
      </c>
    </row>
    <row r="297" ht="13.5">
      <c r="A297" s="54"/>
      <c r="B297" s="5" t="s">
        <v>148</v>
      </c>
      <c r="C297" s="5" t="s">
        <v>142</v>
      </c>
      <c r="D297" s="55" t="str">
        <f>VLOOKUP($B297,Letters!$C$108:$D$131,2,FALSE) &amp; VLOOKUP($C297,Letters!$C$108:$D$131,2,FALSE)</f>
        <v>PJ</v>
      </c>
      <c r="E297" s="61"/>
      <c r="F297" s="5"/>
      <c r="G297" s="55">
        <f t="shared" si="29"/>
        <v>0</v>
      </c>
      <c r="H297" s="55">
        <f t="shared" si="30"/>
        <v>0</v>
      </c>
    </row>
    <row r="298" ht="13.5">
      <c r="A298" s="60"/>
      <c r="B298" s="5" t="s">
        <v>148</v>
      </c>
      <c r="C298" s="5" t="s">
        <v>143</v>
      </c>
      <c r="D298" s="55" t="str">
        <f>VLOOKUP($B298,Letters!$C$108:$D$131,2,FALSE) &amp; VLOOKUP($C298,Letters!$C$108:$D$131,2,FALSE)</f>
        <v>PK</v>
      </c>
      <c r="E298" s="61"/>
      <c r="F298" s="5"/>
      <c r="G298" s="55">
        <f t="shared" si="29"/>
        <v>0</v>
      </c>
      <c r="H298" s="55">
        <f t="shared" si="30"/>
        <v>0</v>
      </c>
    </row>
    <row r="299" ht="13.5">
      <c r="A299" s="54"/>
      <c r="B299" s="5" t="s">
        <v>148</v>
      </c>
      <c r="C299" s="5" t="s">
        <v>144</v>
      </c>
      <c r="D299" s="55" t="str">
        <f>VLOOKUP($B299,Letters!$C$108:$D$131,2,FALSE) &amp; VLOOKUP($C299,Letters!$C$108:$D$131,2,FALSE)</f>
        <v>PL</v>
      </c>
      <c r="E299" s="61"/>
      <c r="F299" s="5"/>
      <c r="G299" s="55">
        <f t="shared" si="29"/>
        <v>0</v>
      </c>
      <c r="H299" s="55">
        <f t="shared" si="30"/>
        <v>0</v>
      </c>
    </row>
    <row r="300" ht="13.5">
      <c r="A300" s="54"/>
      <c r="B300" s="5" t="s">
        <v>148</v>
      </c>
      <c r="C300" s="5" t="s">
        <v>149</v>
      </c>
      <c r="D300" s="55" t="str">
        <f>VLOOKUP($B300,Letters!$C$108:$D$131,2,FALSE) &amp; VLOOKUP($C300,Letters!$C$108:$D$131,2,FALSE)</f>
        <v>PA</v>
      </c>
      <c r="E300" s="61" t="s">
        <v>3314</v>
      </c>
      <c r="F300" s="5"/>
      <c r="G300" s="55">
        <f t="shared" si="29"/>
        <v>0</v>
      </c>
      <c r="H300" s="55">
        <f t="shared" si="30"/>
        <v>0</v>
      </c>
    </row>
    <row r="301" ht="13.5">
      <c r="A301" s="60"/>
      <c r="B301" s="5" t="s">
        <v>148</v>
      </c>
      <c r="C301" s="5" t="s">
        <v>150</v>
      </c>
      <c r="D301" s="55" t="str">
        <f>VLOOKUP($B301,Letters!$C$108:$D$131,2,FALSE) &amp; VLOOKUP($C301,Letters!$C$108:$D$131,2,FALSE)</f>
        <v>PR</v>
      </c>
      <c r="E301" s="61" t="s">
        <v>3317</v>
      </c>
      <c r="F301" s="5"/>
      <c r="G301" s="55">
        <f t="shared" si="29"/>
        <v>0</v>
      </c>
      <c r="H301" s="55">
        <f t="shared" si="30"/>
        <v>0</v>
      </c>
    </row>
    <row r="302" ht="13.5">
      <c r="A302" s="54"/>
      <c r="B302" s="5" t="s">
        <v>148</v>
      </c>
      <c r="C302" s="5" t="s">
        <v>151</v>
      </c>
      <c r="D302" s="55" t="str">
        <f>VLOOKUP($B302,Letters!$C$108:$D$131,2,FALSE) &amp; VLOOKUP($C302,Letters!$C$108:$D$131,2,FALSE)</f>
        <v>PS</v>
      </c>
      <c r="E302" s="61" t="s">
        <v>3320</v>
      </c>
      <c r="F302" s="5"/>
      <c r="G302" s="55">
        <f t="shared" si="29"/>
        <v>0</v>
      </c>
      <c r="H302" s="55">
        <f t="shared" si="30"/>
        <v>0</v>
      </c>
    </row>
    <row r="303" ht="13.5">
      <c r="A303" s="54"/>
      <c r="B303" s="5" t="s">
        <v>148</v>
      </c>
      <c r="C303" s="5" t="s">
        <v>152</v>
      </c>
      <c r="D303" s="55" t="str">
        <f>VLOOKUP($B303,Letters!$C$108:$D$131,2,FALSE) &amp; VLOOKUP($C303,Letters!$C$108:$D$131,2,FALSE)</f>
        <v>PT</v>
      </c>
      <c r="E303" s="61" t="s">
        <v>3321</v>
      </c>
      <c r="F303" s="5"/>
      <c r="G303" s="55">
        <f t="shared" si="29"/>
        <v>0</v>
      </c>
      <c r="H303" s="55">
        <f t="shared" si="30"/>
        <v>0</v>
      </c>
    </row>
    <row r="304" ht="13.5">
      <c r="A304" s="60"/>
      <c r="B304" s="5" t="s">
        <v>148</v>
      </c>
      <c r="C304" s="5" t="s">
        <v>153</v>
      </c>
      <c r="D304" s="55" t="str">
        <f>VLOOKUP($B304,Letters!$C$108:$D$131,2,FALSE) &amp; VLOOKUP($C304,Letters!$C$108:$D$131,2,FALSE)</f>
        <v>PU</v>
      </c>
      <c r="E304" s="61" t="s">
        <v>3324</v>
      </c>
      <c r="F304" s="5"/>
      <c r="G304" s="55">
        <f t="shared" si="29"/>
        <v>0</v>
      </c>
      <c r="H304" s="55">
        <f t="shared" si="30"/>
        <v>0</v>
      </c>
    </row>
    <row r="305" ht="13.5">
      <c r="A305" s="54"/>
      <c r="B305" s="5" t="s">
        <v>148</v>
      </c>
      <c r="C305" s="5" t="s">
        <v>154</v>
      </c>
      <c r="D305" s="55" t="str">
        <f>VLOOKUP($B305,Letters!$C$108:$D$131,2,FALSE) &amp; VLOOKUP($C305,Letters!$C$108:$D$131,2,FALSE)</f>
        <v>PV</v>
      </c>
      <c r="E305" s="61" t="s">
        <v>3327</v>
      </c>
      <c r="F305" s="5"/>
      <c r="G305" s="55">
        <f t="shared" si="29"/>
        <v>0</v>
      </c>
      <c r="H305" s="55">
        <f t="shared" si="30"/>
        <v>0</v>
      </c>
    </row>
    <row r="306" ht="13.5">
      <c r="A306" s="54"/>
      <c r="B306" s="5" t="s">
        <v>148</v>
      </c>
      <c r="C306" s="5" t="s">
        <v>155</v>
      </c>
      <c r="D306" s="55" t="str">
        <f>VLOOKUP($B306,Letters!$C$108:$D$131,2,FALSE) &amp; VLOOKUP($C306,Letters!$C$108:$D$131,2,FALSE)</f>
        <v>PW</v>
      </c>
      <c r="E306" s="61" t="s">
        <v>3328</v>
      </c>
      <c r="F306" s="5"/>
      <c r="G306" s="55">
        <f t="shared" si="29"/>
        <v>0</v>
      </c>
      <c r="H306" s="55">
        <f t="shared" si="30"/>
        <v>0</v>
      </c>
    </row>
    <row r="307" ht="13.5">
      <c r="A307" s="54"/>
      <c r="B307" s="5" t="s">
        <v>148</v>
      </c>
      <c r="C307" s="5" t="s">
        <v>156</v>
      </c>
      <c r="D307" s="55" t="str">
        <f>VLOOKUP($B307,Letters!$C$108:$D$131,2,FALSE) &amp; VLOOKUP($C307,Letters!$C$108:$D$131,2,FALSE)</f>
        <v>PX</v>
      </c>
      <c r="E307" s="61" t="s">
        <v>3331</v>
      </c>
      <c r="F307" s="5"/>
      <c r="G307" s="55">
        <f t="shared" si="29"/>
        <v>0</v>
      </c>
      <c r="H307" s="55">
        <f t="shared" si="30"/>
        <v>0</v>
      </c>
    </row>
    <row r="308">
      <c r="A308" s="54"/>
      <c r="B308" s="5"/>
      <c r="C308" s="5"/>
      <c r="D308" s="55"/>
      <c r="E308" s="5"/>
      <c r="F308" s="5"/>
      <c r="G308" s="55"/>
      <c r="H308" s="55"/>
    </row>
    <row r="309" ht="13.5">
      <c r="A309" s="54"/>
      <c r="B309" s="5" t="s">
        <v>149</v>
      </c>
      <c r="C309" s="5" t="s">
        <v>134</v>
      </c>
      <c r="D309" s="55" t="str">
        <f>VLOOKUP($B309,Letters!$C$108:$D$131,2,FALSE) &amp; VLOOKUP($C309,Letters!$C$108:$D$131,2,FALSE)</f>
        <v>AB</v>
      </c>
      <c r="E309" s="61" t="s">
        <v>3334</v>
      </c>
      <c r="F309" s="5" t="s">
        <v>3335</v>
      </c>
      <c r="G309" s="55">
        <f t="shared" ref="G309:G327" si="31">(len($F309)-len(SUBSTITUTE($F309,"R","")))+(len($F309)-len(SUBSTITUTE($F309,"L","")))+(len($F309)-len(SUBSTITUTE($F309,"U","")))+(len($F309)-len(SUBSTITUTE($F309,"D","")))+(len($F309)-len(SUBSTITUTE($F309,"F","")))+(len($F309)-len(SUBSTITUTE($F309,"B","")))+(len($F309)-len(SUBSTITUTE($F309,"r","")))+(len($F309)-len(SUBSTITUTE($F309,"l","")))+(len($F309)-len(SUBSTITUTE($F309,"u","")))+(len($F309)-len(SUBSTITUTE($F309,"d","")))+(len($F309)-len(SUBSTITUTE($F309,"M","")))+(len($F309)-len(SUBSTITUTE($F309,"E","")))</f>
        <v>9</v>
      </c>
      <c r="H309" s="55">
        <f t="shared" ref="H309:H327" si="32">(len($F309)-len(SUBSTITUTE($F309,"R","")))+(len($F309)-len(SUBSTITUTE($F309,"L","")))+(len($F309)-len(SUBSTITUTE($F309,"U","")))+(len($F309)-len(SUBSTITUTE($F309,"D","")))+(len($F309)-len(SUBSTITUTE($F309,"F","")))+(len($F309)-len(SUBSTITUTE($F309,"B","")))+(len($F309)-len(SUBSTITUTE($F309,"r","")))+(len($F309)-len(SUBSTITUTE($F309,"l","")))+(len($F309)-len(SUBSTITUTE($F309,"u","")))+(len($F309)-len(SUBSTITUTE($F309,"d","")))+(len($F309)-len(SUBSTITUTE($F309,"M","")))+(len($F309)-len(SUBSTITUTE($F309,"E","")))+(len($F309)-len(SUBSTITUTE($F309,"2","")))</f>
        <v>10</v>
      </c>
    </row>
    <row r="310" ht="13.5">
      <c r="A310" s="60"/>
      <c r="B310" s="5" t="s">
        <v>149</v>
      </c>
      <c r="C310" s="5" t="s">
        <v>135</v>
      </c>
      <c r="D310" s="55" t="str">
        <f>VLOOKUP($B310,Letters!$C$108:$D$131,2,FALSE) &amp; VLOOKUP($C310,Letters!$C$108:$D$131,2,FALSE)</f>
        <v>AC</v>
      </c>
      <c r="E310" s="61" t="s">
        <v>3342</v>
      </c>
      <c r="F310" s="5" t="s">
        <v>3343</v>
      </c>
      <c r="G310" s="55">
        <f t="shared" si="31"/>
        <v>13</v>
      </c>
      <c r="H310" s="55">
        <f t="shared" si="32"/>
        <v>14</v>
      </c>
    </row>
    <row r="311" ht="13.5">
      <c r="A311" s="54"/>
      <c r="B311" s="5" t="s">
        <v>149</v>
      </c>
      <c r="C311" s="5" t="s">
        <v>136</v>
      </c>
      <c r="D311" s="55" t="str">
        <f>VLOOKUP($B311,Letters!$C$108:$D$131,2,FALSE) &amp; VLOOKUP($C311,Letters!$C$108:$D$131,2,FALSE)</f>
        <v>AD</v>
      </c>
      <c r="E311" s="61" t="s">
        <v>3346</v>
      </c>
      <c r="F311" s="5" t="s">
        <v>3347</v>
      </c>
      <c r="G311" s="55">
        <f t="shared" si="31"/>
        <v>9</v>
      </c>
      <c r="H311" s="55">
        <f t="shared" si="32"/>
        <v>10</v>
      </c>
    </row>
    <row r="312" ht="13.5">
      <c r="A312" s="54"/>
      <c r="B312" s="5" t="s">
        <v>149</v>
      </c>
      <c r="C312" s="5" t="s">
        <v>137</v>
      </c>
      <c r="D312" s="55" t="str">
        <f>VLOOKUP($B312,Letters!$C$108:$D$131,2,FALSE) &amp; VLOOKUP($C312,Letters!$C$108:$D$131,2,FALSE)</f>
        <v>AE</v>
      </c>
      <c r="E312" s="61" t="s">
        <v>3350</v>
      </c>
      <c r="F312" s="5" t="s">
        <v>3351</v>
      </c>
      <c r="G312" s="55">
        <f t="shared" si="31"/>
        <v>9</v>
      </c>
      <c r="H312" s="55">
        <f t="shared" si="32"/>
        <v>9</v>
      </c>
    </row>
    <row r="313" ht="13.5">
      <c r="A313" s="54"/>
      <c r="B313" s="5" t="s">
        <v>149</v>
      </c>
      <c r="C313" s="5" t="s">
        <v>138</v>
      </c>
      <c r="D313" s="55" t="str">
        <f>VLOOKUP($B313,Letters!$C$108:$D$131,2,FALSE) &amp; VLOOKUP($C313,Letters!$C$108:$D$131,2,FALSE)</f>
        <v>AF</v>
      </c>
      <c r="E313" s="61"/>
      <c r="F313" s="5"/>
      <c r="G313" s="55">
        <f t="shared" si="31"/>
        <v>0</v>
      </c>
      <c r="H313" s="55">
        <f t="shared" si="32"/>
        <v>0</v>
      </c>
    </row>
    <row r="314" ht="13.5">
      <c r="A314" s="54"/>
      <c r="B314" s="5" t="s">
        <v>149</v>
      </c>
      <c r="C314" s="5" t="s">
        <v>139</v>
      </c>
      <c r="D314" s="55" t="str">
        <f>VLOOKUP($B314,Letters!$C$108:$D$131,2,FALSE) &amp; VLOOKUP($C314,Letters!$C$108:$D$131,2,FALSE)</f>
        <v>AG</v>
      </c>
      <c r="E314" s="61"/>
      <c r="F314" s="5"/>
      <c r="G314" s="55">
        <f t="shared" si="31"/>
        <v>0</v>
      </c>
      <c r="H314" s="55">
        <f t="shared" si="32"/>
        <v>0</v>
      </c>
    </row>
    <row r="315" ht="13.5">
      <c r="A315" s="60"/>
      <c r="B315" s="5" t="s">
        <v>149</v>
      </c>
      <c r="C315" s="5" t="s">
        <v>140</v>
      </c>
      <c r="D315" s="55" t="str">
        <f>VLOOKUP($B315,Letters!$C$108:$D$131,2,FALSE) &amp; VLOOKUP($C315,Letters!$C$108:$D$131,2,FALSE)</f>
        <v>AH</v>
      </c>
      <c r="E315" s="61"/>
      <c r="F315" s="5"/>
      <c r="G315" s="55">
        <f t="shared" si="31"/>
        <v>0</v>
      </c>
      <c r="H315" s="55">
        <f t="shared" si="32"/>
        <v>0</v>
      </c>
    </row>
    <row r="316" ht="13.5">
      <c r="A316" s="54"/>
      <c r="B316" s="5" t="s">
        <v>149</v>
      </c>
      <c r="C316" s="5" t="s">
        <v>141</v>
      </c>
      <c r="D316" s="55" t="str">
        <f>VLOOKUP($B316,Letters!$C$108:$D$131,2,FALSE) &amp; VLOOKUP($C316,Letters!$C$108:$D$131,2,FALSE)</f>
        <v>AI</v>
      </c>
      <c r="E316" s="61"/>
      <c r="F316" s="5"/>
      <c r="G316" s="55">
        <f t="shared" si="31"/>
        <v>0</v>
      </c>
      <c r="H316" s="55">
        <f t="shared" si="32"/>
        <v>0</v>
      </c>
    </row>
    <row r="317" ht="13.5">
      <c r="A317" s="54"/>
      <c r="B317" s="5" t="s">
        <v>149</v>
      </c>
      <c r="C317" s="5" t="s">
        <v>142</v>
      </c>
      <c r="D317" s="55" t="str">
        <f>VLOOKUP($B317,Letters!$C$108:$D$131,2,FALSE) &amp; VLOOKUP($C317,Letters!$C$108:$D$131,2,FALSE)</f>
        <v>AJ</v>
      </c>
      <c r="E317" s="61"/>
      <c r="F317" s="5"/>
      <c r="G317" s="55">
        <f t="shared" si="31"/>
        <v>0</v>
      </c>
      <c r="H317" s="55">
        <f t="shared" si="32"/>
        <v>0</v>
      </c>
    </row>
    <row r="318" ht="13.5">
      <c r="A318" s="54"/>
      <c r="B318" s="5" t="s">
        <v>149</v>
      </c>
      <c r="C318" s="5" t="s">
        <v>143</v>
      </c>
      <c r="D318" s="55" t="str">
        <f>VLOOKUP($B318,Letters!$C$108:$D$131,2,FALSE) &amp; VLOOKUP($C318,Letters!$C$108:$D$131,2,FALSE)</f>
        <v>AK</v>
      </c>
      <c r="E318" s="61"/>
      <c r="F318" s="5"/>
      <c r="G318" s="55">
        <f t="shared" si="31"/>
        <v>0</v>
      </c>
      <c r="H318" s="55">
        <f t="shared" si="32"/>
        <v>0</v>
      </c>
    </row>
    <row r="319" ht="13.5">
      <c r="A319" s="60"/>
      <c r="B319" s="5" t="s">
        <v>149</v>
      </c>
      <c r="C319" s="5" t="s">
        <v>144</v>
      </c>
      <c r="D319" s="55" t="str">
        <f>VLOOKUP($B319,Letters!$C$108:$D$131,2,FALSE) &amp; VLOOKUP($C319,Letters!$C$108:$D$131,2,FALSE)</f>
        <v>AL</v>
      </c>
      <c r="E319" s="61"/>
      <c r="F319" s="5"/>
      <c r="G319" s="55">
        <f t="shared" si="31"/>
        <v>0</v>
      </c>
      <c r="H319" s="55">
        <f t="shared" si="32"/>
        <v>0</v>
      </c>
    </row>
    <row r="320" ht="13.5">
      <c r="A320" s="54"/>
      <c r="B320" s="5" t="s">
        <v>149</v>
      </c>
      <c r="C320" s="5" t="s">
        <v>145</v>
      </c>
      <c r="D320" s="55" t="str">
        <f>VLOOKUP($B320,Letters!$C$108:$D$131,2,FALSE) &amp; VLOOKUP($C320,Letters!$C$108:$D$131,2,FALSE)</f>
        <v>AM</v>
      </c>
      <c r="E320" s="61"/>
      <c r="F320" s="5"/>
      <c r="G320" s="55">
        <f t="shared" si="31"/>
        <v>0</v>
      </c>
      <c r="H320" s="55">
        <f t="shared" si="32"/>
        <v>0</v>
      </c>
    </row>
    <row r="321" ht="13.5">
      <c r="A321" s="60"/>
      <c r="B321" s="5" t="s">
        <v>149</v>
      </c>
      <c r="C321" s="5" t="s">
        <v>146</v>
      </c>
      <c r="D321" s="55" t="str">
        <f>VLOOKUP($B321,Letters!$C$108:$D$131,2,FALSE) &amp; VLOOKUP($C321,Letters!$C$108:$D$131,2,FALSE)</f>
        <v>AN</v>
      </c>
      <c r="E321" s="61"/>
      <c r="F321" s="5"/>
      <c r="G321" s="55">
        <f t="shared" si="31"/>
        <v>0</v>
      </c>
      <c r="H321" s="55">
        <f t="shared" si="32"/>
        <v>0</v>
      </c>
    </row>
    <row r="322" ht="13.5">
      <c r="A322" s="60"/>
      <c r="B322" s="5" t="s">
        <v>149</v>
      </c>
      <c r="C322" s="5" t="s">
        <v>147</v>
      </c>
      <c r="D322" s="55" t="str">
        <f>VLOOKUP($B322,Letters!$C$108:$D$131,2,FALSE) &amp; VLOOKUP($C322,Letters!$C$108:$D$131,2,FALSE)</f>
        <v>AO</v>
      </c>
      <c r="E322" s="61"/>
      <c r="F322" s="5"/>
      <c r="G322" s="55">
        <f t="shared" si="31"/>
        <v>0</v>
      </c>
      <c r="H322" s="55">
        <f t="shared" si="32"/>
        <v>0</v>
      </c>
    </row>
    <row r="323" ht="13.5">
      <c r="A323" s="60"/>
      <c r="B323" s="5" t="s">
        <v>149</v>
      </c>
      <c r="C323" s="5" t="s">
        <v>148</v>
      </c>
      <c r="D323" s="55" t="str">
        <f>VLOOKUP($B323,Letters!$C$108:$D$131,2,FALSE) &amp; VLOOKUP($C323,Letters!$C$108:$D$131,2,FALSE)</f>
        <v>AP</v>
      </c>
      <c r="E323" s="61"/>
      <c r="F323" s="5"/>
      <c r="G323" s="55">
        <f t="shared" si="31"/>
        <v>0</v>
      </c>
      <c r="H323" s="55">
        <f t="shared" si="32"/>
        <v>0</v>
      </c>
    </row>
    <row r="324" ht="13.5">
      <c r="A324" s="54"/>
      <c r="B324" s="5" t="s">
        <v>149</v>
      </c>
      <c r="C324" s="5" t="s">
        <v>153</v>
      </c>
      <c r="D324" s="55" t="str">
        <f>VLOOKUP($B324,Letters!$C$108:$D$131,2,FALSE) &amp; VLOOKUP($C324,Letters!$C$108:$D$131,2,FALSE)</f>
        <v>AU</v>
      </c>
      <c r="E324" s="61" t="s">
        <v>3365</v>
      </c>
      <c r="F324" s="5" t="s">
        <v>3366</v>
      </c>
      <c r="G324" s="55">
        <f t="shared" si="31"/>
        <v>13</v>
      </c>
      <c r="H324" s="55">
        <f t="shared" si="32"/>
        <v>14</v>
      </c>
    </row>
    <row r="325" ht="13.5">
      <c r="A325" s="54"/>
      <c r="B325" s="5" t="s">
        <v>149</v>
      </c>
      <c r="C325" s="5" t="s">
        <v>154</v>
      </c>
      <c r="D325" s="55" t="str">
        <f>VLOOKUP($B325,Letters!$C$108:$D$131,2,FALSE) &amp; VLOOKUP($C325,Letters!$C$108:$D$131,2,FALSE)</f>
        <v>AV</v>
      </c>
      <c r="E325" s="61" t="s">
        <v>3369</v>
      </c>
      <c r="F325" s="5"/>
      <c r="G325" s="55">
        <f t="shared" si="31"/>
        <v>0</v>
      </c>
      <c r="H325" s="55">
        <f t="shared" si="32"/>
        <v>0</v>
      </c>
    </row>
    <row r="326" ht="13.5">
      <c r="A326" s="54"/>
      <c r="B326" s="5" t="s">
        <v>149</v>
      </c>
      <c r="C326" s="5" t="s">
        <v>155</v>
      </c>
      <c r="D326" s="55" t="str">
        <f>VLOOKUP($B326,Letters!$C$108:$D$131,2,FALSE) &amp; VLOOKUP($C326,Letters!$C$108:$D$131,2,FALSE)</f>
        <v>AW</v>
      </c>
      <c r="E326" s="61" t="s">
        <v>3372</v>
      </c>
      <c r="F326" s="5"/>
      <c r="G326" s="55">
        <f t="shared" si="31"/>
        <v>0</v>
      </c>
      <c r="H326" s="55">
        <f t="shared" si="32"/>
        <v>0</v>
      </c>
    </row>
    <row r="327" ht="13.5">
      <c r="A327" s="54"/>
      <c r="B327" s="5" t="s">
        <v>149</v>
      </c>
      <c r="C327" s="5" t="s">
        <v>156</v>
      </c>
      <c r="D327" s="55" t="str">
        <f>VLOOKUP($B327,Letters!$C$108:$D$131,2,FALSE) &amp; VLOOKUP($C327,Letters!$C$108:$D$131,2,FALSE)</f>
        <v>AX</v>
      </c>
      <c r="E327" s="61" t="s">
        <v>3374</v>
      </c>
      <c r="F327" s="5"/>
      <c r="G327" s="55">
        <f t="shared" si="31"/>
        <v>0</v>
      </c>
      <c r="H327" s="55">
        <f t="shared" si="32"/>
        <v>0</v>
      </c>
    </row>
    <row r="328">
      <c r="A328" s="54"/>
      <c r="B328" s="5"/>
      <c r="C328" s="5"/>
      <c r="D328" s="55"/>
      <c r="E328" s="5"/>
      <c r="F328" s="5"/>
      <c r="G328" s="55"/>
      <c r="H328" s="55"/>
    </row>
    <row r="329" ht="13.5">
      <c r="A329" s="60"/>
      <c r="B329" s="5" t="s">
        <v>150</v>
      </c>
      <c r="C329" s="5" t="s">
        <v>134</v>
      </c>
      <c r="D329" s="55" t="str">
        <f>VLOOKUP($B329,Letters!$C$108:$D$131,2,FALSE) &amp; VLOOKUP($C329,Letters!$C$108:$D$131,2,FALSE)</f>
        <v>RB</v>
      </c>
      <c r="E329" s="61" t="s">
        <v>3376</v>
      </c>
      <c r="F329" s="5" t="s">
        <v>3377</v>
      </c>
      <c r="G329" s="55">
        <f t="shared" ref="G329:G347" si="33">(len($F329)-len(SUBSTITUTE($F329,"R","")))+(len($F329)-len(SUBSTITUTE($F329,"L","")))+(len($F329)-len(SUBSTITUTE($F329,"U","")))+(len($F329)-len(SUBSTITUTE($F329,"D","")))+(len($F329)-len(SUBSTITUTE($F329,"F","")))+(len($F329)-len(SUBSTITUTE($F329,"B","")))+(len($F329)-len(SUBSTITUTE($F329,"r","")))+(len($F329)-len(SUBSTITUTE($F329,"l","")))+(len($F329)-len(SUBSTITUTE($F329,"u","")))+(len($F329)-len(SUBSTITUTE($F329,"d","")))+(len($F329)-len(SUBSTITUTE($F329,"M","")))+(len($F329)-len(SUBSTITUTE($F329,"E","")))</f>
        <v>8</v>
      </c>
      <c r="H329" s="55">
        <f t="shared" ref="H329:H347" si="34">(len($F329)-len(SUBSTITUTE($F329,"R","")))+(len($F329)-len(SUBSTITUTE($F329,"L","")))+(len($F329)-len(SUBSTITUTE($F329,"U","")))+(len($F329)-len(SUBSTITUTE($F329,"D","")))+(len($F329)-len(SUBSTITUTE($F329,"F","")))+(len($F329)-len(SUBSTITUTE($F329,"B","")))+(len($F329)-len(SUBSTITUTE($F329,"r","")))+(len($F329)-len(SUBSTITUTE($F329,"l","")))+(len($F329)-len(SUBSTITUTE($F329,"u","")))+(len($F329)-len(SUBSTITUTE($F329,"d","")))+(len($F329)-len(SUBSTITUTE($F329,"M","")))+(len($F329)-len(SUBSTITUTE($F329,"E","")))+(len($F329)-len(SUBSTITUTE($F329,"2","")))</f>
        <v>10</v>
      </c>
    </row>
    <row r="330" ht="13.5">
      <c r="A330" s="54"/>
      <c r="B330" s="5" t="s">
        <v>150</v>
      </c>
      <c r="C330" s="5" t="s">
        <v>135</v>
      </c>
      <c r="D330" s="55" t="str">
        <f>VLOOKUP($B330,Letters!$C$108:$D$131,2,FALSE) &amp; VLOOKUP($C330,Letters!$C$108:$D$131,2,FALSE)</f>
        <v>RC</v>
      </c>
      <c r="E330" s="61" t="s">
        <v>3386</v>
      </c>
      <c r="F330" s="5" t="s">
        <v>3387</v>
      </c>
      <c r="G330" s="55">
        <f t="shared" si="33"/>
        <v>9</v>
      </c>
      <c r="H330" s="55">
        <f t="shared" si="34"/>
        <v>12</v>
      </c>
    </row>
    <row r="331" ht="13.5">
      <c r="A331" s="54"/>
      <c r="B331" s="5" t="s">
        <v>150</v>
      </c>
      <c r="C331" s="5" t="s">
        <v>136</v>
      </c>
      <c r="D331" s="55" t="str">
        <f>VLOOKUP($B331,Letters!$C$108:$D$131,2,FALSE) &amp; VLOOKUP($C331,Letters!$C$108:$D$131,2,FALSE)</f>
        <v>RD</v>
      </c>
      <c r="E331" s="61" t="s">
        <v>3390</v>
      </c>
      <c r="F331" s="5" t="s">
        <v>3391</v>
      </c>
      <c r="G331" s="55">
        <f t="shared" si="33"/>
        <v>8</v>
      </c>
      <c r="H331" s="55">
        <f t="shared" si="34"/>
        <v>8</v>
      </c>
    </row>
    <row r="332" ht="13.5">
      <c r="A332" s="54"/>
      <c r="B332" s="5" t="s">
        <v>150</v>
      </c>
      <c r="C332" s="5" t="s">
        <v>137</v>
      </c>
      <c r="D332" s="55" t="str">
        <f>VLOOKUP($B332,Letters!$C$108:$D$131,2,FALSE) &amp; VLOOKUP($C332,Letters!$C$108:$D$131,2,FALSE)</f>
        <v>RE</v>
      </c>
      <c r="E332" s="61" t="s">
        <v>3394</v>
      </c>
      <c r="F332" s="5" t="s">
        <v>3395</v>
      </c>
      <c r="G332" s="55">
        <f t="shared" si="33"/>
        <v>9</v>
      </c>
      <c r="H332" s="55">
        <f t="shared" si="34"/>
        <v>9</v>
      </c>
    </row>
    <row r="333" ht="13.5">
      <c r="A333" s="54"/>
      <c r="B333" s="5" t="s">
        <v>150</v>
      </c>
      <c r="C333" s="5" t="s">
        <v>138</v>
      </c>
      <c r="D333" s="55" t="str">
        <f>VLOOKUP($B333,Letters!$C$108:$D$131,2,FALSE) &amp; VLOOKUP($C333,Letters!$C$108:$D$131,2,FALSE)</f>
        <v>RF</v>
      </c>
      <c r="E333" s="61"/>
      <c r="F333" s="5"/>
      <c r="G333" s="55">
        <f t="shared" si="33"/>
        <v>0</v>
      </c>
      <c r="H333" s="55">
        <f t="shared" si="34"/>
        <v>0</v>
      </c>
    </row>
    <row r="334" ht="13.5">
      <c r="A334" s="54"/>
      <c r="B334" s="5" t="s">
        <v>150</v>
      </c>
      <c r="C334" s="5" t="s">
        <v>139</v>
      </c>
      <c r="D334" s="55" t="str">
        <f>VLOOKUP($B334,Letters!$C$108:$D$131,2,FALSE) &amp; VLOOKUP($C334,Letters!$C$108:$D$131,2,FALSE)</f>
        <v>RG</v>
      </c>
      <c r="E334" s="61"/>
      <c r="F334" s="5"/>
      <c r="G334" s="55">
        <f t="shared" si="33"/>
        <v>0</v>
      </c>
      <c r="H334" s="55">
        <f t="shared" si="34"/>
        <v>0</v>
      </c>
    </row>
    <row r="335" ht="13.5">
      <c r="A335" s="54"/>
      <c r="B335" s="5" t="s">
        <v>150</v>
      </c>
      <c r="C335" s="5" t="s">
        <v>140</v>
      </c>
      <c r="D335" s="55" t="str">
        <f>VLOOKUP($B335,Letters!$C$108:$D$131,2,FALSE) &amp; VLOOKUP($C335,Letters!$C$108:$D$131,2,FALSE)</f>
        <v>RH</v>
      </c>
      <c r="E335" s="61"/>
      <c r="F335" s="5"/>
      <c r="G335" s="55">
        <f t="shared" si="33"/>
        <v>0</v>
      </c>
      <c r="H335" s="55">
        <f t="shared" si="34"/>
        <v>0</v>
      </c>
    </row>
    <row r="336" ht="13.5">
      <c r="A336" s="54"/>
      <c r="B336" s="5" t="s">
        <v>150</v>
      </c>
      <c r="C336" s="5" t="s">
        <v>141</v>
      </c>
      <c r="D336" s="55" t="str">
        <f>VLOOKUP($B336,Letters!$C$108:$D$131,2,FALSE) &amp; VLOOKUP($C336,Letters!$C$108:$D$131,2,FALSE)</f>
        <v>RI</v>
      </c>
      <c r="E336" s="61"/>
      <c r="F336" s="5"/>
      <c r="G336" s="55">
        <f t="shared" si="33"/>
        <v>0</v>
      </c>
      <c r="H336" s="55">
        <f t="shared" si="34"/>
        <v>0</v>
      </c>
    </row>
    <row r="337" ht="13.5">
      <c r="A337" s="54"/>
      <c r="B337" s="5" t="s">
        <v>150</v>
      </c>
      <c r="C337" s="5" t="s">
        <v>142</v>
      </c>
      <c r="D337" s="55" t="str">
        <f>VLOOKUP($B337,Letters!$C$108:$D$131,2,FALSE) &amp; VLOOKUP($C337,Letters!$C$108:$D$131,2,FALSE)</f>
        <v>RJ</v>
      </c>
      <c r="E337" s="61"/>
      <c r="F337" s="5"/>
      <c r="G337" s="55">
        <f t="shared" si="33"/>
        <v>0</v>
      </c>
      <c r="H337" s="55">
        <f t="shared" si="34"/>
        <v>0</v>
      </c>
    </row>
    <row r="338" ht="13.5">
      <c r="A338" s="60"/>
      <c r="B338" s="5" t="s">
        <v>150</v>
      </c>
      <c r="C338" s="5" t="s">
        <v>143</v>
      </c>
      <c r="D338" s="55" t="str">
        <f>VLOOKUP($B338,Letters!$C$108:$D$131,2,FALSE) &amp; VLOOKUP($C338,Letters!$C$108:$D$131,2,FALSE)</f>
        <v>RK</v>
      </c>
      <c r="E338" s="61"/>
      <c r="F338" s="5"/>
      <c r="G338" s="55">
        <f t="shared" si="33"/>
        <v>0</v>
      </c>
      <c r="H338" s="55">
        <f t="shared" si="34"/>
        <v>0</v>
      </c>
    </row>
    <row r="339" ht="13.5">
      <c r="A339" s="54"/>
      <c r="B339" s="5" t="s">
        <v>150</v>
      </c>
      <c r="C339" s="5" t="s">
        <v>144</v>
      </c>
      <c r="D339" s="55" t="str">
        <f>VLOOKUP($B339,Letters!$C$108:$D$131,2,FALSE) &amp; VLOOKUP($C339,Letters!$C$108:$D$131,2,FALSE)</f>
        <v>RL</v>
      </c>
      <c r="E339" s="61"/>
      <c r="F339" s="5"/>
      <c r="G339" s="55">
        <f t="shared" si="33"/>
        <v>0</v>
      </c>
      <c r="H339" s="55">
        <f t="shared" si="34"/>
        <v>0</v>
      </c>
    </row>
    <row r="340" ht="13.5">
      <c r="A340" s="54"/>
      <c r="B340" s="5" t="s">
        <v>150</v>
      </c>
      <c r="C340" s="5" t="s">
        <v>145</v>
      </c>
      <c r="D340" s="55" t="str">
        <f>VLOOKUP($B340,Letters!$C$108:$D$131,2,FALSE) &amp; VLOOKUP($C340,Letters!$C$108:$D$131,2,FALSE)</f>
        <v>RM</v>
      </c>
      <c r="E340" s="61"/>
      <c r="F340" s="5"/>
      <c r="G340" s="55">
        <f t="shared" si="33"/>
        <v>0</v>
      </c>
      <c r="H340" s="55">
        <f t="shared" si="34"/>
        <v>0</v>
      </c>
    </row>
    <row r="341" ht="13.5">
      <c r="A341" s="54"/>
      <c r="B341" s="5" t="s">
        <v>150</v>
      </c>
      <c r="C341" s="5" t="s">
        <v>146</v>
      </c>
      <c r="D341" s="55" t="str">
        <f>VLOOKUP($B341,Letters!$C$108:$D$131,2,FALSE) &amp; VLOOKUP($C341,Letters!$C$108:$D$131,2,FALSE)</f>
        <v>RN</v>
      </c>
      <c r="E341" s="61"/>
      <c r="F341" s="5"/>
      <c r="G341" s="55">
        <f t="shared" si="33"/>
        <v>0</v>
      </c>
      <c r="H341" s="55">
        <f t="shared" si="34"/>
        <v>0</v>
      </c>
    </row>
    <row r="342" ht="13.5">
      <c r="A342" s="54"/>
      <c r="B342" s="5" t="s">
        <v>150</v>
      </c>
      <c r="C342" s="5" t="s">
        <v>147</v>
      </c>
      <c r="D342" s="55" t="str">
        <f>VLOOKUP($B342,Letters!$C$108:$D$131,2,FALSE) &amp; VLOOKUP($C342,Letters!$C$108:$D$131,2,FALSE)</f>
        <v>RO</v>
      </c>
      <c r="E342" s="61"/>
      <c r="F342" s="5"/>
      <c r="G342" s="55">
        <f t="shared" si="33"/>
        <v>0</v>
      </c>
      <c r="H342" s="55">
        <f t="shared" si="34"/>
        <v>0</v>
      </c>
    </row>
    <row r="343" ht="13.5">
      <c r="A343" s="54"/>
      <c r="B343" s="5" t="s">
        <v>150</v>
      </c>
      <c r="C343" s="5" t="s">
        <v>148</v>
      </c>
      <c r="D343" s="55" t="str">
        <f>VLOOKUP($B343,Letters!$C$108:$D$131,2,FALSE) &amp; VLOOKUP($C343,Letters!$C$108:$D$131,2,FALSE)</f>
        <v>RP</v>
      </c>
      <c r="E343" s="61"/>
      <c r="F343" s="5"/>
      <c r="G343" s="55">
        <f t="shared" si="33"/>
        <v>0</v>
      </c>
      <c r="H343" s="55">
        <f t="shared" si="34"/>
        <v>0</v>
      </c>
    </row>
    <row r="344" ht="13.5">
      <c r="A344" s="54"/>
      <c r="B344" s="5" t="s">
        <v>150</v>
      </c>
      <c r="C344" s="5" t="s">
        <v>153</v>
      </c>
      <c r="D344" s="55" t="str">
        <f>VLOOKUP($B344,Letters!$C$108:$D$131,2,FALSE) &amp; VLOOKUP($C344,Letters!$C$108:$D$131,2,FALSE)</f>
        <v>RU</v>
      </c>
      <c r="E344" s="61" t="s">
        <v>3406</v>
      </c>
      <c r="F344" s="5"/>
      <c r="G344" s="55">
        <f t="shared" si="33"/>
        <v>0</v>
      </c>
      <c r="H344" s="55">
        <f t="shared" si="34"/>
        <v>0</v>
      </c>
    </row>
    <row r="345" ht="13.5">
      <c r="A345" s="54"/>
      <c r="B345" s="5" t="s">
        <v>150</v>
      </c>
      <c r="C345" s="5" t="s">
        <v>154</v>
      </c>
      <c r="D345" s="55" t="str">
        <f>VLOOKUP($B345,Letters!$C$108:$D$131,2,FALSE) &amp; VLOOKUP($C345,Letters!$C$108:$D$131,2,FALSE)</f>
        <v>RV</v>
      </c>
      <c r="E345" s="61" t="s">
        <v>3409</v>
      </c>
      <c r="F345" s="5"/>
      <c r="G345" s="55">
        <f t="shared" si="33"/>
        <v>0</v>
      </c>
      <c r="H345" s="55">
        <f t="shared" si="34"/>
        <v>0</v>
      </c>
    </row>
    <row r="346" ht="13.5">
      <c r="A346" s="54"/>
      <c r="B346" s="5" t="s">
        <v>150</v>
      </c>
      <c r="C346" s="5" t="s">
        <v>155</v>
      </c>
      <c r="D346" s="55" t="str">
        <f>VLOOKUP($B346,Letters!$C$108:$D$131,2,FALSE) &amp; VLOOKUP($C346,Letters!$C$108:$D$131,2,FALSE)</f>
        <v>RW</v>
      </c>
      <c r="E346" s="61" t="s">
        <v>3412</v>
      </c>
      <c r="F346" s="5"/>
      <c r="G346" s="55">
        <f t="shared" si="33"/>
        <v>0</v>
      </c>
      <c r="H346" s="55">
        <f t="shared" si="34"/>
        <v>0</v>
      </c>
    </row>
    <row r="347" ht="13.5">
      <c r="A347" s="54"/>
      <c r="B347" s="5" t="s">
        <v>150</v>
      </c>
      <c r="C347" s="5" t="s">
        <v>156</v>
      </c>
      <c r="D347" s="55" t="str">
        <f>VLOOKUP($B347,Letters!$C$108:$D$131,2,FALSE) &amp; VLOOKUP($C347,Letters!$C$108:$D$131,2,FALSE)</f>
        <v>RX</v>
      </c>
      <c r="E347" s="61" t="s">
        <v>3415</v>
      </c>
      <c r="F347" s="5"/>
      <c r="G347" s="55">
        <f t="shared" si="33"/>
        <v>0</v>
      </c>
      <c r="H347" s="55">
        <f t="shared" si="34"/>
        <v>0</v>
      </c>
    </row>
    <row r="348">
      <c r="A348" s="60"/>
      <c r="B348" s="5"/>
      <c r="C348" s="5"/>
      <c r="D348" s="55"/>
      <c r="E348" s="5"/>
      <c r="F348" s="5"/>
      <c r="G348" s="55"/>
      <c r="H348" s="55"/>
    </row>
    <row r="349" ht="13.5">
      <c r="A349" s="54"/>
      <c r="B349" s="5" t="s">
        <v>151</v>
      </c>
      <c r="C349" s="5" t="s">
        <v>134</v>
      </c>
      <c r="D349" s="55" t="str">
        <f>VLOOKUP($B349,Letters!$C$108:$D$131,2,FALSE) &amp; VLOOKUP($C349,Letters!$C$108:$D$131,2,FALSE)</f>
        <v>SB</v>
      </c>
      <c r="E349" s="61" t="s">
        <v>3418</v>
      </c>
      <c r="F349" s="5" t="s">
        <v>3419</v>
      </c>
      <c r="G349" s="55">
        <f t="shared" ref="G349:G367" si="35">(len($F349)-len(SUBSTITUTE($F349,"R","")))+(len($F349)-len(SUBSTITUTE($F349,"L","")))+(len($F349)-len(SUBSTITUTE($F349,"U","")))+(len($F349)-len(SUBSTITUTE($F349,"D","")))+(len($F349)-len(SUBSTITUTE($F349,"F","")))+(len($F349)-len(SUBSTITUTE($F349,"B","")))+(len($F349)-len(SUBSTITUTE($F349,"r","")))+(len($F349)-len(SUBSTITUTE($F349,"l","")))+(len($F349)-len(SUBSTITUTE($F349,"u","")))+(len($F349)-len(SUBSTITUTE($F349,"d","")))+(len($F349)-len(SUBSTITUTE($F349,"M","")))+(len($F349)-len(SUBSTITUTE($F349,"E","")))</f>
        <v>8</v>
      </c>
      <c r="H349" s="55">
        <f t="shared" ref="H349:H367" si="36">(len($F349)-len(SUBSTITUTE($F349,"R","")))+(len($F349)-len(SUBSTITUTE($F349,"L","")))+(len($F349)-len(SUBSTITUTE($F349,"U","")))+(len($F349)-len(SUBSTITUTE($F349,"D","")))+(len($F349)-len(SUBSTITUTE($F349,"F","")))+(len($F349)-len(SUBSTITUTE($F349,"B","")))+(len($F349)-len(SUBSTITUTE($F349,"r","")))+(len($F349)-len(SUBSTITUTE($F349,"l","")))+(len($F349)-len(SUBSTITUTE($F349,"u","")))+(len($F349)-len(SUBSTITUTE($F349,"d","")))+(len($F349)-len(SUBSTITUTE($F349,"M","")))+(len($F349)-len(SUBSTITUTE($F349,"E","")))+(len($F349)-len(SUBSTITUTE($F349,"2","")))</f>
        <v>8</v>
      </c>
    </row>
    <row r="350" ht="13.5">
      <c r="A350" s="54"/>
      <c r="B350" s="5" t="s">
        <v>151</v>
      </c>
      <c r="C350" s="5" t="s">
        <v>135</v>
      </c>
      <c r="D350" s="55" t="str">
        <f>VLOOKUP($B350,Letters!$C$108:$D$131,2,FALSE) &amp; VLOOKUP($C350,Letters!$C$108:$D$131,2,FALSE)</f>
        <v>SC</v>
      </c>
      <c r="E350" s="61" t="s">
        <v>3426</v>
      </c>
      <c r="F350" s="5" t="s">
        <v>3427</v>
      </c>
      <c r="G350" s="55">
        <f t="shared" si="35"/>
        <v>13</v>
      </c>
      <c r="H350" s="55">
        <f t="shared" si="36"/>
        <v>14</v>
      </c>
    </row>
    <row r="351" ht="13.5">
      <c r="A351" s="54"/>
      <c r="B351" s="5" t="s">
        <v>151</v>
      </c>
      <c r="C351" s="5" t="s">
        <v>136</v>
      </c>
      <c r="D351" s="55" t="str">
        <f>VLOOKUP($B351,Letters!$C$108:$D$131,2,FALSE) &amp; VLOOKUP($C351,Letters!$C$108:$D$131,2,FALSE)</f>
        <v>SD</v>
      </c>
      <c r="E351" s="61" t="s">
        <v>3430</v>
      </c>
      <c r="F351" s="5" t="s">
        <v>3431</v>
      </c>
      <c r="G351" s="55">
        <f t="shared" si="35"/>
        <v>8</v>
      </c>
      <c r="H351" s="55">
        <f t="shared" si="36"/>
        <v>8</v>
      </c>
    </row>
    <row r="352" ht="13.5">
      <c r="A352" s="54"/>
      <c r="B352" s="5" t="s">
        <v>151</v>
      </c>
      <c r="C352" s="5" t="s">
        <v>137</v>
      </c>
      <c r="D352" s="55" t="str">
        <f>VLOOKUP($B352,Letters!$C$108:$D$131,2,FALSE) &amp; VLOOKUP($C352,Letters!$C$108:$D$131,2,FALSE)</f>
        <v>SE</v>
      </c>
      <c r="E352" s="61" t="s">
        <v>3434</v>
      </c>
      <c r="F352" s="5" t="s">
        <v>3435</v>
      </c>
      <c r="G352" s="55">
        <f t="shared" si="35"/>
        <v>11</v>
      </c>
      <c r="H352" s="55">
        <f t="shared" si="36"/>
        <v>11</v>
      </c>
    </row>
    <row r="353" ht="13.5">
      <c r="A353" s="54"/>
      <c r="B353" s="5" t="s">
        <v>151</v>
      </c>
      <c r="C353" s="5" t="s">
        <v>138</v>
      </c>
      <c r="D353" s="55" t="str">
        <f>VLOOKUP($B353,Letters!$C$108:$D$131,2,FALSE) &amp; VLOOKUP($C353,Letters!$C$108:$D$131,2,FALSE)</f>
        <v>SF</v>
      </c>
      <c r="E353" s="61"/>
      <c r="F353" s="5"/>
      <c r="G353" s="55">
        <f t="shared" si="35"/>
        <v>0</v>
      </c>
      <c r="H353" s="55">
        <f t="shared" si="36"/>
        <v>0</v>
      </c>
    </row>
    <row r="354" ht="13.5">
      <c r="A354" s="54"/>
      <c r="B354" s="5" t="s">
        <v>151</v>
      </c>
      <c r="C354" s="5" t="s">
        <v>139</v>
      </c>
      <c r="D354" s="55" t="str">
        <f>VLOOKUP($B354,Letters!$C$108:$D$131,2,FALSE) &amp; VLOOKUP($C354,Letters!$C$108:$D$131,2,FALSE)</f>
        <v>SG</v>
      </c>
      <c r="E354" s="61"/>
      <c r="F354" s="5"/>
      <c r="G354" s="55">
        <f t="shared" si="35"/>
        <v>0</v>
      </c>
      <c r="H354" s="55">
        <f t="shared" si="36"/>
        <v>0</v>
      </c>
    </row>
    <row r="355" ht="13.5">
      <c r="A355" s="54"/>
      <c r="B355" s="5" t="s">
        <v>151</v>
      </c>
      <c r="C355" s="5" t="s">
        <v>140</v>
      </c>
      <c r="D355" s="55" t="str">
        <f>VLOOKUP($B355,Letters!$C$108:$D$131,2,FALSE) &amp; VLOOKUP($C355,Letters!$C$108:$D$131,2,FALSE)</f>
        <v>SH</v>
      </c>
      <c r="E355" s="61"/>
      <c r="F355" s="5"/>
      <c r="G355" s="55">
        <f t="shared" si="35"/>
        <v>0</v>
      </c>
      <c r="H355" s="55">
        <f t="shared" si="36"/>
        <v>0</v>
      </c>
    </row>
    <row r="356" ht="13.5">
      <c r="A356" s="54"/>
      <c r="B356" s="5" t="s">
        <v>151</v>
      </c>
      <c r="C356" s="5" t="s">
        <v>141</v>
      </c>
      <c r="D356" s="55" t="str">
        <f>VLOOKUP($B356,Letters!$C$108:$D$131,2,FALSE) &amp; VLOOKUP($C356,Letters!$C$108:$D$131,2,FALSE)</f>
        <v>SI</v>
      </c>
      <c r="E356" s="61"/>
      <c r="F356" s="5"/>
      <c r="G356" s="55">
        <f t="shared" si="35"/>
        <v>0</v>
      </c>
      <c r="H356" s="55">
        <f t="shared" si="36"/>
        <v>0</v>
      </c>
    </row>
    <row r="357" ht="13.5">
      <c r="A357" s="54"/>
      <c r="B357" s="5" t="s">
        <v>151</v>
      </c>
      <c r="C357" s="5" t="s">
        <v>142</v>
      </c>
      <c r="D357" s="55" t="str">
        <f>VLOOKUP($B357,Letters!$C$108:$D$131,2,FALSE) &amp; VLOOKUP($C357,Letters!$C$108:$D$131,2,FALSE)</f>
        <v>SJ</v>
      </c>
      <c r="E357" s="61"/>
      <c r="F357" s="5"/>
      <c r="G357" s="55">
        <f t="shared" si="35"/>
        <v>0</v>
      </c>
      <c r="H357" s="55">
        <f t="shared" si="36"/>
        <v>0</v>
      </c>
    </row>
    <row r="358" ht="13.5">
      <c r="A358" s="60"/>
      <c r="B358" s="5" t="s">
        <v>151</v>
      </c>
      <c r="C358" s="5" t="s">
        <v>143</v>
      </c>
      <c r="D358" s="55" t="str">
        <f>VLOOKUP($B358,Letters!$C$108:$D$131,2,FALSE) &amp; VLOOKUP($C358,Letters!$C$108:$D$131,2,FALSE)</f>
        <v>SK</v>
      </c>
      <c r="E358" s="61"/>
      <c r="F358" s="5"/>
      <c r="G358" s="55">
        <f t="shared" si="35"/>
        <v>0</v>
      </c>
      <c r="H358" s="55">
        <f t="shared" si="36"/>
        <v>0</v>
      </c>
    </row>
    <row r="359" ht="13.5">
      <c r="A359" s="54"/>
      <c r="B359" s="5" t="s">
        <v>151</v>
      </c>
      <c r="C359" s="5" t="s">
        <v>144</v>
      </c>
      <c r="D359" s="55" t="str">
        <f>VLOOKUP($B359,Letters!$C$108:$D$131,2,FALSE) &amp; VLOOKUP($C359,Letters!$C$108:$D$131,2,FALSE)</f>
        <v>SL</v>
      </c>
      <c r="E359" s="61"/>
      <c r="F359" s="5"/>
      <c r="G359" s="55">
        <f t="shared" si="35"/>
        <v>0</v>
      </c>
      <c r="H359" s="55">
        <f t="shared" si="36"/>
        <v>0</v>
      </c>
    </row>
    <row r="360" ht="13.5">
      <c r="A360" s="54"/>
      <c r="B360" s="5" t="s">
        <v>151</v>
      </c>
      <c r="C360" s="5" t="s">
        <v>145</v>
      </c>
      <c r="D360" s="55" t="str">
        <f>VLOOKUP($B360,Letters!$C$108:$D$131,2,FALSE) &amp; VLOOKUP($C360,Letters!$C$108:$D$131,2,FALSE)</f>
        <v>SM</v>
      </c>
      <c r="E360" s="61"/>
      <c r="F360" s="5"/>
      <c r="G360" s="55">
        <f t="shared" si="35"/>
        <v>0</v>
      </c>
      <c r="H360" s="55">
        <f t="shared" si="36"/>
        <v>0</v>
      </c>
    </row>
    <row r="361" ht="13.5">
      <c r="A361" s="54"/>
      <c r="B361" s="5" t="s">
        <v>151</v>
      </c>
      <c r="C361" s="5" t="s">
        <v>146</v>
      </c>
      <c r="D361" s="55" t="str">
        <f>VLOOKUP($B361,Letters!$C$108:$D$131,2,FALSE) &amp; VLOOKUP($C361,Letters!$C$108:$D$131,2,FALSE)</f>
        <v>SN</v>
      </c>
      <c r="E361" s="61"/>
      <c r="F361" s="5"/>
      <c r="G361" s="55">
        <f t="shared" si="35"/>
        <v>0</v>
      </c>
      <c r="H361" s="55">
        <f t="shared" si="36"/>
        <v>0</v>
      </c>
    </row>
    <row r="362" ht="13.5">
      <c r="A362" s="54"/>
      <c r="B362" s="5" t="s">
        <v>151</v>
      </c>
      <c r="C362" s="5" t="s">
        <v>147</v>
      </c>
      <c r="D362" s="55" t="str">
        <f>VLOOKUP($B362,Letters!$C$108:$D$131,2,FALSE) &amp; VLOOKUP($C362,Letters!$C$108:$D$131,2,FALSE)</f>
        <v>SO</v>
      </c>
      <c r="E362" s="61"/>
      <c r="F362" s="5"/>
      <c r="G362" s="55">
        <f t="shared" si="35"/>
        <v>0</v>
      </c>
      <c r="H362" s="55">
        <f t="shared" si="36"/>
        <v>0</v>
      </c>
    </row>
    <row r="363" ht="13.5">
      <c r="A363" s="54"/>
      <c r="B363" s="5" t="s">
        <v>151</v>
      </c>
      <c r="C363" s="5" t="s">
        <v>148</v>
      </c>
      <c r="D363" s="55" t="str">
        <f>VLOOKUP($B363,Letters!$C$108:$D$131,2,FALSE) &amp; VLOOKUP($C363,Letters!$C$108:$D$131,2,FALSE)</f>
        <v>SP</v>
      </c>
      <c r="E363" s="61"/>
      <c r="F363" s="5"/>
      <c r="G363" s="55">
        <f t="shared" si="35"/>
        <v>0</v>
      </c>
      <c r="H363" s="55">
        <f t="shared" si="36"/>
        <v>0</v>
      </c>
    </row>
    <row r="364" ht="13.5">
      <c r="A364" s="54"/>
      <c r="B364" s="5" t="s">
        <v>151</v>
      </c>
      <c r="C364" s="5" t="s">
        <v>153</v>
      </c>
      <c r="D364" s="55" t="str">
        <f>VLOOKUP($B364,Letters!$C$108:$D$131,2,FALSE) &amp; VLOOKUP($C364,Letters!$C$108:$D$131,2,FALSE)</f>
        <v>SU</v>
      </c>
      <c r="E364" s="61" t="s">
        <v>3454</v>
      </c>
      <c r="F364" s="5"/>
      <c r="G364" s="55">
        <f t="shared" si="35"/>
        <v>0</v>
      </c>
      <c r="H364" s="55">
        <f t="shared" si="36"/>
        <v>0</v>
      </c>
    </row>
    <row r="365" ht="13.5">
      <c r="A365" s="54"/>
      <c r="B365" s="5" t="s">
        <v>151</v>
      </c>
      <c r="C365" s="5" t="s">
        <v>154</v>
      </c>
      <c r="D365" s="55" t="str">
        <f>VLOOKUP($B365,Letters!$C$108:$D$131,2,FALSE) &amp; VLOOKUP($C365,Letters!$C$108:$D$131,2,FALSE)</f>
        <v>SV</v>
      </c>
      <c r="E365" s="61" t="s">
        <v>3455</v>
      </c>
      <c r="F365" s="5"/>
      <c r="G365" s="55">
        <f t="shared" si="35"/>
        <v>0</v>
      </c>
      <c r="H365" s="55">
        <f t="shared" si="36"/>
        <v>0</v>
      </c>
    </row>
    <row r="366" ht="13.5">
      <c r="A366" s="54"/>
      <c r="B366" s="5" t="s">
        <v>151</v>
      </c>
      <c r="C366" s="5" t="s">
        <v>155</v>
      </c>
      <c r="D366" s="55" t="str">
        <f>VLOOKUP($B366,Letters!$C$108:$D$131,2,FALSE) &amp; VLOOKUP($C366,Letters!$C$108:$D$131,2,FALSE)</f>
        <v>SW</v>
      </c>
      <c r="E366" s="61" t="s">
        <v>3456</v>
      </c>
      <c r="F366" s="5"/>
      <c r="G366" s="55">
        <f t="shared" si="35"/>
        <v>0</v>
      </c>
      <c r="H366" s="55">
        <f t="shared" si="36"/>
        <v>0</v>
      </c>
    </row>
    <row r="367" ht="13.5">
      <c r="A367" s="60"/>
      <c r="B367" s="5" t="s">
        <v>151</v>
      </c>
      <c r="C367" s="5" t="s">
        <v>156</v>
      </c>
      <c r="D367" s="55" t="str">
        <f>VLOOKUP($B367,Letters!$C$108:$D$131,2,FALSE) &amp; VLOOKUP($C367,Letters!$C$108:$D$131,2,FALSE)</f>
        <v>SX</v>
      </c>
      <c r="E367" s="61" t="s">
        <v>3459</v>
      </c>
      <c r="F367" s="5"/>
      <c r="G367" s="55">
        <f t="shared" si="35"/>
        <v>0</v>
      </c>
      <c r="H367" s="55">
        <f t="shared" si="36"/>
        <v>0</v>
      </c>
    </row>
    <row r="368">
      <c r="A368" s="54"/>
      <c r="B368" s="5"/>
      <c r="C368" s="5"/>
      <c r="D368" s="55"/>
      <c r="E368" s="5"/>
      <c r="F368" s="5"/>
      <c r="G368" s="55"/>
      <c r="H368" s="55"/>
    </row>
    <row r="369" ht="13.5">
      <c r="A369" s="54"/>
      <c r="B369" s="5" t="s">
        <v>152</v>
      </c>
      <c r="C369" s="5" t="s">
        <v>134</v>
      </c>
      <c r="D369" s="55" t="str">
        <f>VLOOKUP($B369,Letters!$C$108:$D$131,2,FALSE) &amp; VLOOKUP($C369,Letters!$C$108:$D$131,2,FALSE)</f>
        <v>TB</v>
      </c>
      <c r="E369" s="61" t="s">
        <v>3462</v>
      </c>
      <c r="F369" s="5" t="s">
        <v>3463</v>
      </c>
      <c r="G369" s="55">
        <f t="shared" ref="G369:G387" si="37">(len($F369)-len(SUBSTITUTE($F369,"R","")))+(len($F369)-len(SUBSTITUTE($F369,"L","")))+(len($F369)-len(SUBSTITUTE($F369,"U","")))+(len($F369)-len(SUBSTITUTE($F369,"D","")))+(len($F369)-len(SUBSTITUTE($F369,"F","")))+(len($F369)-len(SUBSTITUTE($F369,"B","")))+(len($F369)-len(SUBSTITUTE($F369,"r","")))+(len($F369)-len(SUBSTITUTE($F369,"l","")))+(len($F369)-len(SUBSTITUTE($F369,"u","")))+(len($F369)-len(SUBSTITUTE($F369,"d","")))+(len($F369)-len(SUBSTITUTE($F369,"M","")))+(len($F369)-len(SUBSTITUTE($F369,"E","")))</f>
        <v>8</v>
      </c>
      <c r="H369" s="55">
        <f t="shared" ref="H369:H387" si="38">(len($F369)-len(SUBSTITUTE($F369,"R","")))+(len($F369)-len(SUBSTITUTE($F369,"L","")))+(len($F369)-len(SUBSTITUTE($F369,"U","")))+(len($F369)-len(SUBSTITUTE($F369,"D","")))+(len($F369)-len(SUBSTITUTE($F369,"F","")))+(len($F369)-len(SUBSTITUTE($F369,"B","")))+(len($F369)-len(SUBSTITUTE($F369,"r","")))+(len($F369)-len(SUBSTITUTE($F369,"l","")))+(len($F369)-len(SUBSTITUTE($F369,"u","")))+(len($F369)-len(SUBSTITUTE($F369,"d","")))+(len($F369)-len(SUBSTITUTE($F369,"M","")))+(len($F369)-len(SUBSTITUTE($F369,"E","")))+(len($F369)-len(SUBSTITUTE($F369,"2","")))</f>
        <v>8</v>
      </c>
    </row>
    <row r="370" ht="13.5">
      <c r="A370" s="54"/>
      <c r="B370" s="5" t="s">
        <v>152</v>
      </c>
      <c r="C370" s="5" t="s">
        <v>135</v>
      </c>
      <c r="D370" s="55" t="str">
        <f>VLOOKUP($B370,Letters!$C$108:$D$131,2,FALSE) &amp; VLOOKUP($C370,Letters!$C$108:$D$131,2,FALSE)</f>
        <v>TC</v>
      </c>
      <c r="E370" s="61" t="s">
        <v>3470</v>
      </c>
      <c r="F370" s="5" t="s">
        <v>3471</v>
      </c>
      <c r="G370" s="55">
        <f t="shared" si="37"/>
        <v>9</v>
      </c>
      <c r="H370" s="55">
        <f t="shared" si="38"/>
        <v>12</v>
      </c>
    </row>
    <row r="371" ht="13.5">
      <c r="A371" s="54"/>
      <c r="B371" s="5" t="s">
        <v>152</v>
      </c>
      <c r="C371" s="5" t="s">
        <v>136</v>
      </c>
      <c r="D371" s="55" t="str">
        <f>VLOOKUP($B371,Letters!$C$108:$D$131,2,FALSE) &amp; VLOOKUP($C371,Letters!$C$108:$D$131,2,FALSE)</f>
        <v>TD</v>
      </c>
      <c r="E371" s="61" t="s">
        <v>3474</v>
      </c>
      <c r="F371" s="5" t="s">
        <v>3475</v>
      </c>
      <c r="G371" s="55">
        <f t="shared" si="37"/>
        <v>8</v>
      </c>
      <c r="H371" s="55">
        <f t="shared" si="38"/>
        <v>10</v>
      </c>
    </row>
    <row r="372" ht="13.5">
      <c r="A372" s="54"/>
      <c r="B372" s="5" t="s">
        <v>152</v>
      </c>
      <c r="C372" s="5" t="s">
        <v>137</v>
      </c>
      <c r="D372" s="55" t="str">
        <f>VLOOKUP($B372,Letters!$C$108:$D$131,2,FALSE) &amp; VLOOKUP($C372,Letters!$C$108:$D$131,2,FALSE)</f>
        <v>TE</v>
      </c>
      <c r="E372" s="61" t="s">
        <v>3478</v>
      </c>
      <c r="F372" s="5" t="s">
        <v>3479</v>
      </c>
      <c r="G372" s="55">
        <f t="shared" si="37"/>
        <v>10</v>
      </c>
      <c r="H372" s="55">
        <f t="shared" si="38"/>
        <v>10</v>
      </c>
    </row>
    <row r="373" ht="13.5">
      <c r="A373" s="54"/>
      <c r="B373" s="5" t="s">
        <v>152</v>
      </c>
      <c r="C373" s="5" t="s">
        <v>138</v>
      </c>
      <c r="D373" s="55" t="str">
        <f>VLOOKUP($B373,Letters!$C$108:$D$131,2,FALSE) &amp; VLOOKUP($C373,Letters!$C$108:$D$131,2,FALSE)</f>
        <v>TF</v>
      </c>
      <c r="E373" s="61"/>
      <c r="F373" s="5"/>
      <c r="G373" s="55">
        <f t="shared" si="37"/>
        <v>0</v>
      </c>
      <c r="H373" s="55">
        <f t="shared" si="38"/>
        <v>0</v>
      </c>
    </row>
    <row r="374" ht="13.5">
      <c r="A374" s="54"/>
      <c r="B374" s="5" t="s">
        <v>152</v>
      </c>
      <c r="C374" s="5" t="s">
        <v>139</v>
      </c>
      <c r="D374" s="55" t="str">
        <f>VLOOKUP($B374,Letters!$C$108:$D$131,2,FALSE) &amp; VLOOKUP($C374,Letters!$C$108:$D$131,2,FALSE)</f>
        <v>TG</v>
      </c>
      <c r="E374" s="61"/>
      <c r="F374" s="5"/>
      <c r="G374" s="55">
        <f t="shared" si="37"/>
        <v>0</v>
      </c>
      <c r="H374" s="55">
        <f t="shared" si="38"/>
        <v>0</v>
      </c>
    </row>
    <row r="375" ht="13.5">
      <c r="A375" s="54"/>
      <c r="B375" s="5" t="s">
        <v>152</v>
      </c>
      <c r="C375" s="5" t="s">
        <v>140</v>
      </c>
      <c r="D375" s="55" t="str">
        <f>VLOOKUP($B375,Letters!$C$108:$D$131,2,FALSE) &amp; VLOOKUP($C375,Letters!$C$108:$D$131,2,FALSE)</f>
        <v>TH</v>
      </c>
      <c r="E375" s="61"/>
      <c r="F375" s="5"/>
      <c r="G375" s="55">
        <f t="shared" si="37"/>
        <v>0</v>
      </c>
      <c r="H375" s="55">
        <f t="shared" si="38"/>
        <v>0</v>
      </c>
    </row>
    <row r="376" ht="13.5">
      <c r="A376" s="54"/>
      <c r="B376" s="5" t="s">
        <v>152</v>
      </c>
      <c r="C376" s="5" t="s">
        <v>141</v>
      </c>
      <c r="D376" s="55" t="str">
        <f>VLOOKUP($B376,Letters!$C$108:$D$131,2,FALSE) &amp; VLOOKUP($C376,Letters!$C$108:$D$131,2,FALSE)</f>
        <v>TI</v>
      </c>
      <c r="E376" s="61"/>
      <c r="F376" s="5"/>
      <c r="G376" s="55">
        <f t="shared" si="37"/>
        <v>0</v>
      </c>
      <c r="H376" s="55">
        <f t="shared" si="38"/>
        <v>0</v>
      </c>
    </row>
    <row r="377" ht="13.5">
      <c r="A377" s="54"/>
      <c r="B377" s="5" t="s">
        <v>152</v>
      </c>
      <c r="C377" s="5" t="s">
        <v>142</v>
      </c>
      <c r="D377" s="55" t="str">
        <f>VLOOKUP($B377,Letters!$C$108:$D$131,2,FALSE) &amp; VLOOKUP($C377,Letters!$C$108:$D$131,2,FALSE)</f>
        <v>TJ</v>
      </c>
      <c r="E377" s="61"/>
      <c r="F377" s="5"/>
      <c r="G377" s="55">
        <f t="shared" si="37"/>
        <v>0</v>
      </c>
      <c r="H377" s="55">
        <f t="shared" si="38"/>
        <v>0</v>
      </c>
    </row>
    <row r="378" ht="13.5">
      <c r="A378" s="60"/>
      <c r="B378" s="5" t="s">
        <v>152</v>
      </c>
      <c r="C378" s="5" t="s">
        <v>143</v>
      </c>
      <c r="D378" s="55" t="str">
        <f>VLOOKUP($B378,Letters!$C$108:$D$131,2,FALSE) &amp; VLOOKUP($C378,Letters!$C$108:$D$131,2,FALSE)</f>
        <v>TK</v>
      </c>
      <c r="E378" s="61"/>
      <c r="F378" s="5"/>
      <c r="G378" s="55">
        <f t="shared" si="37"/>
        <v>0</v>
      </c>
      <c r="H378" s="55">
        <f t="shared" si="38"/>
        <v>0</v>
      </c>
    </row>
    <row r="379" ht="13.5">
      <c r="A379" s="54"/>
      <c r="B379" s="5" t="s">
        <v>152</v>
      </c>
      <c r="C379" s="5" t="s">
        <v>144</v>
      </c>
      <c r="D379" s="55" t="str">
        <f>VLOOKUP($B379,Letters!$C$108:$D$131,2,FALSE) &amp; VLOOKUP($C379,Letters!$C$108:$D$131,2,FALSE)</f>
        <v>TL</v>
      </c>
      <c r="E379" s="61"/>
      <c r="F379" s="5"/>
      <c r="G379" s="55">
        <f t="shared" si="37"/>
        <v>0</v>
      </c>
      <c r="H379" s="55">
        <f t="shared" si="38"/>
        <v>0</v>
      </c>
    </row>
    <row r="380" ht="13.5">
      <c r="A380" s="54"/>
      <c r="B380" s="5" t="s">
        <v>152</v>
      </c>
      <c r="C380" s="5" t="s">
        <v>145</v>
      </c>
      <c r="D380" s="55" t="str">
        <f>VLOOKUP($B380,Letters!$C$108:$D$131,2,FALSE) &amp; VLOOKUP($C380,Letters!$C$108:$D$131,2,FALSE)</f>
        <v>TM</v>
      </c>
      <c r="E380" s="61"/>
      <c r="F380" s="5"/>
      <c r="G380" s="55">
        <f t="shared" si="37"/>
        <v>0</v>
      </c>
      <c r="H380" s="55">
        <f t="shared" si="38"/>
        <v>0</v>
      </c>
    </row>
    <row r="381" ht="13.5">
      <c r="A381" s="54"/>
      <c r="B381" s="5" t="s">
        <v>152</v>
      </c>
      <c r="C381" s="5" t="s">
        <v>146</v>
      </c>
      <c r="D381" s="55" t="str">
        <f>VLOOKUP($B381,Letters!$C$108:$D$131,2,FALSE) &amp; VLOOKUP($C381,Letters!$C$108:$D$131,2,FALSE)</f>
        <v>TN</v>
      </c>
      <c r="E381" s="61"/>
      <c r="F381" s="5"/>
      <c r="G381" s="55">
        <f t="shared" si="37"/>
        <v>0</v>
      </c>
      <c r="H381" s="55">
        <f t="shared" si="38"/>
        <v>0</v>
      </c>
    </row>
    <row r="382" ht="13.5">
      <c r="A382" s="54"/>
      <c r="B382" s="5" t="s">
        <v>152</v>
      </c>
      <c r="C382" s="5" t="s">
        <v>147</v>
      </c>
      <c r="D382" s="55" t="str">
        <f>VLOOKUP($B382,Letters!$C$108:$D$131,2,FALSE) &amp; VLOOKUP($C382,Letters!$C$108:$D$131,2,FALSE)</f>
        <v>TO</v>
      </c>
      <c r="E382" s="61"/>
      <c r="F382" s="5"/>
      <c r="G382" s="55">
        <f t="shared" si="37"/>
        <v>0</v>
      </c>
      <c r="H382" s="55">
        <f t="shared" si="38"/>
        <v>0</v>
      </c>
    </row>
    <row r="383" ht="13.5">
      <c r="A383" s="54"/>
      <c r="B383" s="5" t="s">
        <v>152</v>
      </c>
      <c r="C383" s="5" t="s">
        <v>148</v>
      </c>
      <c r="D383" s="55" t="str">
        <f>VLOOKUP($B383,Letters!$C$108:$D$131,2,FALSE) &amp; VLOOKUP($C383,Letters!$C$108:$D$131,2,FALSE)</f>
        <v>TP</v>
      </c>
      <c r="E383" s="61"/>
      <c r="F383" s="5"/>
      <c r="G383" s="55">
        <f t="shared" si="37"/>
        <v>0</v>
      </c>
      <c r="H383" s="55">
        <f t="shared" si="38"/>
        <v>0</v>
      </c>
    </row>
    <row r="384" ht="13.5">
      <c r="A384" s="54"/>
      <c r="B384" s="5" t="s">
        <v>152</v>
      </c>
      <c r="C384" s="5" t="s">
        <v>153</v>
      </c>
      <c r="D384" s="55" t="str">
        <f>VLOOKUP($B384,Letters!$C$108:$D$131,2,FALSE) &amp; VLOOKUP($C384,Letters!$C$108:$D$131,2,FALSE)</f>
        <v>TU</v>
      </c>
      <c r="E384" s="61" t="s">
        <v>3498</v>
      </c>
      <c r="F384" s="5"/>
      <c r="G384" s="55">
        <f t="shared" si="37"/>
        <v>0</v>
      </c>
      <c r="H384" s="55">
        <f t="shared" si="38"/>
        <v>0</v>
      </c>
    </row>
    <row r="385" ht="13.5">
      <c r="A385" s="54"/>
      <c r="B385" s="5" t="s">
        <v>152</v>
      </c>
      <c r="C385" s="5" t="s">
        <v>154</v>
      </c>
      <c r="D385" s="55" t="str">
        <f>VLOOKUP($B385,Letters!$C$108:$D$131,2,FALSE) &amp; VLOOKUP($C385,Letters!$C$108:$D$131,2,FALSE)</f>
        <v>TV</v>
      </c>
      <c r="E385" s="61" t="s">
        <v>3502</v>
      </c>
      <c r="F385" s="5"/>
      <c r="G385" s="55">
        <f t="shared" si="37"/>
        <v>0</v>
      </c>
      <c r="H385" s="55">
        <f t="shared" si="38"/>
        <v>0</v>
      </c>
    </row>
    <row r="386" ht="13.5">
      <c r="A386" s="60"/>
      <c r="B386" s="5" t="s">
        <v>152</v>
      </c>
      <c r="C386" s="5" t="s">
        <v>155</v>
      </c>
      <c r="D386" s="55" t="str">
        <f>VLOOKUP($B386,Letters!$C$108:$D$131,2,FALSE) &amp; VLOOKUP($C386,Letters!$C$108:$D$131,2,FALSE)</f>
        <v>TW</v>
      </c>
      <c r="E386" s="61" t="s">
        <v>3505</v>
      </c>
      <c r="F386" s="5"/>
      <c r="G386" s="55">
        <f t="shared" si="37"/>
        <v>0</v>
      </c>
      <c r="H386" s="55">
        <f t="shared" si="38"/>
        <v>0</v>
      </c>
    </row>
    <row r="387" ht="13.5">
      <c r="A387" s="54"/>
      <c r="B387" s="5" t="s">
        <v>152</v>
      </c>
      <c r="C387" s="5" t="s">
        <v>156</v>
      </c>
      <c r="D387" s="55" t="str">
        <f>VLOOKUP($B387,Letters!$C$108:$D$131,2,FALSE) &amp; VLOOKUP($C387,Letters!$C$108:$D$131,2,FALSE)</f>
        <v>TX</v>
      </c>
      <c r="E387" s="61" t="s">
        <v>3506</v>
      </c>
      <c r="F387" s="5"/>
      <c r="G387" s="55">
        <f t="shared" si="37"/>
        <v>0</v>
      </c>
      <c r="H387" s="55">
        <f t="shared" si="38"/>
        <v>0</v>
      </c>
    </row>
    <row r="388">
      <c r="A388" s="54"/>
      <c r="B388" s="5"/>
      <c r="C388" s="5"/>
      <c r="D388" s="55"/>
      <c r="E388" s="5"/>
      <c r="F388" s="5"/>
      <c r="G388" s="55"/>
      <c r="H388" s="55"/>
    </row>
    <row r="389" ht="13.5">
      <c r="A389" s="54"/>
      <c r="B389" s="5" t="s">
        <v>153</v>
      </c>
      <c r="C389" s="5" t="s">
        <v>134</v>
      </c>
      <c r="D389" s="55" t="str">
        <f>VLOOKUP($B389,Letters!$C$108:$D$131,2,FALSE) &amp; VLOOKUP($C389,Letters!$C$108:$D$131,2,FALSE)</f>
        <v>UB</v>
      </c>
      <c r="E389" s="61" t="s">
        <v>3509</v>
      </c>
      <c r="F389" s="5" t="s">
        <v>3510</v>
      </c>
      <c r="G389" s="55">
        <f t="shared" ref="G389:G407" si="39">(len($F389)-len(SUBSTITUTE($F389,"R","")))+(len($F389)-len(SUBSTITUTE($F389,"L","")))+(len($F389)-len(SUBSTITUTE($F389,"U","")))+(len($F389)-len(SUBSTITUTE($F389,"D","")))+(len($F389)-len(SUBSTITUTE($F389,"F","")))+(len($F389)-len(SUBSTITUTE($F389,"B","")))+(len($F389)-len(SUBSTITUTE($F389,"r","")))+(len($F389)-len(SUBSTITUTE($F389,"l","")))+(len($F389)-len(SUBSTITUTE($F389,"u","")))+(len($F389)-len(SUBSTITUTE($F389,"d","")))+(len($F389)-len(SUBSTITUTE($F389,"M","")))+(len($F389)-len(SUBSTITUTE($F389,"E","")))</f>
        <v>10</v>
      </c>
      <c r="H389" s="55">
        <f t="shared" ref="H389:H407" si="40">(len($F389)-len(SUBSTITUTE($F389,"R","")))+(len($F389)-len(SUBSTITUTE($F389,"L","")))+(len($F389)-len(SUBSTITUTE($F389,"U","")))+(len($F389)-len(SUBSTITUTE($F389,"D","")))+(len($F389)-len(SUBSTITUTE($F389,"F","")))+(len($F389)-len(SUBSTITUTE($F389,"B","")))+(len($F389)-len(SUBSTITUTE($F389,"r","")))+(len($F389)-len(SUBSTITUTE($F389,"l","")))+(len($F389)-len(SUBSTITUTE($F389,"u","")))+(len($F389)-len(SUBSTITUTE($F389,"d","")))+(len($F389)-len(SUBSTITUTE($F389,"M","")))+(len($F389)-len(SUBSTITUTE($F389,"E","")))+(len($F389)-len(SUBSTITUTE($F389,"2","")))</f>
        <v>12</v>
      </c>
    </row>
    <row r="390" ht="13.5">
      <c r="A390" s="54"/>
      <c r="B390" s="5" t="s">
        <v>153</v>
      </c>
      <c r="C390" s="5" t="s">
        <v>135</v>
      </c>
      <c r="D390" s="55" t="str">
        <f>VLOOKUP($B390,Letters!$C$108:$D$131,2,FALSE) &amp; VLOOKUP($C390,Letters!$C$108:$D$131,2,FALSE)</f>
        <v>UC</v>
      </c>
      <c r="E390" s="61" t="s">
        <v>3511</v>
      </c>
      <c r="F390" s="5" t="s">
        <v>3512</v>
      </c>
      <c r="G390" s="55">
        <f t="shared" si="39"/>
        <v>8</v>
      </c>
      <c r="H390" s="55">
        <f t="shared" si="40"/>
        <v>12</v>
      </c>
    </row>
    <row r="391" ht="13.5">
      <c r="A391" s="54"/>
      <c r="B391" s="5" t="s">
        <v>153</v>
      </c>
      <c r="C391" s="5" t="s">
        <v>136</v>
      </c>
      <c r="D391" s="55" t="str">
        <f>VLOOKUP($B391,Letters!$C$108:$D$131,2,FALSE) &amp; VLOOKUP($C391,Letters!$C$108:$D$131,2,FALSE)</f>
        <v>UD</v>
      </c>
      <c r="E391" s="61" t="s">
        <v>3515</v>
      </c>
      <c r="F391" s="5" t="s">
        <v>3516</v>
      </c>
      <c r="G391" s="55">
        <f t="shared" si="39"/>
        <v>10</v>
      </c>
      <c r="H391" s="55">
        <f t="shared" si="40"/>
        <v>12</v>
      </c>
    </row>
    <row r="392" ht="13.5">
      <c r="A392" s="54"/>
      <c r="B392" s="5" t="s">
        <v>153</v>
      </c>
      <c r="C392" s="5" t="s">
        <v>137</v>
      </c>
      <c r="D392" s="55" t="str">
        <f>VLOOKUP($B392,Letters!$C$108:$D$131,2,FALSE) &amp; VLOOKUP($C392,Letters!$C$108:$D$131,2,FALSE)</f>
        <v>UE</v>
      </c>
      <c r="E392" s="61" t="s">
        <v>3517</v>
      </c>
      <c r="F392" s="5" t="s">
        <v>3518</v>
      </c>
      <c r="G392" s="55">
        <f t="shared" si="39"/>
        <v>11</v>
      </c>
      <c r="H392" s="55">
        <f t="shared" si="40"/>
        <v>12</v>
      </c>
    </row>
    <row r="393" ht="13.5">
      <c r="A393" s="54"/>
      <c r="B393" s="5" t="s">
        <v>153</v>
      </c>
      <c r="C393" s="5" t="s">
        <v>138</v>
      </c>
      <c r="D393" s="55" t="str">
        <f>VLOOKUP($B393,Letters!$C$108:$D$131,2,FALSE) &amp; VLOOKUP($C393,Letters!$C$108:$D$131,2,FALSE)</f>
        <v>UF</v>
      </c>
      <c r="E393" s="61"/>
      <c r="F393" s="5"/>
      <c r="G393" s="55">
        <f t="shared" si="39"/>
        <v>0</v>
      </c>
      <c r="H393" s="55">
        <f t="shared" si="40"/>
        <v>0</v>
      </c>
    </row>
    <row r="394" ht="13.5">
      <c r="A394" s="54"/>
      <c r="B394" s="5" t="s">
        <v>153</v>
      </c>
      <c r="C394" s="5" t="s">
        <v>139</v>
      </c>
      <c r="D394" s="55" t="str">
        <f>VLOOKUP($B394,Letters!$C$108:$D$131,2,FALSE) &amp; VLOOKUP($C394,Letters!$C$108:$D$131,2,FALSE)</f>
        <v>UG</v>
      </c>
      <c r="E394" s="61"/>
      <c r="F394" s="5"/>
      <c r="G394" s="55">
        <f t="shared" si="39"/>
        <v>0</v>
      </c>
      <c r="H394" s="55">
        <f t="shared" si="40"/>
        <v>0</v>
      </c>
    </row>
    <row r="395" ht="13.5">
      <c r="A395" s="54"/>
      <c r="B395" s="5" t="s">
        <v>153</v>
      </c>
      <c r="C395" s="5" t="s">
        <v>140</v>
      </c>
      <c r="D395" s="55" t="str">
        <f>VLOOKUP($B395,Letters!$C$108:$D$131,2,FALSE) &amp; VLOOKUP($C395,Letters!$C$108:$D$131,2,FALSE)</f>
        <v>UH</v>
      </c>
      <c r="E395" s="61"/>
      <c r="F395" s="5"/>
      <c r="G395" s="55">
        <f t="shared" si="39"/>
        <v>0</v>
      </c>
      <c r="H395" s="55">
        <f t="shared" si="40"/>
        <v>0</v>
      </c>
    </row>
    <row r="396" ht="13.5">
      <c r="A396" s="60"/>
      <c r="B396" s="5" t="s">
        <v>153</v>
      </c>
      <c r="C396" s="5" t="s">
        <v>141</v>
      </c>
      <c r="D396" s="55" t="str">
        <f>VLOOKUP($B396,Letters!$C$108:$D$131,2,FALSE) &amp; VLOOKUP($C396,Letters!$C$108:$D$131,2,FALSE)</f>
        <v>UI</v>
      </c>
      <c r="E396" s="61"/>
      <c r="F396" s="5"/>
      <c r="G396" s="55">
        <f t="shared" si="39"/>
        <v>0</v>
      </c>
      <c r="H396" s="55">
        <f t="shared" si="40"/>
        <v>0</v>
      </c>
    </row>
    <row r="397" ht="13.5">
      <c r="A397" s="54"/>
      <c r="B397" s="5" t="s">
        <v>153</v>
      </c>
      <c r="C397" s="5" t="s">
        <v>142</v>
      </c>
      <c r="D397" s="55" t="str">
        <f>VLOOKUP($B397,Letters!$C$108:$D$131,2,FALSE) &amp; VLOOKUP($C397,Letters!$C$108:$D$131,2,FALSE)</f>
        <v>UJ</v>
      </c>
      <c r="E397" s="61"/>
      <c r="F397" s="5"/>
      <c r="G397" s="55">
        <f t="shared" si="39"/>
        <v>0</v>
      </c>
      <c r="H397" s="55">
        <f t="shared" si="40"/>
        <v>0</v>
      </c>
    </row>
    <row r="398" ht="13.5">
      <c r="A398" s="54"/>
      <c r="B398" s="5" t="s">
        <v>153</v>
      </c>
      <c r="C398" s="5" t="s">
        <v>143</v>
      </c>
      <c r="D398" s="55" t="str">
        <f>VLOOKUP($B398,Letters!$C$108:$D$131,2,FALSE) &amp; VLOOKUP($C398,Letters!$C$108:$D$131,2,FALSE)</f>
        <v>UK</v>
      </c>
      <c r="E398" s="61"/>
      <c r="F398" s="5"/>
      <c r="G398" s="55">
        <f t="shared" si="39"/>
        <v>0</v>
      </c>
      <c r="H398" s="55">
        <f t="shared" si="40"/>
        <v>0</v>
      </c>
    </row>
    <row r="399" ht="13.5">
      <c r="A399" s="54"/>
      <c r="B399" s="5" t="s">
        <v>153</v>
      </c>
      <c r="C399" s="5" t="s">
        <v>144</v>
      </c>
      <c r="D399" s="55" t="str">
        <f>VLOOKUP($B399,Letters!$C$108:$D$131,2,FALSE) &amp; VLOOKUP($C399,Letters!$C$108:$D$131,2,FALSE)</f>
        <v>UL</v>
      </c>
      <c r="E399" s="61"/>
      <c r="F399" s="5"/>
      <c r="G399" s="55">
        <f t="shared" si="39"/>
        <v>0</v>
      </c>
      <c r="H399" s="55">
        <f t="shared" si="40"/>
        <v>0</v>
      </c>
    </row>
    <row r="400" ht="13.5">
      <c r="A400" s="54"/>
      <c r="B400" s="5" t="s">
        <v>153</v>
      </c>
      <c r="C400" s="5" t="s">
        <v>145</v>
      </c>
      <c r="D400" s="55" t="str">
        <f>VLOOKUP($B400,Letters!$C$108:$D$131,2,FALSE) &amp; VLOOKUP($C400,Letters!$C$108:$D$131,2,FALSE)</f>
        <v>UM</v>
      </c>
      <c r="E400" s="61"/>
      <c r="F400" s="5"/>
      <c r="G400" s="55">
        <f t="shared" si="39"/>
        <v>0</v>
      </c>
      <c r="H400" s="55">
        <f t="shared" si="40"/>
        <v>0</v>
      </c>
    </row>
    <row r="401" ht="13.5">
      <c r="A401" s="54"/>
      <c r="B401" s="5" t="s">
        <v>153</v>
      </c>
      <c r="C401" s="5" t="s">
        <v>146</v>
      </c>
      <c r="D401" s="55" t="str">
        <f>VLOOKUP($B401,Letters!$C$108:$D$131,2,FALSE) &amp; VLOOKUP($C401,Letters!$C$108:$D$131,2,FALSE)</f>
        <v>UN</v>
      </c>
      <c r="E401" s="61"/>
      <c r="F401" s="5"/>
      <c r="G401" s="55">
        <f t="shared" si="39"/>
        <v>0</v>
      </c>
      <c r="H401" s="55">
        <f t="shared" si="40"/>
        <v>0</v>
      </c>
    </row>
    <row r="402" ht="13.5">
      <c r="A402" s="54"/>
      <c r="B402" s="5" t="s">
        <v>153</v>
      </c>
      <c r="C402" s="5" t="s">
        <v>147</v>
      </c>
      <c r="D402" s="55" t="str">
        <f>VLOOKUP($B402,Letters!$C$108:$D$131,2,FALSE) &amp; VLOOKUP($C402,Letters!$C$108:$D$131,2,FALSE)</f>
        <v>UO</v>
      </c>
      <c r="E402" s="61"/>
      <c r="F402" s="5"/>
      <c r="G402" s="55">
        <f t="shared" si="39"/>
        <v>0</v>
      </c>
      <c r="H402" s="55">
        <f t="shared" si="40"/>
        <v>0</v>
      </c>
    </row>
    <row r="403" ht="13.5">
      <c r="A403" s="54"/>
      <c r="B403" s="5" t="s">
        <v>153</v>
      </c>
      <c r="C403" s="5" t="s">
        <v>148</v>
      </c>
      <c r="D403" s="55" t="str">
        <f>VLOOKUP($B403,Letters!$C$108:$D$131,2,FALSE) &amp; VLOOKUP($C403,Letters!$C$108:$D$131,2,FALSE)</f>
        <v>UP</v>
      </c>
      <c r="E403" s="61"/>
      <c r="F403" s="5"/>
      <c r="G403" s="55">
        <f t="shared" si="39"/>
        <v>0</v>
      </c>
      <c r="H403" s="55">
        <f t="shared" si="40"/>
        <v>0</v>
      </c>
    </row>
    <row r="404" ht="13.5">
      <c r="A404" s="54"/>
      <c r="B404" s="5" t="s">
        <v>153</v>
      </c>
      <c r="C404" s="5" t="s">
        <v>149</v>
      </c>
      <c r="D404" s="55" t="str">
        <f>VLOOKUP($B404,Letters!$C$108:$D$131,2,FALSE) &amp; VLOOKUP($C404,Letters!$C$108:$D$131,2,FALSE)</f>
        <v>UA</v>
      </c>
      <c r="E404" s="61"/>
      <c r="F404" s="5"/>
      <c r="G404" s="55">
        <f t="shared" si="39"/>
        <v>0</v>
      </c>
      <c r="H404" s="55">
        <f t="shared" si="40"/>
        <v>0</v>
      </c>
    </row>
    <row r="405" ht="13.5">
      <c r="A405" s="54"/>
      <c r="B405" s="5" t="s">
        <v>153</v>
      </c>
      <c r="C405" s="5" t="s">
        <v>150</v>
      </c>
      <c r="D405" s="55" t="str">
        <f>VLOOKUP($B405,Letters!$C$108:$D$131,2,FALSE) &amp; VLOOKUP($C405,Letters!$C$108:$D$131,2,FALSE)</f>
        <v>UR</v>
      </c>
      <c r="E405" s="61"/>
      <c r="F405" s="5"/>
      <c r="G405" s="55">
        <f t="shared" si="39"/>
        <v>0</v>
      </c>
      <c r="H405" s="55">
        <f t="shared" si="40"/>
        <v>0</v>
      </c>
    </row>
    <row r="406" ht="13.5">
      <c r="A406" s="54"/>
      <c r="B406" s="5" t="s">
        <v>153</v>
      </c>
      <c r="C406" s="5" t="s">
        <v>151</v>
      </c>
      <c r="D406" s="55" t="str">
        <f>VLOOKUP($B406,Letters!$C$108:$D$131,2,FALSE) &amp; VLOOKUP($C406,Letters!$C$108:$D$131,2,FALSE)</f>
        <v>US</v>
      </c>
      <c r="E406" s="61"/>
      <c r="F406" s="5"/>
      <c r="G406" s="55">
        <f t="shared" si="39"/>
        <v>0</v>
      </c>
      <c r="H406" s="55">
        <f t="shared" si="40"/>
        <v>0</v>
      </c>
    </row>
    <row r="407" ht="13.5">
      <c r="A407" s="54"/>
      <c r="B407" s="5" t="s">
        <v>153</v>
      </c>
      <c r="C407" s="5" t="s">
        <v>152</v>
      </c>
      <c r="D407" s="55" t="str">
        <f>VLOOKUP($B407,Letters!$C$108:$D$131,2,FALSE) &amp; VLOOKUP($C407,Letters!$C$108:$D$131,2,FALSE)</f>
        <v>UT</v>
      </c>
      <c r="E407" s="61"/>
      <c r="F407" s="5"/>
      <c r="G407" s="55">
        <f t="shared" si="39"/>
        <v>0</v>
      </c>
      <c r="H407" s="55">
        <f t="shared" si="40"/>
        <v>0</v>
      </c>
    </row>
    <row r="408">
      <c r="A408" s="54"/>
      <c r="B408" s="5"/>
      <c r="C408" s="5"/>
      <c r="D408" s="55"/>
      <c r="E408" s="5"/>
      <c r="F408" s="5"/>
      <c r="G408" s="55"/>
      <c r="H408" s="55"/>
    </row>
    <row r="409" ht="13.5">
      <c r="A409" s="54"/>
      <c r="B409" s="5" t="s">
        <v>154</v>
      </c>
      <c r="C409" s="5" t="s">
        <v>134</v>
      </c>
      <c r="D409" s="55" t="str">
        <f>VLOOKUP($B409,Letters!$C$108:$D$131,2,FALSE) &amp; VLOOKUP($C409,Letters!$C$108:$D$131,2,FALSE)</f>
        <v>VB</v>
      </c>
      <c r="E409" s="61" t="s">
        <v>3550</v>
      </c>
      <c r="F409" s="5" t="s">
        <v>3551</v>
      </c>
      <c r="G409" s="55">
        <f t="shared" ref="G409:G427" si="41">(len($F409)-len(SUBSTITUTE($F409,"R","")))+(len($F409)-len(SUBSTITUTE($F409,"L","")))+(len($F409)-len(SUBSTITUTE($F409,"U","")))+(len($F409)-len(SUBSTITUTE($F409,"D","")))+(len($F409)-len(SUBSTITUTE($F409,"F","")))+(len($F409)-len(SUBSTITUTE($F409,"B","")))+(len($F409)-len(SUBSTITUTE($F409,"r","")))+(len($F409)-len(SUBSTITUTE($F409,"l","")))+(len($F409)-len(SUBSTITUTE($F409,"u","")))+(len($F409)-len(SUBSTITUTE($F409,"d","")))+(len($F409)-len(SUBSTITUTE($F409,"M","")))+(len($F409)-len(SUBSTITUTE($F409,"E","")))</f>
        <v>10</v>
      </c>
      <c r="H409" s="55">
        <f t="shared" ref="H409:H427" si="42">(len($F409)-len(SUBSTITUTE($F409,"R","")))+(len($F409)-len(SUBSTITUTE($F409,"L","")))+(len($F409)-len(SUBSTITUTE($F409,"U","")))+(len($F409)-len(SUBSTITUTE($F409,"D","")))+(len($F409)-len(SUBSTITUTE($F409,"F","")))+(len($F409)-len(SUBSTITUTE($F409,"B","")))+(len($F409)-len(SUBSTITUTE($F409,"r","")))+(len($F409)-len(SUBSTITUTE($F409,"l","")))+(len($F409)-len(SUBSTITUTE($F409,"u","")))+(len($F409)-len(SUBSTITUTE($F409,"d","")))+(len($F409)-len(SUBSTITUTE($F409,"M","")))+(len($F409)-len(SUBSTITUTE($F409,"E","")))+(len($F409)-len(SUBSTITUTE($F409,"2","")))</f>
        <v>12</v>
      </c>
    </row>
    <row r="410" ht="13.5">
      <c r="A410" s="54"/>
      <c r="B410" s="5" t="s">
        <v>154</v>
      </c>
      <c r="C410" s="5" t="s">
        <v>135</v>
      </c>
      <c r="D410" s="55" t="str">
        <f>VLOOKUP($B410,Letters!$C$108:$D$131,2,FALSE) &amp; VLOOKUP($C410,Letters!$C$108:$D$131,2,FALSE)</f>
        <v>VC</v>
      </c>
      <c r="E410" s="61" t="s">
        <v>3558</v>
      </c>
      <c r="F410" s="5" t="s">
        <v>3559</v>
      </c>
      <c r="G410" s="55">
        <f t="shared" si="41"/>
        <v>10</v>
      </c>
      <c r="H410" s="55">
        <f t="shared" si="42"/>
        <v>14</v>
      </c>
    </row>
    <row r="411" ht="13.5">
      <c r="A411" s="54"/>
      <c r="B411" s="5" t="s">
        <v>154</v>
      </c>
      <c r="C411" s="5" t="s">
        <v>136</v>
      </c>
      <c r="D411" s="55" t="str">
        <f>VLOOKUP($B411,Letters!$C$108:$D$131,2,FALSE) &amp; VLOOKUP($C411,Letters!$C$108:$D$131,2,FALSE)</f>
        <v>VD</v>
      </c>
      <c r="E411" s="61" t="s">
        <v>3562</v>
      </c>
      <c r="F411" s="5" t="s">
        <v>3563</v>
      </c>
      <c r="G411" s="55">
        <f t="shared" si="41"/>
        <v>12</v>
      </c>
      <c r="H411" s="55">
        <f t="shared" si="42"/>
        <v>14</v>
      </c>
    </row>
    <row r="412" ht="13.5">
      <c r="A412" s="54"/>
      <c r="B412" s="5" t="s">
        <v>154</v>
      </c>
      <c r="C412" s="5" t="s">
        <v>137</v>
      </c>
      <c r="D412" s="55" t="str">
        <f>VLOOKUP($B412,Letters!$C$108:$D$131,2,FALSE) &amp; VLOOKUP($C412,Letters!$C$108:$D$131,2,FALSE)</f>
        <v>VE</v>
      </c>
      <c r="E412" s="61" t="s">
        <v>3566</v>
      </c>
      <c r="F412" s="5" t="s">
        <v>3567</v>
      </c>
      <c r="G412" s="55">
        <f t="shared" si="41"/>
        <v>10</v>
      </c>
      <c r="H412" s="55">
        <f t="shared" si="42"/>
        <v>12</v>
      </c>
    </row>
    <row r="413" ht="13.5">
      <c r="A413" s="54"/>
      <c r="B413" s="5" t="s">
        <v>154</v>
      </c>
      <c r="C413" s="5" t="s">
        <v>138</v>
      </c>
      <c r="D413" s="55" t="str">
        <f>VLOOKUP($B413,Letters!$C$108:$D$131,2,FALSE) &amp; VLOOKUP($C413,Letters!$C$108:$D$131,2,FALSE)</f>
        <v>VF</v>
      </c>
      <c r="E413" s="61"/>
      <c r="F413" s="5"/>
      <c r="G413" s="55">
        <f t="shared" si="41"/>
        <v>0</v>
      </c>
      <c r="H413" s="55">
        <f t="shared" si="42"/>
        <v>0</v>
      </c>
    </row>
    <row r="414" ht="13.5">
      <c r="A414" s="54"/>
      <c r="B414" s="5" t="s">
        <v>154</v>
      </c>
      <c r="C414" s="5" t="s">
        <v>139</v>
      </c>
      <c r="D414" s="55" t="str">
        <f>VLOOKUP($B414,Letters!$C$108:$D$131,2,FALSE) &amp; VLOOKUP($C414,Letters!$C$108:$D$131,2,FALSE)</f>
        <v>VG</v>
      </c>
      <c r="E414" s="61"/>
      <c r="F414" s="5"/>
      <c r="G414" s="55">
        <f t="shared" si="41"/>
        <v>0</v>
      </c>
      <c r="H414" s="55">
        <f t="shared" si="42"/>
        <v>0</v>
      </c>
    </row>
    <row r="415" ht="13.5">
      <c r="A415" s="54"/>
      <c r="B415" s="5" t="s">
        <v>154</v>
      </c>
      <c r="C415" s="5" t="s">
        <v>140</v>
      </c>
      <c r="D415" s="55" t="str">
        <f>VLOOKUP($B415,Letters!$C$108:$D$131,2,FALSE) &amp; VLOOKUP($C415,Letters!$C$108:$D$131,2,FALSE)</f>
        <v>VH</v>
      </c>
      <c r="E415" s="61"/>
      <c r="F415" s="5"/>
      <c r="G415" s="55">
        <f t="shared" si="41"/>
        <v>0</v>
      </c>
      <c r="H415" s="55">
        <f t="shared" si="42"/>
        <v>0</v>
      </c>
    </row>
    <row r="416" ht="13.5">
      <c r="A416" s="54"/>
      <c r="B416" s="5" t="s">
        <v>154</v>
      </c>
      <c r="C416" s="5" t="s">
        <v>141</v>
      </c>
      <c r="D416" s="55" t="str">
        <f>VLOOKUP($B416,Letters!$C$108:$D$131,2,FALSE) &amp; VLOOKUP($C416,Letters!$C$108:$D$131,2,FALSE)</f>
        <v>VI</v>
      </c>
      <c r="E416" s="61"/>
      <c r="F416" s="5"/>
      <c r="G416" s="55">
        <f t="shared" si="41"/>
        <v>0</v>
      </c>
      <c r="H416" s="55">
        <f t="shared" si="42"/>
        <v>0</v>
      </c>
    </row>
    <row r="417" ht="13.5">
      <c r="A417" s="54"/>
      <c r="B417" s="5" t="s">
        <v>154</v>
      </c>
      <c r="C417" s="5" t="s">
        <v>142</v>
      </c>
      <c r="D417" s="55" t="str">
        <f>VLOOKUP($B417,Letters!$C$108:$D$131,2,FALSE) &amp; VLOOKUP($C417,Letters!$C$108:$D$131,2,FALSE)</f>
        <v>VJ</v>
      </c>
      <c r="E417" s="61"/>
      <c r="F417" s="5"/>
      <c r="G417" s="55">
        <f t="shared" si="41"/>
        <v>0</v>
      </c>
      <c r="H417" s="55">
        <f t="shared" si="42"/>
        <v>0</v>
      </c>
    </row>
    <row r="418" ht="13.5">
      <c r="A418" s="54"/>
      <c r="B418" s="5" t="s">
        <v>154</v>
      </c>
      <c r="C418" s="5" t="s">
        <v>143</v>
      </c>
      <c r="D418" s="55" t="str">
        <f>VLOOKUP($B418,Letters!$C$108:$D$131,2,FALSE) &amp; VLOOKUP($C418,Letters!$C$108:$D$131,2,FALSE)</f>
        <v>VK</v>
      </c>
      <c r="E418" s="61"/>
      <c r="F418" s="5"/>
      <c r="G418" s="55">
        <f t="shared" si="41"/>
        <v>0</v>
      </c>
      <c r="H418" s="55">
        <f t="shared" si="42"/>
        <v>0</v>
      </c>
    </row>
    <row r="419" ht="13.5">
      <c r="A419" s="54"/>
      <c r="B419" s="5" t="s">
        <v>154</v>
      </c>
      <c r="C419" s="5" t="s">
        <v>144</v>
      </c>
      <c r="D419" s="55" t="str">
        <f>VLOOKUP($B419,Letters!$C$108:$D$131,2,FALSE) &amp; VLOOKUP($C419,Letters!$C$108:$D$131,2,FALSE)</f>
        <v>VL</v>
      </c>
      <c r="E419" s="61"/>
      <c r="F419" s="5"/>
      <c r="G419" s="55">
        <f t="shared" si="41"/>
        <v>0</v>
      </c>
      <c r="H419" s="55">
        <f t="shared" si="42"/>
        <v>0</v>
      </c>
    </row>
    <row r="420" ht="13.5">
      <c r="A420" s="54"/>
      <c r="B420" s="5" t="s">
        <v>154</v>
      </c>
      <c r="C420" s="5" t="s">
        <v>145</v>
      </c>
      <c r="D420" s="55" t="str">
        <f>VLOOKUP($B420,Letters!$C$108:$D$131,2,FALSE) &amp; VLOOKUP($C420,Letters!$C$108:$D$131,2,FALSE)</f>
        <v>VM</v>
      </c>
      <c r="E420" s="61"/>
      <c r="F420" s="5"/>
      <c r="G420" s="55">
        <f t="shared" si="41"/>
        <v>0</v>
      </c>
      <c r="H420" s="55">
        <f t="shared" si="42"/>
        <v>0</v>
      </c>
    </row>
    <row r="421" ht="13.5">
      <c r="A421" s="54"/>
      <c r="B421" s="5" t="s">
        <v>154</v>
      </c>
      <c r="C421" s="5" t="s">
        <v>146</v>
      </c>
      <c r="D421" s="55" t="str">
        <f>VLOOKUP($B421,Letters!$C$108:$D$131,2,FALSE) &amp; VLOOKUP($C421,Letters!$C$108:$D$131,2,FALSE)</f>
        <v>VN</v>
      </c>
      <c r="E421" s="61"/>
      <c r="F421" s="5"/>
      <c r="G421" s="55">
        <f t="shared" si="41"/>
        <v>0</v>
      </c>
      <c r="H421" s="55">
        <f t="shared" si="42"/>
        <v>0</v>
      </c>
    </row>
    <row r="422" ht="13.5">
      <c r="A422" s="54"/>
      <c r="B422" s="5" t="s">
        <v>154</v>
      </c>
      <c r="C422" s="5" t="s">
        <v>147</v>
      </c>
      <c r="D422" s="55" t="str">
        <f>VLOOKUP($B422,Letters!$C$108:$D$131,2,FALSE) &amp; VLOOKUP($C422,Letters!$C$108:$D$131,2,FALSE)</f>
        <v>VO</v>
      </c>
      <c r="E422" s="61"/>
      <c r="F422" s="5"/>
      <c r="G422" s="55">
        <f t="shared" si="41"/>
        <v>0</v>
      </c>
      <c r="H422" s="55">
        <f t="shared" si="42"/>
        <v>0</v>
      </c>
    </row>
    <row r="423" ht="13.5">
      <c r="A423" s="54"/>
      <c r="B423" s="5" t="s">
        <v>154</v>
      </c>
      <c r="C423" s="5" t="s">
        <v>148</v>
      </c>
      <c r="D423" s="55" t="str">
        <f>VLOOKUP($B423,Letters!$C$108:$D$131,2,FALSE) &amp; VLOOKUP($C423,Letters!$C$108:$D$131,2,FALSE)</f>
        <v>VP</v>
      </c>
      <c r="E423" s="61"/>
      <c r="F423" s="5"/>
      <c r="G423" s="55">
        <f t="shared" si="41"/>
        <v>0</v>
      </c>
      <c r="H423" s="55">
        <f t="shared" si="42"/>
        <v>0</v>
      </c>
    </row>
    <row r="424" ht="13.5">
      <c r="A424" s="54"/>
      <c r="B424" s="5" t="s">
        <v>154</v>
      </c>
      <c r="C424" s="5" t="s">
        <v>149</v>
      </c>
      <c r="D424" s="55" t="str">
        <f>VLOOKUP($B424,Letters!$C$108:$D$131,2,FALSE) &amp; VLOOKUP($C424,Letters!$C$108:$D$131,2,FALSE)</f>
        <v>VA</v>
      </c>
      <c r="E424" s="61"/>
      <c r="F424" s="5"/>
      <c r="G424" s="55">
        <f t="shared" si="41"/>
        <v>0</v>
      </c>
      <c r="H424" s="55">
        <f t="shared" si="42"/>
        <v>0</v>
      </c>
    </row>
    <row r="425" ht="13.5">
      <c r="A425" s="54"/>
      <c r="B425" s="5" t="s">
        <v>154</v>
      </c>
      <c r="C425" s="5" t="s">
        <v>150</v>
      </c>
      <c r="D425" s="55" t="str">
        <f>VLOOKUP($B425,Letters!$C$108:$D$131,2,FALSE) &amp; VLOOKUP($C425,Letters!$C$108:$D$131,2,FALSE)</f>
        <v>VR</v>
      </c>
      <c r="E425" s="61"/>
      <c r="F425" s="5"/>
      <c r="G425" s="55">
        <f t="shared" si="41"/>
        <v>0</v>
      </c>
      <c r="H425" s="55">
        <f t="shared" si="42"/>
        <v>0</v>
      </c>
    </row>
    <row r="426" ht="13.5">
      <c r="A426" s="54"/>
      <c r="B426" s="5" t="s">
        <v>154</v>
      </c>
      <c r="C426" s="5" t="s">
        <v>151</v>
      </c>
      <c r="D426" s="55" t="str">
        <f>VLOOKUP($B426,Letters!$C$108:$D$131,2,FALSE) &amp; VLOOKUP($C426,Letters!$C$108:$D$131,2,FALSE)</f>
        <v>VS</v>
      </c>
      <c r="E426" s="61"/>
      <c r="F426" s="5"/>
      <c r="G426" s="55">
        <f t="shared" si="41"/>
        <v>0</v>
      </c>
      <c r="H426" s="55">
        <f t="shared" si="42"/>
        <v>0</v>
      </c>
    </row>
    <row r="427" ht="13.5">
      <c r="A427" s="54"/>
      <c r="B427" s="5" t="s">
        <v>154</v>
      </c>
      <c r="C427" s="5" t="s">
        <v>152</v>
      </c>
      <c r="D427" s="55" t="str">
        <f>VLOOKUP($B427,Letters!$C$108:$D$131,2,FALSE) &amp; VLOOKUP($C427,Letters!$C$108:$D$131,2,FALSE)</f>
        <v>VT</v>
      </c>
      <c r="E427" s="61"/>
      <c r="F427" s="5"/>
      <c r="G427" s="55">
        <f t="shared" si="41"/>
        <v>0</v>
      </c>
      <c r="H427" s="55">
        <f t="shared" si="42"/>
        <v>0</v>
      </c>
    </row>
    <row r="428">
      <c r="A428" s="54"/>
      <c r="B428" s="5"/>
      <c r="C428" s="5"/>
      <c r="D428" s="55"/>
      <c r="E428" s="5"/>
      <c r="F428" s="5"/>
      <c r="G428" s="55"/>
      <c r="H428" s="55"/>
    </row>
    <row r="429" ht="13.5">
      <c r="A429" s="54"/>
      <c r="B429" s="5" t="s">
        <v>155</v>
      </c>
      <c r="C429" s="5" t="s">
        <v>134</v>
      </c>
      <c r="D429" s="55" t="str">
        <f>VLOOKUP($B429,Letters!$C$108:$D$131,2,FALSE) &amp; VLOOKUP($C429,Letters!$C$108:$D$131,2,FALSE)</f>
        <v>WB</v>
      </c>
      <c r="E429" s="61" t="s">
        <v>3600</v>
      </c>
      <c r="F429" s="5" t="s">
        <v>3601</v>
      </c>
      <c r="G429" s="55">
        <f t="shared" ref="G429:G447" si="43">(len($F429)-len(SUBSTITUTE($F429,"R","")))+(len($F429)-len(SUBSTITUTE($F429,"L","")))+(len($F429)-len(SUBSTITUTE($F429,"U","")))+(len($F429)-len(SUBSTITUTE($F429,"D","")))+(len($F429)-len(SUBSTITUTE($F429,"F","")))+(len($F429)-len(SUBSTITUTE($F429,"B","")))+(len($F429)-len(SUBSTITUTE($F429,"r","")))+(len($F429)-len(SUBSTITUTE($F429,"l","")))+(len($F429)-len(SUBSTITUTE($F429,"u","")))+(len($F429)-len(SUBSTITUTE($F429,"d","")))+(len($F429)-len(SUBSTITUTE($F429,"M","")))+(len($F429)-len(SUBSTITUTE($F429,"E","")))</f>
        <v>8</v>
      </c>
      <c r="H429" s="55">
        <f t="shared" ref="H429:H447" si="44">(len($F429)-len(SUBSTITUTE($F429,"R","")))+(len($F429)-len(SUBSTITUTE($F429,"L","")))+(len($F429)-len(SUBSTITUTE($F429,"U","")))+(len($F429)-len(SUBSTITUTE($F429,"D","")))+(len($F429)-len(SUBSTITUTE($F429,"F","")))+(len($F429)-len(SUBSTITUTE($F429,"B","")))+(len($F429)-len(SUBSTITUTE($F429,"r","")))+(len($F429)-len(SUBSTITUTE($F429,"l","")))+(len($F429)-len(SUBSTITUTE($F429,"u","")))+(len($F429)-len(SUBSTITUTE($F429,"d","")))+(len($F429)-len(SUBSTITUTE($F429,"M","")))+(len($F429)-len(SUBSTITUTE($F429,"E","")))+(len($F429)-len(SUBSTITUTE($F429,"2","")))</f>
        <v>10</v>
      </c>
    </row>
    <row r="430" ht="13.5">
      <c r="A430" s="54"/>
      <c r="B430" s="5" t="s">
        <v>155</v>
      </c>
      <c r="C430" s="5" t="s">
        <v>135</v>
      </c>
      <c r="D430" s="55" t="str">
        <f>VLOOKUP($B430,Letters!$C$108:$D$131,2,FALSE) &amp; VLOOKUP($C430,Letters!$C$108:$D$131,2,FALSE)</f>
        <v>WC</v>
      </c>
      <c r="E430" s="61" t="s">
        <v>3604</v>
      </c>
      <c r="F430" s="5" t="s">
        <v>3605</v>
      </c>
      <c r="G430" s="55">
        <f t="shared" si="43"/>
        <v>8</v>
      </c>
      <c r="H430" s="55">
        <f t="shared" si="44"/>
        <v>12</v>
      </c>
    </row>
    <row r="431" ht="13.5">
      <c r="A431" s="54"/>
      <c r="B431" s="5" t="s">
        <v>155</v>
      </c>
      <c r="C431" s="5" t="s">
        <v>136</v>
      </c>
      <c r="D431" s="55" t="str">
        <f>VLOOKUP($B431,Letters!$C$108:$D$131,2,FALSE) &amp; VLOOKUP($C431,Letters!$C$108:$D$131,2,FALSE)</f>
        <v>WD</v>
      </c>
      <c r="E431" s="61" t="s">
        <v>3608</v>
      </c>
      <c r="F431" s="5" t="s">
        <v>3609</v>
      </c>
      <c r="G431" s="55">
        <f t="shared" si="43"/>
        <v>8</v>
      </c>
      <c r="H431" s="55">
        <f t="shared" si="44"/>
        <v>10</v>
      </c>
    </row>
    <row r="432" ht="13.5">
      <c r="A432" s="54"/>
      <c r="B432" s="5" t="s">
        <v>155</v>
      </c>
      <c r="C432" s="5" t="s">
        <v>137</v>
      </c>
      <c r="D432" s="55" t="str">
        <f>VLOOKUP($B432,Letters!$C$108:$D$131,2,FALSE) &amp; VLOOKUP($C432,Letters!$C$108:$D$131,2,FALSE)</f>
        <v>WE</v>
      </c>
      <c r="E432" s="61" t="s">
        <v>3610</v>
      </c>
      <c r="F432" s="5" t="s">
        <v>3612</v>
      </c>
      <c r="G432" s="55">
        <f t="shared" si="43"/>
        <v>12</v>
      </c>
      <c r="H432" s="55">
        <f t="shared" si="44"/>
        <v>14</v>
      </c>
    </row>
    <row r="433" ht="13.5">
      <c r="A433" s="54"/>
      <c r="B433" s="5" t="s">
        <v>155</v>
      </c>
      <c r="C433" s="5" t="s">
        <v>138</v>
      </c>
      <c r="D433" s="55" t="str">
        <f>VLOOKUP($B433,Letters!$C$108:$D$131,2,FALSE) &amp; VLOOKUP($C433,Letters!$C$108:$D$131,2,FALSE)</f>
        <v>WF</v>
      </c>
      <c r="E433" s="61"/>
      <c r="F433" s="5"/>
      <c r="G433" s="55">
        <f t="shared" si="43"/>
        <v>0</v>
      </c>
      <c r="H433" s="55">
        <f t="shared" si="44"/>
        <v>0</v>
      </c>
    </row>
    <row r="434" ht="13.5">
      <c r="A434" s="54"/>
      <c r="B434" s="5" t="s">
        <v>155</v>
      </c>
      <c r="C434" s="5" t="s">
        <v>139</v>
      </c>
      <c r="D434" s="55" t="str">
        <f>VLOOKUP($B434,Letters!$C$108:$D$131,2,FALSE) &amp; VLOOKUP($C434,Letters!$C$108:$D$131,2,FALSE)</f>
        <v>WG</v>
      </c>
      <c r="E434" s="61"/>
      <c r="F434" s="5"/>
      <c r="G434" s="55">
        <f t="shared" si="43"/>
        <v>0</v>
      </c>
      <c r="H434" s="55">
        <f t="shared" si="44"/>
        <v>0</v>
      </c>
    </row>
    <row r="435" ht="13.5">
      <c r="A435" s="54"/>
      <c r="B435" s="5" t="s">
        <v>155</v>
      </c>
      <c r="C435" s="5" t="s">
        <v>140</v>
      </c>
      <c r="D435" s="55" t="str">
        <f>VLOOKUP($B435,Letters!$C$108:$D$131,2,FALSE) &amp; VLOOKUP($C435,Letters!$C$108:$D$131,2,FALSE)</f>
        <v>WH</v>
      </c>
      <c r="E435" s="61"/>
      <c r="F435" s="5"/>
      <c r="G435" s="55">
        <f t="shared" si="43"/>
        <v>0</v>
      </c>
      <c r="H435" s="55">
        <f t="shared" si="44"/>
        <v>0</v>
      </c>
    </row>
    <row r="436" ht="13.5">
      <c r="A436" s="54"/>
      <c r="B436" s="5" t="s">
        <v>155</v>
      </c>
      <c r="C436" s="5" t="s">
        <v>141</v>
      </c>
      <c r="D436" s="55" t="str">
        <f>VLOOKUP($B436,Letters!$C$108:$D$131,2,FALSE) &amp; VLOOKUP($C436,Letters!$C$108:$D$131,2,FALSE)</f>
        <v>WI</v>
      </c>
      <c r="E436" s="61"/>
      <c r="F436" s="5"/>
      <c r="G436" s="55">
        <f t="shared" si="43"/>
        <v>0</v>
      </c>
      <c r="H436" s="55">
        <f t="shared" si="44"/>
        <v>0</v>
      </c>
    </row>
    <row r="437" ht="13.5">
      <c r="A437" s="54"/>
      <c r="B437" s="5" t="s">
        <v>155</v>
      </c>
      <c r="C437" s="5" t="s">
        <v>142</v>
      </c>
      <c r="D437" s="55" t="str">
        <f>VLOOKUP($B437,Letters!$C$108:$D$131,2,FALSE) &amp; VLOOKUP($C437,Letters!$C$108:$D$131,2,FALSE)</f>
        <v>WJ</v>
      </c>
      <c r="E437" s="61"/>
      <c r="F437" s="5"/>
      <c r="G437" s="55">
        <f t="shared" si="43"/>
        <v>0</v>
      </c>
      <c r="H437" s="55">
        <f t="shared" si="44"/>
        <v>0</v>
      </c>
    </row>
    <row r="438" ht="13.5">
      <c r="A438" s="54"/>
      <c r="B438" s="5" t="s">
        <v>155</v>
      </c>
      <c r="C438" s="5" t="s">
        <v>143</v>
      </c>
      <c r="D438" s="55" t="str">
        <f>VLOOKUP($B438,Letters!$C$108:$D$131,2,FALSE) &amp; VLOOKUP($C438,Letters!$C$108:$D$131,2,FALSE)</f>
        <v>WK</v>
      </c>
      <c r="E438" s="61"/>
      <c r="F438" s="5"/>
      <c r="G438" s="55">
        <f t="shared" si="43"/>
        <v>0</v>
      </c>
      <c r="H438" s="55">
        <f t="shared" si="44"/>
        <v>0</v>
      </c>
    </row>
    <row r="439" ht="13.5">
      <c r="A439" s="54"/>
      <c r="B439" s="5" t="s">
        <v>155</v>
      </c>
      <c r="C439" s="5" t="s">
        <v>144</v>
      </c>
      <c r="D439" s="55" t="str">
        <f>VLOOKUP($B439,Letters!$C$108:$D$131,2,FALSE) &amp; VLOOKUP($C439,Letters!$C$108:$D$131,2,FALSE)</f>
        <v>WL</v>
      </c>
      <c r="E439" s="61"/>
      <c r="F439" s="5"/>
      <c r="G439" s="55">
        <f t="shared" si="43"/>
        <v>0</v>
      </c>
      <c r="H439" s="55">
        <f t="shared" si="44"/>
        <v>0</v>
      </c>
    </row>
    <row r="440" ht="13.5">
      <c r="A440" s="54"/>
      <c r="B440" s="5" t="s">
        <v>155</v>
      </c>
      <c r="C440" s="5" t="s">
        <v>145</v>
      </c>
      <c r="D440" s="55" t="str">
        <f>VLOOKUP($B440,Letters!$C$108:$D$131,2,FALSE) &amp; VLOOKUP($C440,Letters!$C$108:$D$131,2,FALSE)</f>
        <v>WM</v>
      </c>
      <c r="E440" s="61"/>
      <c r="F440" s="5"/>
      <c r="G440" s="55">
        <f t="shared" si="43"/>
        <v>0</v>
      </c>
      <c r="H440" s="55">
        <f t="shared" si="44"/>
        <v>0</v>
      </c>
    </row>
    <row r="441" ht="13.5">
      <c r="A441" s="54"/>
      <c r="B441" s="5" t="s">
        <v>155</v>
      </c>
      <c r="C441" s="5" t="s">
        <v>146</v>
      </c>
      <c r="D441" s="55" t="str">
        <f>VLOOKUP($B441,Letters!$C$108:$D$131,2,FALSE) &amp; VLOOKUP($C441,Letters!$C$108:$D$131,2,FALSE)</f>
        <v>WN</v>
      </c>
      <c r="E441" s="61"/>
      <c r="F441" s="5"/>
      <c r="G441" s="55">
        <f t="shared" si="43"/>
        <v>0</v>
      </c>
      <c r="H441" s="55">
        <f t="shared" si="44"/>
        <v>0</v>
      </c>
    </row>
    <row r="442" ht="13.5">
      <c r="A442" s="54"/>
      <c r="B442" s="5" t="s">
        <v>155</v>
      </c>
      <c r="C442" s="5" t="s">
        <v>147</v>
      </c>
      <c r="D442" s="55" t="str">
        <f>VLOOKUP($B442,Letters!$C$108:$D$131,2,FALSE) &amp; VLOOKUP($C442,Letters!$C$108:$D$131,2,FALSE)</f>
        <v>WO</v>
      </c>
      <c r="E442" s="61"/>
      <c r="F442" s="5"/>
      <c r="G442" s="55">
        <f t="shared" si="43"/>
        <v>0</v>
      </c>
      <c r="H442" s="55">
        <f t="shared" si="44"/>
        <v>0</v>
      </c>
    </row>
    <row r="443" ht="13.5">
      <c r="A443" s="54"/>
      <c r="B443" s="5" t="s">
        <v>155</v>
      </c>
      <c r="C443" s="5" t="s">
        <v>148</v>
      </c>
      <c r="D443" s="55" t="str">
        <f>VLOOKUP($B443,Letters!$C$108:$D$131,2,FALSE) &amp; VLOOKUP($C443,Letters!$C$108:$D$131,2,FALSE)</f>
        <v>WP</v>
      </c>
      <c r="E443" s="61"/>
      <c r="F443" s="5"/>
      <c r="G443" s="55">
        <f t="shared" si="43"/>
        <v>0</v>
      </c>
      <c r="H443" s="55">
        <f t="shared" si="44"/>
        <v>0</v>
      </c>
    </row>
    <row r="444" ht="13.5">
      <c r="A444" s="54"/>
      <c r="B444" s="5" t="s">
        <v>155</v>
      </c>
      <c r="C444" s="5" t="s">
        <v>149</v>
      </c>
      <c r="D444" s="55" t="str">
        <f>VLOOKUP($B444,Letters!$C$108:$D$131,2,FALSE) &amp; VLOOKUP($C444,Letters!$C$108:$D$131,2,FALSE)</f>
        <v>WA</v>
      </c>
      <c r="E444" s="61"/>
      <c r="F444" s="5"/>
      <c r="G444" s="55">
        <f t="shared" si="43"/>
        <v>0</v>
      </c>
      <c r="H444" s="55">
        <f t="shared" si="44"/>
        <v>0</v>
      </c>
    </row>
    <row r="445" ht="13.5">
      <c r="A445" s="54"/>
      <c r="B445" s="5" t="s">
        <v>155</v>
      </c>
      <c r="C445" s="5" t="s">
        <v>150</v>
      </c>
      <c r="D445" s="55" t="str">
        <f>VLOOKUP($B445,Letters!$C$108:$D$131,2,FALSE) &amp; VLOOKUP($C445,Letters!$C$108:$D$131,2,FALSE)</f>
        <v>WR</v>
      </c>
      <c r="E445" s="61"/>
      <c r="F445" s="5"/>
      <c r="G445" s="55">
        <f t="shared" si="43"/>
        <v>0</v>
      </c>
      <c r="H445" s="55">
        <f t="shared" si="44"/>
        <v>0</v>
      </c>
    </row>
    <row r="446" ht="13.5">
      <c r="A446" s="54"/>
      <c r="B446" s="5" t="s">
        <v>155</v>
      </c>
      <c r="C446" s="5" t="s">
        <v>151</v>
      </c>
      <c r="D446" s="55" t="str">
        <f>VLOOKUP($B446,Letters!$C$108:$D$131,2,FALSE) &amp; VLOOKUP($C446,Letters!$C$108:$D$131,2,FALSE)</f>
        <v>WS</v>
      </c>
      <c r="E446" s="61"/>
      <c r="F446" s="5"/>
      <c r="G446" s="55">
        <f t="shared" si="43"/>
        <v>0</v>
      </c>
      <c r="H446" s="55">
        <f t="shared" si="44"/>
        <v>0</v>
      </c>
    </row>
    <row r="447" ht="13.5">
      <c r="A447" s="54"/>
      <c r="B447" s="5" t="s">
        <v>155</v>
      </c>
      <c r="C447" s="5" t="s">
        <v>152</v>
      </c>
      <c r="D447" s="55" t="str">
        <f>VLOOKUP($B447,Letters!$C$108:$D$131,2,FALSE) &amp; VLOOKUP($C447,Letters!$C$108:$D$131,2,FALSE)</f>
        <v>WT</v>
      </c>
      <c r="E447" s="61"/>
      <c r="F447" s="5"/>
      <c r="G447" s="55">
        <f t="shared" si="43"/>
        <v>0</v>
      </c>
      <c r="H447" s="55">
        <f t="shared" si="44"/>
        <v>0</v>
      </c>
    </row>
    <row r="448">
      <c r="A448" s="54"/>
      <c r="B448" s="5"/>
      <c r="C448" s="5"/>
      <c r="D448" s="55"/>
      <c r="E448" s="5"/>
      <c r="F448" s="5"/>
      <c r="G448" s="55"/>
      <c r="H448" s="55"/>
    </row>
    <row r="449" ht="13.5">
      <c r="A449" s="54"/>
      <c r="B449" s="5" t="s">
        <v>156</v>
      </c>
      <c r="C449" s="5" t="s">
        <v>134</v>
      </c>
      <c r="D449" s="55" t="str">
        <f>VLOOKUP($B449,Letters!$C$108:$D$131,2,FALSE) &amp; VLOOKUP($C449,Letters!$C$108:$D$131,2,FALSE)</f>
        <v>XB</v>
      </c>
      <c r="E449" s="61" t="s">
        <v>3645</v>
      </c>
      <c r="F449" s="5" t="s">
        <v>3646</v>
      </c>
      <c r="G449" s="55">
        <f t="shared" ref="G449:G467" si="45">(len($F449)-len(SUBSTITUTE($F449,"R","")))+(len($F449)-len(SUBSTITUTE($F449,"L","")))+(len($F449)-len(SUBSTITUTE($F449,"U","")))+(len($F449)-len(SUBSTITUTE($F449,"D","")))+(len($F449)-len(SUBSTITUTE($F449,"F","")))+(len($F449)-len(SUBSTITUTE($F449,"B","")))+(len($F449)-len(SUBSTITUTE($F449,"r","")))+(len($F449)-len(SUBSTITUTE($F449,"l","")))+(len($F449)-len(SUBSTITUTE($F449,"u","")))+(len($F449)-len(SUBSTITUTE($F449,"d","")))+(len($F449)-len(SUBSTITUTE($F449,"M","")))+(len($F449)-len(SUBSTITUTE($F449,"E","")))</f>
        <v>12</v>
      </c>
      <c r="H449" s="55">
        <f t="shared" ref="H449:H467" si="46">(len($F449)-len(SUBSTITUTE($F449,"R","")))+(len($F449)-len(SUBSTITUTE($F449,"L","")))+(len($F449)-len(SUBSTITUTE($F449,"U","")))+(len($F449)-len(SUBSTITUTE($F449,"D","")))+(len($F449)-len(SUBSTITUTE($F449,"F","")))+(len($F449)-len(SUBSTITUTE($F449,"B","")))+(len($F449)-len(SUBSTITUTE($F449,"r","")))+(len($F449)-len(SUBSTITUTE($F449,"l","")))+(len($F449)-len(SUBSTITUTE($F449,"u","")))+(len($F449)-len(SUBSTITUTE($F449,"d","")))+(len($F449)-len(SUBSTITUTE($F449,"M","")))+(len($F449)-len(SUBSTITUTE($F449,"E","")))+(len($F449)-len(SUBSTITUTE($F449,"2","")))</f>
        <v>14</v>
      </c>
    </row>
    <row r="450" ht="13.5">
      <c r="A450" s="54"/>
      <c r="B450" s="5" t="s">
        <v>156</v>
      </c>
      <c r="C450" s="5" t="s">
        <v>135</v>
      </c>
      <c r="D450" s="55" t="str">
        <f>VLOOKUP($B450,Letters!$C$108:$D$131,2,FALSE) &amp; VLOOKUP($C450,Letters!$C$108:$D$131,2,FALSE)</f>
        <v>XC</v>
      </c>
      <c r="E450" s="61" t="s">
        <v>3649</v>
      </c>
      <c r="F450" s="5" t="s">
        <v>3650</v>
      </c>
      <c r="G450" s="55">
        <f t="shared" si="45"/>
        <v>10</v>
      </c>
      <c r="H450" s="55">
        <f t="shared" si="46"/>
        <v>14</v>
      </c>
    </row>
    <row r="451" ht="13.5">
      <c r="A451" s="54"/>
      <c r="B451" s="5" t="s">
        <v>156</v>
      </c>
      <c r="C451" s="5" t="s">
        <v>136</v>
      </c>
      <c r="D451" s="55" t="str">
        <f>VLOOKUP($B451,Letters!$C$108:$D$131,2,FALSE) &amp; VLOOKUP($C451,Letters!$C$108:$D$131,2,FALSE)</f>
        <v>XD</v>
      </c>
      <c r="E451" s="61" t="s">
        <v>3651</v>
      </c>
      <c r="F451" s="5" t="s">
        <v>3652</v>
      </c>
      <c r="G451" s="55">
        <f t="shared" si="45"/>
        <v>10</v>
      </c>
      <c r="H451" s="55">
        <f t="shared" si="46"/>
        <v>12</v>
      </c>
    </row>
    <row r="452" ht="13.5">
      <c r="A452" s="54"/>
      <c r="B452" s="5" t="s">
        <v>156</v>
      </c>
      <c r="C452" s="5" t="s">
        <v>137</v>
      </c>
      <c r="D452" s="55" t="str">
        <f>VLOOKUP($B452,Letters!$C$108:$D$131,2,FALSE) &amp; VLOOKUP($C452,Letters!$C$108:$D$131,2,FALSE)</f>
        <v>XE</v>
      </c>
      <c r="E452" s="61" t="s">
        <v>3653</v>
      </c>
      <c r="F452" s="5" t="s">
        <v>3654</v>
      </c>
      <c r="G452" s="55">
        <f t="shared" si="45"/>
        <v>10</v>
      </c>
      <c r="H452" s="55">
        <f t="shared" si="46"/>
        <v>11</v>
      </c>
    </row>
    <row r="453" ht="13.5">
      <c r="A453" s="54"/>
      <c r="B453" s="5" t="s">
        <v>156</v>
      </c>
      <c r="C453" s="5" t="s">
        <v>138</v>
      </c>
      <c r="D453" s="55" t="str">
        <f>VLOOKUP($B453,Letters!$C$108:$D$131,2,FALSE) &amp; VLOOKUP($C453,Letters!$C$108:$D$131,2,FALSE)</f>
        <v>XF</v>
      </c>
      <c r="E453" s="61"/>
      <c r="F453" s="5"/>
      <c r="G453" s="55">
        <f t="shared" si="45"/>
        <v>0</v>
      </c>
      <c r="H453" s="55">
        <f t="shared" si="46"/>
        <v>0</v>
      </c>
    </row>
    <row r="454" ht="13.5">
      <c r="A454" s="54"/>
      <c r="B454" s="5" t="s">
        <v>156</v>
      </c>
      <c r="C454" s="5" t="s">
        <v>139</v>
      </c>
      <c r="D454" s="55" t="str">
        <f>VLOOKUP($B454,Letters!$C$108:$D$131,2,FALSE) &amp; VLOOKUP($C454,Letters!$C$108:$D$131,2,FALSE)</f>
        <v>XG</v>
      </c>
      <c r="E454" s="61"/>
      <c r="F454" s="5"/>
      <c r="G454" s="55">
        <f t="shared" si="45"/>
        <v>0</v>
      </c>
      <c r="H454" s="55">
        <f t="shared" si="46"/>
        <v>0</v>
      </c>
    </row>
    <row r="455" ht="13.5">
      <c r="A455" s="54"/>
      <c r="B455" s="5" t="s">
        <v>156</v>
      </c>
      <c r="C455" s="5" t="s">
        <v>140</v>
      </c>
      <c r="D455" s="55" t="str">
        <f>VLOOKUP($B455,Letters!$C$108:$D$131,2,FALSE) &amp; VLOOKUP($C455,Letters!$C$108:$D$131,2,FALSE)</f>
        <v>XH</v>
      </c>
      <c r="E455" s="61"/>
      <c r="F455" s="5"/>
      <c r="G455" s="55">
        <f t="shared" si="45"/>
        <v>0</v>
      </c>
      <c r="H455" s="55">
        <f t="shared" si="46"/>
        <v>0</v>
      </c>
    </row>
    <row r="456" ht="13.5">
      <c r="A456" s="54"/>
      <c r="B456" s="5" t="s">
        <v>156</v>
      </c>
      <c r="C456" s="5" t="s">
        <v>141</v>
      </c>
      <c r="D456" s="55" t="str">
        <f>VLOOKUP($B456,Letters!$C$108:$D$131,2,FALSE) &amp; VLOOKUP($C456,Letters!$C$108:$D$131,2,FALSE)</f>
        <v>XI</v>
      </c>
      <c r="E456" s="61"/>
      <c r="F456" s="5"/>
      <c r="G456" s="55">
        <f t="shared" si="45"/>
        <v>0</v>
      </c>
      <c r="H456" s="55">
        <f t="shared" si="46"/>
        <v>0</v>
      </c>
    </row>
    <row r="457" ht="13.5">
      <c r="A457" s="54"/>
      <c r="B457" s="5" t="s">
        <v>156</v>
      </c>
      <c r="C457" s="5" t="s">
        <v>142</v>
      </c>
      <c r="D457" s="55" t="str">
        <f>VLOOKUP($B457,Letters!$C$108:$D$131,2,FALSE) &amp; VLOOKUP($C457,Letters!$C$108:$D$131,2,FALSE)</f>
        <v>XJ</v>
      </c>
      <c r="E457" s="61"/>
      <c r="F457" s="5"/>
      <c r="G457" s="55">
        <f t="shared" si="45"/>
        <v>0</v>
      </c>
      <c r="H457" s="55">
        <f t="shared" si="46"/>
        <v>0</v>
      </c>
    </row>
    <row r="458" ht="13.5">
      <c r="A458" s="54"/>
      <c r="B458" s="5" t="s">
        <v>156</v>
      </c>
      <c r="C458" s="5" t="s">
        <v>143</v>
      </c>
      <c r="D458" s="55" t="str">
        <f>VLOOKUP($B458,Letters!$C$108:$D$131,2,FALSE) &amp; VLOOKUP($C458,Letters!$C$108:$D$131,2,FALSE)</f>
        <v>XK</v>
      </c>
      <c r="E458" s="61"/>
      <c r="F458" s="5"/>
      <c r="G458" s="55">
        <f t="shared" si="45"/>
        <v>0</v>
      </c>
      <c r="H458" s="55">
        <f t="shared" si="46"/>
        <v>0</v>
      </c>
    </row>
    <row r="459" ht="13.5">
      <c r="A459" s="54"/>
      <c r="B459" s="5" t="s">
        <v>156</v>
      </c>
      <c r="C459" s="5" t="s">
        <v>144</v>
      </c>
      <c r="D459" s="55" t="str">
        <f>VLOOKUP($B459,Letters!$C$108:$D$131,2,FALSE) &amp; VLOOKUP($C459,Letters!$C$108:$D$131,2,FALSE)</f>
        <v>XL</v>
      </c>
      <c r="E459" s="61"/>
      <c r="F459" s="5"/>
      <c r="G459" s="55">
        <f t="shared" si="45"/>
        <v>0</v>
      </c>
      <c r="H459" s="55">
        <f t="shared" si="46"/>
        <v>0</v>
      </c>
    </row>
    <row r="460" ht="13.5">
      <c r="A460" s="54"/>
      <c r="B460" s="5" t="s">
        <v>156</v>
      </c>
      <c r="C460" s="5" t="s">
        <v>145</v>
      </c>
      <c r="D460" s="55" t="str">
        <f>VLOOKUP($B460,Letters!$C$108:$D$131,2,FALSE) &amp; VLOOKUP($C460,Letters!$C$108:$D$131,2,FALSE)</f>
        <v>XM</v>
      </c>
      <c r="E460" s="61"/>
      <c r="F460" s="5"/>
      <c r="G460" s="55">
        <f t="shared" si="45"/>
        <v>0</v>
      </c>
      <c r="H460" s="55">
        <f t="shared" si="46"/>
        <v>0</v>
      </c>
    </row>
    <row r="461" ht="13.5">
      <c r="A461" s="54"/>
      <c r="B461" s="5" t="s">
        <v>156</v>
      </c>
      <c r="C461" s="5" t="s">
        <v>146</v>
      </c>
      <c r="D461" s="55" t="str">
        <f>VLOOKUP($B461,Letters!$C$108:$D$131,2,FALSE) &amp; VLOOKUP($C461,Letters!$C$108:$D$131,2,FALSE)</f>
        <v>XN</v>
      </c>
      <c r="E461" s="61"/>
      <c r="F461" s="5"/>
      <c r="G461" s="55">
        <f t="shared" si="45"/>
        <v>0</v>
      </c>
      <c r="H461" s="55">
        <f t="shared" si="46"/>
        <v>0</v>
      </c>
    </row>
    <row r="462" ht="13.5">
      <c r="A462" s="54"/>
      <c r="B462" s="5" t="s">
        <v>156</v>
      </c>
      <c r="C462" s="5" t="s">
        <v>147</v>
      </c>
      <c r="D462" s="55" t="str">
        <f>VLOOKUP($B462,Letters!$C$108:$D$131,2,FALSE) &amp; VLOOKUP($C462,Letters!$C$108:$D$131,2,FALSE)</f>
        <v>XO</v>
      </c>
      <c r="E462" s="61"/>
      <c r="F462" s="5"/>
      <c r="G462" s="55">
        <f t="shared" si="45"/>
        <v>0</v>
      </c>
      <c r="H462" s="55">
        <f t="shared" si="46"/>
        <v>0</v>
      </c>
    </row>
    <row r="463" ht="13.5">
      <c r="A463" s="65"/>
      <c r="B463" s="5" t="s">
        <v>156</v>
      </c>
      <c r="C463" s="5" t="s">
        <v>148</v>
      </c>
      <c r="D463" s="55" t="str">
        <f>VLOOKUP($B463,Letters!$C$108:$D$131,2,FALSE) &amp; VLOOKUP($C463,Letters!$C$108:$D$131,2,FALSE)</f>
        <v>XP</v>
      </c>
      <c r="E463" s="61"/>
      <c r="F463" s="5"/>
      <c r="G463" s="55">
        <f t="shared" si="45"/>
        <v>0</v>
      </c>
      <c r="H463" s="55">
        <f t="shared" si="46"/>
        <v>0</v>
      </c>
    </row>
    <row r="464" ht="13.5">
      <c r="A464" s="65"/>
      <c r="B464" s="5" t="s">
        <v>156</v>
      </c>
      <c r="C464" s="5" t="s">
        <v>149</v>
      </c>
      <c r="D464" s="55" t="str">
        <f>VLOOKUP($B464,Letters!$C$108:$D$131,2,FALSE) &amp; VLOOKUP($C464,Letters!$C$108:$D$131,2,FALSE)</f>
        <v>XA</v>
      </c>
      <c r="E464" s="61"/>
      <c r="F464" s="5"/>
      <c r="G464" s="55">
        <f t="shared" si="45"/>
        <v>0</v>
      </c>
      <c r="H464" s="55">
        <f t="shared" si="46"/>
        <v>0</v>
      </c>
    </row>
    <row r="465" ht="13.5">
      <c r="A465" s="65"/>
      <c r="B465" s="5" t="s">
        <v>156</v>
      </c>
      <c r="C465" s="5" t="s">
        <v>150</v>
      </c>
      <c r="D465" s="55" t="str">
        <f>VLOOKUP($B465,Letters!$C$108:$D$131,2,FALSE) &amp; VLOOKUP($C465,Letters!$C$108:$D$131,2,FALSE)</f>
        <v>XR</v>
      </c>
      <c r="E465" s="61"/>
      <c r="F465" s="5"/>
      <c r="G465" s="55">
        <f t="shared" si="45"/>
        <v>0</v>
      </c>
      <c r="H465" s="55">
        <f t="shared" si="46"/>
        <v>0</v>
      </c>
    </row>
    <row r="466" ht="13.5">
      <c r="A466" s="65"/>
      <c r="B466" s="5" t="s">
        <v>156</v>
      </c>
      <c r="C466" s="5" t="s">
        <v>151</v>
      </c>
      <c r="D466" s="55" t="str">
        <f>VLOOKUP($B466,Letters!$C$108:$D$131,2,FALSE) &amp; VLOOKUP($C466,Letters!$C$108:$D$131,2,FALSE)</f>
        <v>XS</v>
      </c>
      <c r="E466" s="61"/>
      <c r="F466" s="5"/>
      <c r="G466" s="55">
        <f t="shared" si="45"/>
        <v>0</v>
      </c>
      <c r="H466" s="55">
        <f t="shared" si="46"/>
        <v>0</v>
      </c>
    </row>
    <row r="467" ht="13.5">
      <c r="A467" s="65"/>
      <c r="B467" s="5" t="s">
        <v>156</v>
      </c>
      <c r="C467" s="5" t="s">
        <v>152</v>
      </c>
      <c r="D467" s="55" t="str">
        <f>VLOOKUP($B467,Letters!$C$108:$D$131,2,FALSE) &amp; VLOOKUP($C467,Letters!$C$108:$D$131,2,FALSE)</f>
        <v>XT</v>
      </c>
      <c r="E467" s="61"/>
      <c r="F467" s="5"/>
      <c r="G467" s="55">
        <f t="shared" si="45"/>
        <v>0</v>
      </c>
      <c r="H467" s="55">
        <f t="shared" si="46"/>
        <v>0</v>
      </c>
    </row>
    <row r="468">
      <c r="A468" s="65"/>
      <c r="B468" s="5"/>
      <c r="C468" s="5"/>
      <c r="D468" s="55"/>
      <c r="E468" s="5"/>
      <c r="F468" s="5"/>
      <c r="G468" s="55"/>
      <c r="H468" s="55"/>
    </row>
  </sheetData>
  <conditionalFormatting sqref="E1 Q1">
    <cfRule type="expression" dxfId="0" priority="1">
      <formula>AND(G:G&lt;=8,NOT(ISBLANK(E:E)))</formula>
    </cfRule>
  </conditionalFormatting>
  <conditionalFormatting sqref="E1 Q1">
    <cfRule type="expression" dxfId="1" priority="2">
      <formula>AND(G:G=10,NOT(ISBLANK(E:E)))</formula>
    </cfRule>
  </conditionalFormatting>
  <conditionalFormatting sqref="E1 Q1">
    <cfRule type="expression" dxfId="2" priority="3">
      <formula>AND(G:G=9,NOT(ISBLANK(E:E)))</formula>
    </cfRule>
  </conditionalFormatting>
  <conditionalFormatting sqref="E1 Q1">
    <cfRule type="expression" dxfId="0" priority="4">
      <formula>AND(G:G&lt;=8,NOT(ISBLANK(E:E)))</formula>
    </cfRule>
  </conditionalFormatting>
  <conditionalFormatting sqref="E1 Q1">
    <cfRule type="expression" dxfId="1" priority="5">
      <formula>AND(G:G=10,NOT(ISBLANK(E:E)))</formula>
    </cfRule>
  </conditionalFormatting>
  <conditionalFormatting sqref="E1 Q1">
    <cfRule type="expression" dxfId="2" priority="6">
      <formula>AND(G:G=9,NOT(ISBLANK(E:E)))</formula>
    </cfRule>
  </conditionalFormatting>
  <conditionalFormatting sqref="D6:D467">
    <cfRule type="expression" dxfId="3" priority="7">
      <formula>A:A=1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27" width="4.71"/>
    <col customWidth="1" min="28" max="28" width="2.29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7.25">
      <c r="A2" s="5"/>
      <c r="B2" s="3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3.5">
      <c r="C4" s="76"/>
      <c r="D4" s="5" t="s">
        <v>5</v>
      </c>
      <c r="E4" s="5" t="s">
        <v>7</v>
      </c>
      <c r="F4" s="5" t="s">
        <v>9</v>
      </c>
      <c r="G4" s="5" t="s">
        <v>12</v>
      </c>
      <c r="H4" s="5" t="s">
        <v>14</v>
      </c>
      <c r="I4" s="5" t="s">
        <v>16</v>
      </c>
      <c r="J4" s="5" t="s">
        <v>18</v>
      </c>
      <c r="K4" s="5" t="s">
        <v>20</v>
      </c>
      <c r="L4" s="5" t="s">
        <v>22</v>
      </c>
      <c r="M4" s="5" t="s">
        <v>24</v>
      </c>
      <c r="N4" s="5" t="s">
        <v>26</v>
      </c>
      <c r="O4" s="5" t="s">
        <v>28</v>
      </c>
      <c r="P4" s="5" t="s">
        <v>30</v>
      </c>
      <c r="Q4" s="5" t="s">
        <v>32</v>
      </c>
      <c r="R4" s="5" t="s">
        <v>34</v>
      </c>
      <c r="S4" s="5" t="s">
        <v>37</v>
      </c>
      <c r="T4" s="5" t="s">
        <v>39</v>
      </c>
      <c r="U4" s="5" t="s">
        <v>41</v>
      </c>
      <c r="V4" s="5" t="s">
        <v>43</v>
      </c>
      <c r="W4" s="5" t="s">
        <v>45</v>
      </c>
      <c r="X4" s="5" t="s">
        <v>47</v>
      </c>
      <c r="Y4" s="77"/>
      <c r="Z4" s="5"/>
      <c r="AA4" s="5"/>
      <c r="AB4" s="5"/>
    </row>
    <row r="5" ht="14.25">
      <c r="B5" s="78"/>
      <c r="C5" s="79"/>
      <c r="D5" s="5" t="str">
        <f>VLOOKUP(D4,Letters!$C$4:$D$27,2,FALSE)</f>
        <v>B</v>
      </c>
      <c r="E5" s="5" t="str">
        <f>VLOOKUP(E4,Letters!$C$4:$D$27,2,FALSE)</f>
        <v>C</v>
      </c>
      <c r="F5" s="5" t="str">
        <f>VLOOKUP(F4,Letters!$C$4:$D$27,2,FALSE)</f>
        <v>D</v>
      </c>
      <c r="G5" s="5" t="str">
        <f>VLOOKUP(G4,Letters!$C$4:$D$27,2,FALSE)</f>
        <v>F</v>
      </c>
      <c r="H5" s="5" t="str">
        <f>VLOOKUP(H4,Letters!$C$4:$D$27,2,FALSE)</f>
        <v>G</v>
      </c>
      <c r="I5" s="5" t="str">
        <f>VLOOKUP(I4,Letters!$C$4:$D$27,2,FALSE)</f>
        <v>H</v>
      </c>
      <c r="J5" s="5" t="str">
        <f>VLOOKUP(J4,Letters!$C$4:$D$27,2,FALSE)</f>
        <v>I</v>
      </c>
      <c r="K5" s="5" t="str">
        <f>VLOOKUP(K4,Letters!$C$4:$D$27,2,FALSE)</f>
        <v>R</v>
      </c>
      <c r="L5" s="5" t="str">
        <f>VLOOKUP(L4,Letters!$C$4:$D$27,2,FALSE)</f>
        <v>K</v>
      </c>
      <c r="M5" s="5" t="str">
        <f>VLOOKUP(M4,Letters!$C$4:$D$27,2,FALSE)</f>
        <v>L</v>
      </c>
      <c r="N5" s="5" t="str">
        <f>VLOOKUP(N4,Letters!$C$4:$D$27,2,FALSE)</f>
        <v>M</v>
      </c>
      <c r="O5" s="5" t="str">
        <f>VLOOKUP(O4,Letters!$C$4:$D$27,2,FALSE)</f>
        <v>N</v>
      </c>
      <c r="P5" s="5" t="str">
        <f>VLOOKUP(P4,Letters!$C$4:$D$27,2,FALSE)</f>
        <v>O</v>
      </c>
      <c r="Q5" s="5" t="str">
        <f>VLOOKUP(Q4,Letters!$C$4:$D$27,2,FALSE)</f>
        <v>P</v>
      </c>
      <c r="R5" s="5" t="str">
        <f>VLOOKUP(R4,Letters!$C$4:$D$27,2,FALSE)</f>
        <v>A</v>
      </c>
      <c r="S5" s="5" t="str">
        <f>VLOOKUP(S4,Letters!$C$4:$D$27,2,FALSE)</f>
        <v>S</v>
      </c>
      <c r="T5" s="5" t="str">
        <f>VLOOKUP(T4,Letters!$C$4:$D$27,2,FALSE)</f>
        <v>T</v>
      </c>
      <c r="U5" s="5" t="str">
        <f>VLOOKUP(U4,Letters!$C$4:$D$27,2,FALSE)</f>
        <v>U</v>
      </c>
      <c r="V5" s="5" t="str">
        <f>VLOOKUP(V4,Letters!$C$4:$D$27,2,FALSE)</f>
        <v>V</v>
      </c>
      <c r="W5" s="5" t="str">
        <f>VLOOKUP(W4,Letters!$C$4:$D$27,2,FALSE)</f>
        <v>W</v>
      </c>
      <c r="X5" s="5" t="str">
        <f>VLOOKUP(X4,Letters!$C$4:$D$27,2,FALSE)</f>
        <v>E</v>
      </c>
      <c r="Y5" s="80" t="s">
        <v>3354</v>
      </c>
    </row>
    <row r="6" ht="13.5">
      <c r="B6" s="5" t="s">
        <v>5</v>
      </c>
      <c r="C6" s="5" t="str">
        <f>VLOOKUP(B6,Letters!$C$4:$D$27,2,FALSE)</f>
        <v>B</v>
      </c>
      <c r="D6" s="81"/>
      <c r="E6" s="82">
        <v>0.68</v>
      </c>
      <c r="F6" s="82">
        <v>0.91</v>
      </c>
      <c r="G6" s="82">
        <v>0.96</v>
      </c>
      <c r="H6" s="82">
        <v>0.71</v>
      </c>
      <c r="I6" s="82">
        <v>0.61</v>
      </c>
      <c r="J6" s="82">
        <v>0.59</v>
      </c>
      <c r="K6" s="82">
        <v>1.12</v>
      </c>
      <c r="L6" s="82">
        <v>1.0</v>
      </c>
      <c r="M6" s="82">
        <v>0.77</v>
      </c>
      <c r="N6" s="82">
        <v>1.12</v>
      </c>
      <c r="O6" s="83"/>
      <c r="P6" s="82">
        <v>0.55</v>
      </c>
      <c r="Q6" s="82">
        <v>0.7</v>
      </c>
      <c r="R6" s="83"/>
      <c r="S6" s="82">
        <v>0.77</v>
      </c>
      <c r="T6" s="82">
        <v>0.97</v>
      </c>
      <c r="U6" s="82">
        <v>1.33</v>
      </c>
      <c r="V6" s="82">
        <v>1.69</v>
      </c>
      <c r="W6" s="82">
        <v>1.63</v>
      </c>
      <c r="X6" s="84">
        <v>1.09</v>
      </c>
      <c r="Y6" s="85">
        <f t="shared" ref="Y6:Y26" si="1">IFERROR(AVERAGE(D6:X6))</f>
        <v>0.9555555556</v>
      </c>
    </row>
    <row r="7" ht="13.5">
      <c r="B7" s="5" t="s">
        <v>7</v>
      </c>
      <c r="C7" s="5" t="str">
        <f>VLOOKUP(B7,Letters!$C$4:$D$27,2,FALSE)</f>
        <v>C</v>
      </c>
      <c r="D7" s="86">
        <v>0.74</v>
      </c>
      <c r="E7" s="87"/>
      <c r="F7" s="88"/>
      <c r="G7" s="88"/>
      <c r="H7" s="88"/>
      <c r="I7" s="88"/>
      <c r="J7" s="88"/>
      <c r="K7" s="87"/>
      <c r="L7" s="88"/>
      <c r="M7" s="88"/>
      <c r="N7" s="87"/>
      <c r="O7" s="89">
        <v>1.79</v>
      </c>
      <c r="P7" s="88"/>
      <c r="Q7" s="88"/>
      <c r="R7" s="89">
        <v>1.24</v>
      </c>
      <c r="S7" s="88"/>
      <c r="T7" s="88"/>
      <c r="U7" s="88"/>
      <c r="V7" s="88"/>
      <c r="W7" s="88"/>
      <c r="X7" s="90"/>
      <c r="Y7" s="88">
        <f t="shared" si="1"/>
        <v>1.256666667</v>
      </c>
    </row>
    <row r="8" ht="13.5">
      <c r="B8" s="5" t="s">
        <v>9</v>
      </c>
      <c r="C8" s="5" t="str">
        <f>VLOOKUP(B8,Letters!$C$4:$D$27,2,FALSE)</f>
        <v>D</v>
      </c>
      <c r="D8" s="86">
        <v>1.0</v>
      </c>
      <c r="E8" s="88"/>
      <c r="F8" s="87"/>
      <c r="G8" s="87"/>
      <c r="H8" s="88"/>
      <c r="I8" s="88"/>
      <c r="J8" s="87"/>
      <c r="K8" s="89"/>
      <c r="L8" s="89"/>
      <c r="M8" s="89"/>
      <c r="N8" s="89"/>
      <c r="O8" s="89">
        <v>0.88</v>
      </c>
      <c r="P8" s="89"/>
      <c r="Q8" s="89"/>
      <c r="R8" s="89">
        <v>1.07</v>
      </c>
      <c r="S8" s="89"/>
      <c r="T8" s="89"/>
      <c r="U8" s="89"/>
      <c r="V8" s="89"/>
      <c r="W8" s="88"/>
      <c r="X8" s="90"/>
      <c r="Y8" s="88">
        <f t="shared" si="1"/>
        <v>0.9833333333</v>
      </c>
    </row>
    <row r="9" ht="13.5">
      <c r="B9" s="5" t="s">
        <v>12</v>
      </c>
      <c r="C9" s="5" t="str">
        <f>VLOOKUP(B9,Letters!$C$4:$D$27,2,FALSE)</f>
        <v>F</v>
      </c>
      <c r="D9" s="86">
        <v>1.12</v>
      </c>
      <c r="E9" s="88"/>
      <c r="F9" s="87"/>
      <c r="G9" s="87"/>
      <c r="H9" s="88"/>
      <c r="I9" s="88"/>
      <c r="J9" s="87"/>
      <c r="K9" s="89"/>
      <c r="L9" s="89"/>
      <c r="M9" s="89"/>
      <c r="N9" s="89"/>
      <c r="O9" s="89">
        <v>1.64</v>
      </c>
      <c r="P9" s="89"/>
      <c r="Q9" s="89"/>
      <c r="R9" s="89">
        <v>1.27</v>
      </c>
      <c r="S9" s="89"/>
      <c r="T9" s="89"/>
      <c r="U9" s="89"/>
      <c r="V9" s="89"/>
      <c r="W9" s="88"/>
      <c r="X9" s="90"/>
      <c r="Y9" s="88">
        <f t="shared" si="1"/>
        <v>1.343333333</v>
      </c>
    </row>
    <row r="10" ht="13.5">
      <c r="B10" s="5" t="s">
        <v>14</v>
      </c>
      <c r="C10" s="5" t="str">
        <f>VLOOKUP(B10,Letters!$C$4:$D$27,2,FALSE)</f>
        <v>G</v>
      </c>
      <c r="D10" s="86">
        <v>0.67</v>
      </c>
      <c r="E10" s="88"/>
      <c r="F10" s="88"/>
      <c r="G10" s="88"/>
      <c r="H10" s="87"/>
      <c r="I10" s="88"/>
      <c r="J10" s="88"/>
      <c r="K10" s="88"/>
      <c r="L10" s="88"/>
      <c r="M10" s="87"/>
      <c r="N10" s="88"/>
      <c r="O10" s="89">
        <v>1.36</v>
      </c>
      <c r="P10" s="88"/>
      <c r="Q10" s="88"/>
      <c r="R10" s="89">
        <v>0.76</v>
      </c>
      <c r="S10" s="88"/>
      <c r="T10" s="88"/>
      <c r="U10" s="87"/>
      <c r="V10" s="88"/>
      <c r="W10" s="88"/>
      <c r="X10" s="90"/>
      <c r="Y10" s="88">
        <f t="shared" si="1"/>
        <v>0.93</v>
      </c>
    </row>
    <row r="11" ht="13.5">
      <c r="B11" s="5" t="s">
        <v>16</v>
      </c>
      <c r="C11" s="5" t="str">
        <f>VLOOKUP(B11,Letters!$C$4:$D$27,2,FALSE)</f>
        <v>H</v>
      </c>
      <c r="D11" s="86">
        <v>0.82</v>
      </c>
      <c r="E11" s="88"/>
      <c r="F11" s="88"/>
      <c r="G11" s="88"/>
      <c r="H11" s="88"/>
      <c r="I11" s="87"/>
      <c r="J11" s="88"/>
      <c r="K11" s="89"/>
      <c r="L11" s="89"/>
      <c r="M11" s="89"/>
      <c r="N11" s="89"/>
      <c r="O11" s="89">
        <v>1.26</v>
      </c>
      <c r="P11" s="89"/>
      <c r="Q11" s="89"/>
      <c r="R11" s="89">
        <v>1.16</v>
      </c>
      <c r="S11" s="87"/>
      <c r="T11" s="88"/>
      <c r="U11" s="88"/>
      <c r="V11" s="88"/>
      <c r="W11" s="88"/>
      <c r="X11" s="91"/>
      <c r="Y11" s="88">
        <f t="shared" si="1"/>
        <v>1.08</v>
      </c>
    </row>
    <row r="12" ht="13.5">
      <c r="B12" s="5" t="s">
        <v>18</v>
      </c>
      <c r="C12" s="5" t="str">
        <f>VLOOKUP(B12,Letters!$C$4:$D$27,2,FALSE)</f>
        <v>I</v>
      </c>
      <c r="D12" s="86">
        <v>0.84</v>
      </c>
      <c r="E12" s="88"/>
      <c r="F12" s="87"/>
      <c r="G12" s="87"/>
      <c r="H12" s="88"/>
      <c r="I12" s="88"/>
      <c r="J12" s="87"/>
      <c r="K12" s="88"/>
      <c r="L12" s="88"/>
      <c r="M12" s="88"/>
      <c r="N12" s="88"/>
      <c r="O12" s="89">
        <v>0.88</v>
      </c>
      <c r="P12" s="88"/>
      <c r="Q12" s="88"/>
      <c r="R12" s="89">
        <v>1.39</v>
      </c>
      <c r="S12" s="88"/>
      <c r="T12" s="88"/>
      <c r="U12" s="88"/>
      <c r="V12" s="88"/>
      <c r="W12" s="88"/>
      <c r="X12" s="90"/>
      <c r="Y12" s="88">
        <f t="shared" si="1"/>
        <v>1.036666667</v>
      </c>
    </row>
    <row r="13" ht="13.5">
      <c r="B13" s="5" t="s">
        <v>20</v>
      </c>
      <c r="C13" s="5" t="str">
        <f>VLOOKUP(B13,Letters!$C$4:$D$27,2,FALSE)</f>
        <v>R</v>
      </c>
      <c r="D13" s="86">
        <v>0.96</v>
      </c>
      <c r="E13" s="87"/>
      <c r="F13" s="88"/>
      <c r="G13" s="88"/>
      <c r="H13" s="88"/>
      <c r="I13" s="88"/>
      <c r="J13" s="88"/>
      <c r="K13" s="87"/>
      <c r="L13" s="88"/>
      <c r="M13" s="88"/>
      <c r="N13" s="87"/>
      <c r="O13" s="89">
        <v>0.88</v>
      </c>
      <c r="P13" s="88"/>
      <c r="Q13" s="88"/>
      <c r="R13" s="89">
        <v>1.66</v>
      </c>
      <c r="S13" s="88"/>
      <c r="T13" s="88"/>
      <c r="U13" s="88"/>
      <c r="V13" s="88"/>
      <c r="W13" s="88"/>
      <c r="X13" s="90"/>
      <c r="Y13" s="88">
        <f t="shared" si="1"/>
        <v>1.166666667</v>
      </c>
    </row>
    <row r="14" ht="13.5">
      <c r="B14" s="5" t="s">
        <v>22</v>
      </c>
      <c r="C14" s="5" t="str">
        <f>VLOOKUP(B14,Letters!$C$4:$D$27,2,FALSE)</f>
        <v>K</v>
      </c>
      <c r="D14" s="86">
        <v>0.92</v>
      </c>
      <c r="E14" s="88"/>
      <c r="F14" s="88"/>
      <c r="G14" s="88"/>
      <c r="H14" s="88"/>
      <c r="I14" s="88"/>
      <c r="J14" s="88"/>
      <c r="K14" s="88"/>
      <c r="L14" s="87"/>
      <c r="M14" s="88"/>
      <c r="N14" s="88"/>
      <c r="O14" s="89">
        <v>1.05</v>
      </c>
      <c r="P14" s="88"/>
      <c r="Q14" s="87"/>
      <c r="R14" s="89">
        <v>0.97</v>
      </c>
      <c r="S14" s="88"/>
      <c r="T14" s="88"/>
      <c r="U14" s="88"/>
      <c r="V14" s="87"/>
      <c r="W14" s="88"/>
      <c r="X14" s="90"/>
      <c r="Y14" s="88">
        <f t="shared" si="1"/>
        <v>0.98</v>
      </c>
    </row>
    <row r="15" ht="13.5">
      <c r="B15" s="5" t="s">
        <v>24</v>
      </c>
      <c r="C15" s="5" t="str">
        <f>VLOOKUP(B15,Letters!$C$4:$D$27,2,FALSE)</f>
        <v>L</v>
      </c>
      <c r="D15" s="86">
        <v>0.77</v>
      </c>
      <c r="E15" s="88"/>
      <c r="F15" s="88"/>
      <c r="G15" s="88"/>
      <c r="H15" s="87"/>
      <c r="I15" s="88"/>
      <c r="J15" s="88"/>
      <c r="K15" s="88"/>
      <c r="L15" s="88"/>
      <c r="M15" s="87"/>
      <c r="N15" s="88"/>
      <c r="O15" s="89">
        <v>1.61</v>
      </c>
      <c r="P15" s="88"/>
      <c r="Q15" s="88"/>
      <c r="R15" s="89">
        <v>1.5</v>
      </c>
      <c r="S15" s="88"/>
      <c r="T15" s="88"/>
      <c r="U15" s="87"/>
      <c r="V15" s="88"/>
      <c r="W15" s="88"/>
      <c r="X15" s="90"/>
      <c r="Y15" s="88">
        <f t="shared" si="1"/>
        <v>1.293333333</v>
      </c>
    </row>
    <row r="16" ht="13.5">
      <c r="B16" s="5" t="s">
        <v>26</v>
      </c>
      <c r="C16" s="5" t="str">
        <f>VLOOKUP(B16,Letters!$C$4:$D$27,2,FALSE)</f>
        <v>M</v>
      </c>
      <c r="D16" s="86">
        <v>1.07</v>
      </c>
      <c r="E16" s="87"/>
      <c r="F16" s="88"/>
      <c r="G16" s="88"/>
      <c r="H16" s="88"/>
      <c r="I16" s="88"/>
      <c r="J16" s="88"/>
      <c r="K16" s="87"/>
      <c r="L16" s="88"/>
      <c r="M16" s="88"/>
      <c r="N16" s="87"/>
      <c r="O16" s="89">
        <v>0.9</v>
      </c>
      <c r="P16" s="88"/>
      <c r="Q16" s="88"/>
      <c r="R16" s="89">
        <v>0.72</v>
      </c>
      <c r="S16" s="88"/>
      <c r="T16" s="88"/>
      <c r="U16" s="88"/>
      <c r="V16" s="88"/>
      <c r="W16" s="88"/>
      <c r="X16" s="90"/>
      <c r="Y16" s="88">
        <f t="shared" si="1"/>
        <v>0.8966666667</v>
      </c>
    </row>
    <row r="17" ht="13.5">
      <c r="B17" s="5" t="s">
        <v>28</v>
      </c>
      <c r="C17" s="5" t="str">
        <f>VLOOKUP(B17,Letters!$C$4:$D$27,2,FALSE)</f>
        <v>N</v>
      </c>
      <c r="D17" s="92"/>
      <c r="E17" s="89">
        <v>1.57</v>
      </c>
      <c r="F17" s="89">
        <v>0.99</v>
      </c>
      <c r="G17" s="89">
        <v>1.77</v>
      </c>
      <c r="H17" s="89">
        <v>1.32</v>
      </c>
      <c r="I17" s="89">
        <v>1.22</v>
      </c>
      <c r="J17" s="89">
        <v>0.88</v>
      </c>
      <c r="K17" s="89">
        <v>0.74</v>
      </c>
      <c r="L17" s="89">
        <v>1.0</v>
      </c>
      <c r="M17" s="89">
        <v>1.44</v>
      </c>
      <c r="N17" s="89">
        <v>0.75</v>
      </c>
      <c r="O17" s="87"/>
      <c r="P17" s="89">
        <v>0.79</v>
      </c>
      <c r="Q17" s="89">
        <v>0.95</v>
      </c>
      <c r="R17" s="87"/>
      <c r="S17" s="89">
        <v>0.9</v>
      </c>
      <c r="T17" s="89">
        <v>1.91</v>
      </c>
      <c r="U17" s="89">
        <v>0.93</v>
      </c>
      <c r="V17" s="89">
        <v>1.33</v>
      </c>
      <c r="W17" s="89">
        <v>1.03</v>
      </c>
      <c r="X17" s="93">
        <v>1.93</v>
      </c>
      <c r="Y17" s="88">
        <f t="shared" si="1"/>
        <v>1.191666667</v>
      </c>
    </row>
    <row r="18" ht="13.5">
      <c r="B18" s="5" t="s">
        <v>30</v>
      </c>
      <c r="C18" s="5" t="str">
        <f>VLOOKUP(B18,Letters!$C$4:$D$27,2,FALSE)</f>
        <v>O</v>
      </c>
      <c r="D18" s="86">
        <v>0.51</v>
      </c>
      <c r="E18" s="88"/>
      <c r="F18" s="88"/>
      <c r="G18" s="88"/>
      <c r="H18" s="88"/>
      <c r="I18" s="88"/>
      <c r="J18" s="89"/>
      <c r="K18" s="88"/>
      <c r="L18" s="88"/>
      <c r="M18" s="88"/>
      <c r="N18" s="88"/>
      <c r="O18" s="89">
        <v>0.94</v>
      </c>
      <c r="P18" s="87"/>
      <c r="Q18" s="88"/>
      <c r="R18" s="89">
        <v>1.42</v>
      </c>
      <c r="S18" s="88"/>
      <c r="T18" s="87"/>
      <c r="U18" s="88"/>
      <c r="V18" s="88"/>
      <c r="W18" s="87"/>
      <c r="X18" s="90"/>
      <c r="Y18" s="88">
        <f t="shared" si="1"/>
        <v>0.9566666667</v>
      </c>
    </row>
    <row r="19" ht="13.5">
      <c r="B19" s="5" t="s">
        <v>32</v>
      </c>
      <c r="C19" s="5" t="str">
        <f>VLOOKUP(B19,Letters!$C$4:$D$27,2,FALSE)</f>
        <v>P</v>
      </c>
      <c r="D19" s="86">
        <v>0.72</v>
      </c>
      <c r="E19" s="88"/>
      <c r="F19" s="88"/>
      <c r="G19" s="88"/>
      <c r="H19" s="88"/>
      <c r="I19" s="88"/>
      <c r="J19" s="89"/>
      <c r="K19" s="88"/>
      <c r="L19" s="87"/>
      <c r="M19" s="88"/>
      <c r="N19" s="88"/>
      <c r="O19" s="89">
        <v>1.19</v>
      </c>
      <c r="P19" s="88"/>
      <c r="Q19" s="87"/>
      <c r="R19" s="89">
        <v>0.88</v>
      </c>
      <c r="S19" s="88"/>
      <c r="T19" s="88"/>
      <c r="U19" s="88"/>
      <c r="V19" s="87"/>
      <c r="W19" s="88"/>
      <c r="X19" s="90"/>
      <c r="Y19" s="88">
        <f t="shared" si="1"/>
        <v>0.93</v>
      </c>
    </row>
    <row r="20" ht="13.5">
      <c r="B20" s="5" t="s">
        <v>34</v>
      </c>
      <c r="C20" s="5" t="str">
        <f>VLOOKUP(B20,Letters!$C$4:$D$27,2,FALSE)</f>
        <v>A</v>
      </c>
      <c r="D20" s="92"/>
      <c r="E20" s="88"/>
      <c r="F20" s="88"/>
      <c r="G20" s="88"/>
      <c r="H20" s="88"/>
      <c r="I20" s="88"/>
      <c r="J20" s="89"/>
      <c r="K20" s="88"/>
      <c r="L20" s="88"/>
      <c r="M20" s="88"/>
      <c r="N20" s="88"/>
      <c r="O20" s="87"/>
      <c r="P20" s="88"/>
      <c r="Q20" s="88"/>
      <c r="R20" s="87"/>
      <c r="S20" s="88"/>
      <c r="T20" s="88"/>
      <c r="U20" s="88"/>
      <c r="V20" s="88"/>
      <c r="W20" s="88"/>
      <c r="X20" s="90"/>
      <c r="Y20" s="88" t="str">
        <f t="shared" si="1"/>
        <v/>
      </c>
    </row>
    <row r="21" ht="13.5">
      <c r="B21" s="5" t="s">
        <v>37</v>
      </c>
      <c r="C21" s="5" t="str">
        <f>VLOOKUP(B21,Letters!$C$4:$D$27,2,FALSE)</f>
        <v>S</v>
      </c>
      <c r="D21" s="86">
        <v>0.72</v>
      </c>
      <c r="E21" s="88"/>
      <c r="F21" s="88"/>
      <c r="G21" s="88"/>
      <c r="H21" s="88"/>
      <c r="I21" s="87"/>
      <c r="J21" s="89"/>
      <c r="K21" s="88"/>
      <c r="L21" s="88"/>
      <c r="M21" s="88"/>
      <c r="N21" s="88"/>
      <c r="O21" s="89">
        <v>0.9</v>
      </c>
      <c r="P21" s="88"/>
      <c r="Q21" s="88"/>
      <c r="R21" s="89">
        <v>0.74</v>
      </c>
      <c r="S21" s="87"/>
      <c r="T21" s="88"/>
      <c r="U21" s="88"/>
      <c r="V21" s="88"/>
      <c r="W21" s="88"/>
      <c r="X21" s="91"/>
      <c r="Y21" s="88">
        <f t="shared" si="1"/>
        <v>0.7866666667</v>
      </c>
    </row>
    <row r="22" ht="13.5">
      <c r="B22" s="5" t="s">
        <v>39</v>
      </c>
      <c r="C22" s="5" t="str">
        <f>VLOOKUP(B22,Letters!$C$4:$D$27,2,FALSE)</f>
        <v>T</v>
      </c>
      <c r="D22" s="86">
        <v>0.84</v>
      </c>
      <c r="E22" s="88"/>
      <c r="F22" s="88"/>
      <c r="G22" s="88"/>
      <c r="H22" s="88"/>
      <c r="I22" s="88"/>
      <c r="J22" s="89"/>
      <c r="K22" s="88"/>
      <c r="L22" s="88"/>
      <c r="M22" s="88"/>
      <c r="N22" s="88"/>
      <c r="O22" s="89">
        <v>2.12</v>
      </c>
      <c r="P22" s="87"/>
      <c r="Q22" s="88"/>
      <c r="R22" s="89">
        <v>1.14</v>
      </c>
      <c r="S22" s="88"/>
      <c r="T22" s="87"/>
      <c r="U22" s="88"/>
      <c r="V22" s="88"/>
      <c r="W22" s="87"/>
      <c r="X22" s="90"/>
      <c r="Y22" s="88">
        <f t="shared" si="1"/>
        <v>1.366666667</v>
      </c>
    </row>
    <row r="23" ht="13.5">
      <c r="B23" s="5" t="s">
        <v>41</v>
      </c>
      <c r="C23" s="5" t="str">
        <f>VLOOKUP(B23,Letters!$C$4:$D$27,2,FALSE)</f>
        <v>U</v>
      </c>
      <c r="D23" s="86">
        <v>0.91</v>
      </c>
      <c r="E23" s="88"/>
      <c r="F23" s="88"/>
      <c r="G23" s="88"/>
      <c r="H23" s="87"/>
      <c r="I23" s="88"/>
      <c r="J23" s="89"/>
      <c r="K23" s="88"/>
      <c r="L23" s="88"/>
      <c r="M23" s="87"/>
      <c r="N23" s="88"/>
      <c r="O23" s="89">
        <v>1.01</v>
      </c>
      <c r="P23" s="88"/>
      <c r="Q23" s="88"/>
      <c r="R23" s="89">
        <v>1.48</v>
      </c>
      <c r="S23" s="88"/>
      <c r="T23" s="88"/>
      <c r="U23" s="87"/>
      <c r="V23" s="88"/>
      <c r="W23" s="88"/>
      <c r="X23" s="90"/>
      <c r="Y23" s="88">
        <f t="shared" si="1"/>
        <v>1.133333333</v>
      </c>
    </row>
    <row r="24" ht="13.5">
      <c r="B24" s="5" t="s">
        <v>43</v>
      </c>
      <c r="C24" s="5" t="str">
        <f>VLOOKUP(B24,Letters!$C$4:$D$27,2,FALSE)</f>
        <v>V</v>
      </c>
      <c r="D24" s="86">
        <v>1.38</v>
      </c>
      <c r="E24" s="88"/>
      <c r="F24" s="88"/>
      <c r="G24" s="88"/>
      <c r="H24" s="88"/>
      <c r="I24" s="88"/>
      <c r="J24" s="88"/>
      <c r="K24" s="88"/>
      <c r="L24" s="87"/>
      <c r="M24" s="88"/>
      <c r="N24" s="88"/>
      <c r="O24" s="89">
        <v>1.42</v>
      </c>
      <c r="P24" s="88"/>
      <c r="Q24" s="87"/>
      <c r="R24" s="89">
        <v>1.22</v>
      </c>
      <c r="S24" s="88"/>
      <c r="T24" s="88"/>
      <c r="U24" s="88"/>
      <c r="V24" s="87"/>
      <c r="W24" s="88"/>
      <c r="X24" s="90"/>
      <c r="Y24" s="88">
        <f t="shared" si="1"/>
        <v>1.34</v>
      </c>
    </row>
    <row r="25" ht="13.5">
      <c r="B25" s="5" t="s">
        <v>45</v>
      </c>
      <c r="C25" s="5" t="str">
        <f>VLOOKUP(B25,Letters!$C$4:$D$27,2,FALSE)</f>
        <v>W</v>
      </c>
      <c r="D25" s="86">
        <v>1.28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9">
        <v>1.16</v>
      </c>
      <c r="P25" s="87"/>
      <c r="Q25" s="88"/>
      <c r="R25" s="89">
        <v>1.22</v>
      </c>
      <c r="S25" s="88"/>
      <c r="T25" s="87"/>
      <c r="U25" s="88"/>
      <c r="V25" s="88"/>
      <c r="W25" s="87"/>
      <c r="X25" s="90"/>
      <c r="Y25" s="88">
        <f t="shared" si="1"/>
        <v>1.22</v>
      </c>
    </row>
    <row r="26" ht="14.25">
      <c r="B26" s="5" t="s">
        <v>47</v>
      </c>
      <c r="C26" s="5" t="str">
        <f>VLOOKUP(B26,Letters!$C$4:$D$27,2,FALSE)</f>
        <v>E</v>
      </c>
      <c r="D26" s="94">
        <v>1.47</v>
      </c>
      <c r="E26" s="95"/>
      <c r="F26" s="95"/>
      <c r="G26" s="95"/>
      <c r="H26" s="95"/>
      <c r="I26" s="96"/>
      <c r="J26" s="95"/>
      <c r="K26" s="95"/>
      <c r="L26" s="95"/>
      <c r="M26" s="95"/>
      <c r="N26" s="95"/>
      <c r="O26" s="97">
        <v>1.61</v>
      </c>
      <c r="P26" s="95"/>
      <c r="Q26" s="95"/>
      <c r="R26" s="97">
        <v>1.39</v>
      </c>
      <c r="S26" s="96"/>
      <c r="T26" s="95"/>
      <c r="U26" s="95"/>
      <c r="V26" s="95"/>
      <c r="W26" s="95"/>
      <c r="X26" s="98"/>
      <c r="Y26" s="88">
        <f t="shared" si="1"/>
        <v>1.49</v>
      </c>
    </row>
    <row r="27" ht="13.5">
      <c r="B27" s="99"/>
      <c r="C27" s="100" t="s">
        <v>3354</v>
      </c>
      <c r="D27" s="101">
        <f t="shared" ref="D27:X27" si="2">IFERROR(AVERAGE(D6:D26))</f>
        <v>0.93</v>
      </c>
      <c r="E27" s="88">
        <f t="shared" si="2"/>
        <v>1.125</v>
      </c>
      <c r="F27" s="88">
        <f t="shared" si="2"/>
        <v>0.95</v>
      </c>
      <c r="G27" s="88">
        <f t="shared" si="2"/>
        <v>1.365</v>
      </c>
      <c r="H27" s="88">
        <f t="shared" si="2"/>
        <v>1.015</v>
      </c>
      <c r="I27" s="88">
        <f t="shared" si="2"/>
        <v>0.915</v>
      </c>
      <c r="J27" s="88">
        <f t="shared" si="2"/>
        <v>0.735</v>
      </c>
      <c r="K27" s="88">
        <f t="shared" si="2"/>
        <v>0.93</v>
      </c>
      <c r="L27" s="88">
        <f t="shared" si="2"/>
        <v>1</v>
      </c>
      <c r="M27" s="88">
        <f t="shared" si="2"/>
        <v>1.105</v>
      </c>
      <c r="N27" s="88">
        <f t="shared" si="2"/>
        <v>0.935</v>
      </c>
      <c r="O27" s="88">
        <f t="shared" si="2"/>
        <v>1.255555556</v>
      </c>
      <c r="P27" s="88">
        <f t="shared" si="2"/>
        <v>0.67</v>
      </c>
      <c r="Q27" s="88">
        <f t="shared" si="2"/>
        <v>0.825</v>
      </c>
      <c r="R27" s="88">
        <f t="shared" si="2"/>
        <v>1.179444444</v>
      </c>
      <c r="S27" s="88">
        <f t="shared" si="2"/>
        <v>0.835</v>
      </c>
      <c r="T27" s="88">
        <f t="shared" si="2"/>
        <v>1.44</v>
      </c>
      <c r="U27" s="88">
        <f t="shared" si="2"/>
        <v>1.13</v>
      </c>
      <c r="V27" s="88">
        <f t="shared" si="2"/>
        <v>1.51</v>
      </c>
      <c r="W27" s="88">
        <f t="shared" si="2"/>
        <v>1.33</v>
      </c>
      <c r="X27" s="88">
        <f t="shared" si="2"/>
        <v>1.51</v>
      </c>
      <c r="Y27" s="102">
        <f>IFERROR(AVERAGE(D6:X26))</f>
        <v>1.102444444</v>
      </c>
    </row>
    <row r="30" ht="17.25">
      <c r="B30" s="3" t="s">
        <v>49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>
      <c r="C32" s="5"/>
      <c r="D32" s="80" t="s">
        <v>50</v>
      </c>
      <c r="E32" s="5" t="s">
        <v>52</v>
      </c>
      <c r="F32" s="5" t="s">
        <v>53</v>
      </c>
      <c r="G32" s="5" t="s">
        <v>54</v>
      </c>
      <c r="H32" s="5" t="s">
        <v>55</v>
      </c>
      <c r="I32" s="5" t="s">
        <v>56</v>
      </c>
      <c r="J32" s="5" t="s">
        <v>57</v>
      </c>
      <c r="K32" s="5" t="s">
        <v>58</v>
      </c>
      <c r="L32" s="5" t="s">
        <v>60</v>
      </c>
      <c r="M32" s="5" t="s">
        <v>62</v>
      </c>
      <c r="N32" s="5" t="s">
        <v>63</v>
      </c>
      <c r="O32" s="5" t="s">
        <v>64</v>
      </c>
      <c r="P32" s="5" t="s">
        <v>65</v>
      </c>
      <c r="Q32" s="5" t="s">
        <v>66</v>
      </c>
      <c r="R32" s="5" t="s">
        <v>67</v>
      </c>
      <c r="S32" s="5" t="s">
        <v>68</v>
      </c>
      <c r="T32" s="5" t="s">
        <v>69</v>
      </c>
      <c r="U32" s="5" t="s">
        <v>70</v>
      </c>
      <c r="V32" s="5" t="s">
        <v>71</v>
      </c>
      <c r="W32" s="5" t="s">
        <v>72</v>
      </c>
      <c r="X32" s="5" t="s">
        <v>73</v>
      </c>
      <c r="Y32" s="76" t="s">
        <v>75</v>
      </c>
    </row>
    <row r="33" ht="14.25">
      <c r="B33" s="5"/>
      <c r="C33" s="88"/>
      <c r="D33" s="80" t="str">
        <f>VLOOKUP(D32,Letters!$C$29:$D$52,2,FALSE)</f>
        <v>A</v>
      </c>
      <c r="E33" s="5" t="str">
        <f>VLOOKUP(E32,Letters!$C$29:$D$52,2,FALSE)</f>
        <v>B</v>
      </c>
      <c r="F33" s="5" t="str">
        <f>VLOOKUP(F32,Letters!$C$29:$D$52,2,FALSE)</f>
        <v>C</v>
      </c>
      <c r="G33" s="5" t="str">
        <f>VLOOKUP(G32,Letters!$C$29:$D$52,2,FALSE)</f>
        <v>D</v>
      </c>
      <c r="H33" s="5" t="str">
        <f>VLOOKUP(H32,Letters!$C$29:$D$52,2,FALSE)</f>
        <v>E</v>
      </c>
      <c r="I33" s="5" t="str">
        <f>VLOOKUP(I32,Letters!$C$29:$D$52,2,FALSE)</f>
        <v>F</v>
      </c>
      <c r="J33" s="5" t="str">
        <f>VLOOKUP(J32,Letters!$C$29:$D$52,2,FALSE)</f>
        <v>G</v>
      </c>
      <c r="K33" s="5" t="str">
        <f>VLOOKUP(K32,Letters!$C$29:$D$52,2,FALSE)</f>
        <v>H</v>
      </c>
      <c r="L33" s="5" t="str">
        <f>VLOOKUP(L32,Letters!$C$29:$D$52,2,FALSE)</f>
        <v>J</v>
      </c>
      <c r="M33" s="5" t="str">
        <f>VLOOKUP(M32,Letters!$C$29:$D$52,2,FALSE)</f>
        <v>K</v>
      </c>
      <c r="N33" s="5" t="str">
        <f>VLOOKUP(N32,Letters!$C$29:$D$52,2,FALSE)</f>
        <v>L</v>
      </c>
      <c r="O33" s="5" t="str">
        <f>VLOOKUP(O32,Letters!$C$29:$D$52,2,FALSE)</f>
        <v>M</v>
      </c>
      <c r="P33" s="5" t="str">
        <f>VLOOKUP(P32,Letters!$C$29:$D$52,2,FALSE)</f>
        <v>N</v>
      </c>
      <c r="Q33" s="5" t="str">
        <f>VLOOKUP(Q32,Letters!$C$29:$D$52,2,FALSE)</f>
        <v>O</v>
      </c>
      <c r="R33" s="5" t="str">
        <f>VLOOKUP(R32,Letters!$C$29:$D$52,2,FALSE)</f>
        <v>P</v>
      </c>
      <c r="S33" s="5" t="str">
        <f>VLOOKUP(S32,Letters!$C$29:$D$52,2,FALSE)</f>
        <v>W</v>
      </c>
      <c r="T33" s="5" t="str">
        <f>VLOOKUP(T32,Letters!$C$29:$D$52,2,FALSE)</f>
        <v>R</v>
      </c>
      <c r="U33" s="5" t="str">
        <f>VLOOKUP(U32,Letters!$C$29:$D$52,2,FALSE)</f>
        <v>S</v>
      </c>
      <c r="V33" s="5" t="str">
        <f>VLOOKUP(V32,Letters!$C$29:$D$52,2,FALSE)</f>
        <v>T</v>
      </c>
      <c r="W33" s="5" t="str">
        <f>VLOOKUP(W32,Letters!$C$29:$D$52,2,FALSE)</f>
        <v>U</v>
      </c>
      <c r="X33" s="5" t="str">
        <f>VLOOKUP(X32,Letters!$C$29:$D$52,2,FALSE)</f>
        <v>V</v>
      </c>
      <c r="Y33" s="76" t="str">
        <f>VLOOKUP(Y32,Letters!$C$29:$D$52,2,FALSE)</f>
        <v>I</v>
      </c>
      <c r="Z33" s="78" t="s">
        <v>3354</v>
      </c>
    </row>
    <row r="34" ht="13.5">
      <c r="B34" s="100" t="s">
        <v>50</v>
      </c>
      <c r="C34" s="100" t="str">
        <f>VLOOKUP(B34,Letters!$C$29:$D$52,2,FALSE)</f>
        <v>A</v>
      </c>
      <c r="D34" s="81"/>
      <c r="E34" s="85"/>
      <c r="F34" s="85"/>
      <c r="G34" s="85"/>
      <c r="H34" s="85"/>
      <c r="I34" s="85"/>
      <c r="J34" s="85"/>
      <c r="K34" s="85"/>
      <c r="L34" s="85"/>
      <c r="M34" s="83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103"/>
      <c r="Z34" s="88" t="str">
        <f t="shared" ref="Z34:Z55" si="3">IFERROR(AVERAGE(D34:Y34))</f>
        <v/>
      </c>
    </row>
    <row r="35" ht="13.5">
      <c r="B35" s="5" t="s">
        <v>52</v>
      </c>
      <c r="C35" s="5" t="str">
        <f>VLOOKUP(B35,Letters!$C$29:$D$52,2,FALSE)</f>
        <v>B</v>
      </c>
      <c r="D35" s="86"/>
      <c r="E35" s="87"/>
      <c r="F35" s="88"/>
      <c r="G35" s="88"/>
      <c r="H35" s="88"/>
      <c r="I35" s="88"/>
      <c r="J35" s="87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90"/>
      <c r="Z35" s="88" t="str">
        <f t="shared" si="3"/>
        <v/>
      </c>
    </row>
    <row r="36" ht="13.5">
      <c r="B36" s="5" t="s">
        <v>53</v>
      </c>
      <c r="C36" s="5" t="str">
        <f>VLOOKUP(B36,Letters!$C$29:$D$52,2,FALSE)</f>
        <v>C</v>
      </c>
      <c r="D36" s="86"/>
      <c r="E36" s="88"/>
      <c r="F36" s="87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7"/>
      <c r="V36" s="88"/>
      <c r="W36" s="88"/>
      <c r="X36" s="88"/>
      <c r="Y36" s="90"/>
      <c r="Z36" s="88" t="str">
        <f t="shared" si="3"/>
        <v/>
      </c>
    </row>
    <row r="37" ht="13.5">
      <c r="B37" s="5" t="s">
        <v>54</v>
      </c>
      <c r="C37" s="5" t="str">
        <f>VLOOKUP(B37,Letters!$C$29:$D$52,2,FALSE)</f>
        <v>D</v>
      </c>
      <c r="D37" s="101"/>
      <c r="E37" s="88"/>
      <c r="F37" s="88"/>
      <c r="G37" s="87"/>
      <c r="H37" s="88"/>
      <c r="I37" s="88"/>
      <c r="J37" s="88"/>
      <c r="K37" s="88"/>
      <c r="L37" s="88"/>
      <c r="M37" s="88"/>
      <c r="N37" s="88"/>
      <c r="O37" s="88"/>
      <c r="P37" s="88"/>
      <c r="Q37" s="87"/>
      <c r="R37" s="88"/>
      <c r="S37" s="88"/>
      <c r="T37" s="88"/>
      <c r="U37" s="88"/>
      <c r="V37" s="88"/>
      <c r="W37" s="88"/>
      <c r="X37" s="88"/>
      <c r="Y37" s="90"/>
      <c r="Z37" s="88" t="str">
        <f t="shared" si="3"/>
        <v/>
      </c>
    </row>
    <row r="38" ht="13.5">
      <c r="B38" s="5" t="s">
        <v>55</v>
      </c>
      <c r="C38" s="5" t="str">
        <f>VLOOKUP(B38,Letters!$C$29:$D$52,2,FALSE)</f>
        <v>E</v>
      </c>
      <c r="D38" s="101"/>
      <c r="E38" s="88"/>
      <c r="F38" s="88"/>
      <c r="G38" s="88"/>
      <c r="H38" s="87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7"/>
      <c r="Y38" s="90"/>
      <c r="Z38" s="88" t="str">
        <f t="shared" si="3"/>
        <v/>
      </c>
    </row>
    <row r="39" ht="13.5">
      <c r="B39" s="5" t="s">
        <v>56</v>
      </c>
      <c r="C39" s="5" t="str">
        <f>VLOOKUP(B39,Letters!$C$29:$D$52,2,FALSE)</f>
        <v>F</v>
      </c>
      <c r="D39" s="101"/>
      <c r="E39" s="88"/>
      <c r="F39" s="88"/>
      <c r="G39" s="88"/>
      <c r="H39" s="88"/>
      <c r="I39" s="87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7"/>
      <c r="W39" s="88"/>
      <c r="X39" s="88"/>
      <c r="Y39" s="90"/>
      <c r="Z39" s="88" t="str">
        <f t="shared" si="3"/>
        <v/>
      </c>
    </row>
    <row r="40" ht="13.5">
      <c r="B40" s="5" t="s">
        <v>57</v>
      </c>
      <c r="C40" s="5" t="str">
        <f>VLOOKUP(B40,Letters!$C$29:$D$52,2,FALSE)</f>
        <v>G</v>
      </c>
      <c r="D40" s="101"/>
      <c r="E40" s="87"/>
      <c r="F40" s="88"/>
      <c r="G40" s="88"/>
      <c r="H40" s="88"/>
      <c r="I40" s="88"/>
      <c r="J40" s="87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90"/>
      <c r="Z40" s="88" t="str">
        <f t="shared" si="3"/>
        <v/>
      </c>
    </row>
    <row r="41" ht="13.5">
      <c r="B41" s="5" t="s">
        <v>58</v>
      </c>
      <c r="C41" s="5" t="str">
        <f>VLOOKUP(B41,Letters!$C$29:$D$52,2,FALSE)</f>
        <v>H</v>
      </c>
      <c r="D41" s="101"/>
      <c r="E41" s="88"/>
      <c r="F41" s="88"/>
      <c r="G41" s="88"/>
      <c r="H41" s="88"/>
      <c r="I41" s="88"/>
      <c r="J41" s="88"/>
      <c r="K41" s="87"/>
      <c r="L41" s="87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90"/>
      <c r="Z41" s="88" t="str">
        <f t="shared" si="3"/>
        <v/>
      </c>
    </row>
    <row r="42" ht="13.5">
      <c r="B42" s="5" t="s">
        <v>60</v>
      </c>
      <c r="C42" s="5" t="str">
        <f>VLOOKUP(B42,Letters!$C$29:$D$52,2,FALSE)</f>
        <v>J</v>
      </c>
      <c r="D42" s="101"/>
      <c r="E42" s="88"/>
      <c r="F42" s="88"/>
      <c r="G42" s="88"/>
      <c r="H42" s="88"/>
      <c r="I42" s="88"/>
      <c r="J42" s="88"/>
      <c r="K42" s="87"/>
      <c r="L42" s="87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90"/>
      <c r="Z42" s="88" t="str">
        <f t="shared" si="3"/>
        <v/>
      </c>
    </row>
    <row r="43" ht="13.5">
      <c r="B43" s="5" t="s">
        <v>62</v>
      </c>
      <c r="C43" s="5" t="str">
        <f>VLOOKUP(B43,Letters!$C$29:$D$52,2,FALSE)</f>
        <v>K</v>
      </c>
      <c r="D43" s="92"/>
      <c r="E43" s="88"/>
      <c r="F43" s="88"/>
      <c r="G43" s="88"/>
      <c r="H43" s="88"/>
      <c r="I43" s="88"/>
      <c r="J43" s="89"/>
      <c r="K43" s="88"/>
      <c r="L43" s="88"/>
      <c r="M43" s="87"/>
      <c r="N43" s="88"/>
      <c r="O43" s="88"/>
      <c r="P43" s="88"/>
      <c r="Q43" s="88"/>
      <c r="R43" s="89"/>
      <c r="S43" s="88"/>
      <c r="T43" s="88"/>
      <c r="U43" s="88"/>
      <c r="V43" s="88"/>
      <c r="W43" s="88"/>
      <c r="X43" s="88"/>
      <c r="Y43" s="90"/>
      <c r="Z43" s="88" t="str">
        <f t="shared" si="3"/>
        <v/>
      </c>
    </row>
    <row r="44" ht="13.5">
      <c r="B44" s="5" t="s">
        <v>63</v>
      </c>
      <c r="C44" s="5" t="str">
        <f>VLOOKUP(B44,Letters!$C$29:$D$52,2,FALSE)</f>
        <v>L</v>
      </c>
      <c r="D44" s="101"/>
      <c r="E44" s="88"/>
      <c r="F44" s="88"/>
      <c r="G44" s="88"/>
      <c r="H44" s="88"/>
      <c r="I44" s="88"/>
      <c r="J44" s="89"/>
      <c r="K44" s="88"/>
      <c r="L44" s="88"/>
      <c r="M44" s="88"/>
      <c r="N44" s="87"/>
      <c r="O44" s="88"/>
      <c r="P44" s="87"/>
      <c r="Q44" s="88"/>
      <c r="R44" s="88"/>
      <c r="S44" s="88"/>
      <c r="T44" s="88"/>
      <c r="U44" s="88"/>
      <c r="V44" s="88"/>
      <c r="W44" s="88"/>
      <c r="X44" s="88"/>
      <c r="Y44" s="90"/>
      <c r="Z44" s="88" t="str">
        <f t="shared" si="3"/>
        <v/>
      </c>
    </row>
    <row r="45" ht="13.5">
      <c r="B45" s="5" t="s">
        <v>64</v>
      </c>
      <c r="C45" s="5" t="str">
        <f>VLOOKUP(B45,Letters!$C$29:$D$52,2,FALSE)</f>
        <v>M</v>
      </c>
      <c r="D45" s="101"/>
      <c r="E45" s="88"/>
      <c r="F45" s="88"/>
      <c r="G45" s="88"/>
      <c r="H45" s="88"/>
      <c r="I45" s="88"/>
      <c r="J45" s="89"/>
      <c r="K45" s="88"/>
      <c r="L45" s="88"/>
      <c r="M45" s="88"/>
      <c r="N45" s="88"/>
      <c r="O45" s="87"/>
      <c r="P45" s="88"/>
      <c r="Q45" s="88"/>
      <c r="R45" s="88"/>
      <c r="S45" s="88"/>
      <c r="T45" s="88"/>
      <c r="U45" s="88"/>
      <c r="V45" s="88"/>
      <c r="W45" s="88"/>
      <c r="X45" s="88"/>
      <c r="Y45" s="87"/>
      <c r="Z45" s="88" t="str">
        <f t="shared" si="3"/>
        <v/>
      </c>
    </row>
    <row r="46" ht="13.5">
      <c r="B46" s="5" t="s">
        <v>65</v>
      </c>
      <c r="C46" s="5" t="str">
        <f>VLOOKUP(B46,Letters!$C$29:$D$52,2,FALSE)</f>
        <v>N</v>
      </c>
      <c r="D46" s="101"/>
      <c r="E46" s="88"/>
      <c r="F46" s="88"/>
      <c r="G46" s="88"/>
      <c r="H46" s="88"/>
      <c r="I46" s="88"/>
      <c r="J46" s="89"/>
      <c r="K46" s="88"/>
      <c r="L46" s="88"/>
      <c r="M46" s="88"/>
      <c r="N46" s="87"/>
      <c r="O46" s="88"/>
      <c r="P46" s="87"/>
      <c r="Q46" s="88"/>
      <c r="R46" s="88"/>
      <c r="S46" s="88"/>
      <c r="T46" s="88"/>
      <c r="U46" s="88"/>
      <c r="V46" s="88"/>
      <c r="W46" s="88"/>
      <c r="X46" s="88"/>
      <c r="Y46" s="90"/>
      <c r="Z46" s="88" t="str">
        <f t="shared" si="3"/>
        <v/>
      </c>
    </row>
    <row r="47" ht="13.5">
      <c r="B47" s="5" t="s">
        <v>66</v>
      </c>
      <c r="C47" s="5" t="str">
        <f>VLOOKUP(B47,Letters!$C$29:$D$52,2,FALSE)</f>
        <v>O</v>
      </c>
      <c r="D47" s="101"/>
      <c r="E47" s="88"/>
      <c r="F47" s="88"/>
      <c r="G47" s="87"/>
      <c r="H47" s="88"/>
      <c r="I47" s="88"/>
      <c r="J47" s="89"/>
      <c r="K47" s="88"/>
      <c r="L47" s="88"/>
      <c r="M47" s="88"/>
      <c r="N47" s="88"/>
      <c r="O47" s="88"/>
      <c r="P47" s="88"/>
      <c r="Q47" s="87"/>
      <c r="R47" s="88"/>
      <c r="S47" s="88"/>
      <c r="T47" s="88"/>
      <c r="U47" s="88"/>
      <c r="V47" s="88"/>
      <c r="W47" s="88"/>
      <c r="X47" s="88"/>
      <c r="Y47" s="90"/>
      <c r="Z47" s="88" t="str">
        <f t="shared" si="3"/>
        <v/>
      </c>
    </row>
    <row r="48" ht="13.5">
      <c r="B48" s="5" t="s">
        <v>67</v>
      </c>
      <c r="C48" s="5" t="str">
        <f>VLOOKUP(B48,Letters!$C$29:$D$52,2,FALSE)</f>
        <v>P</v>
      </c>
      <c r="D48" s="101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7"/>
      <c r="S48" s="88"/>
      <c r="T48" s="87"/>
      <c r="U48" s="88"/>
      <c r="V48" s="88"/>
      <c r="W48" s="88"/>
      <c r="X48" s="88"/>
      <c r="Y48" s="90"/>
      <c r="Z48" s="88" t="str">
        <f t="shared" si="3"/>
        <v/>
      </c>
    </row>
    <row r="49" ht="13.5">
      <c r="B49" s="5" t="s">
        <v>68</v>
      </c>
      <c r="C49" s="5" t="str">
        <f>VLOOKUP(B49,Letters!$C$29:$D$52,2,FALSE)</f>
        <v>W</v>
      </c>
      <c r="D49" s="101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7"/>
      <c r="T49" s="88"/>
      <c r="U49" s="88"/>
      <c r="V49" s="88"/>
      <c r="W49" s="87"/>
      <c r="X49" s="88"/>
      <c r="Y49" s="90"/>
      <c r="Z49" s="88" t="str">
        <f t="shared" si="3"/>
        <v/>
      </c>
    </row>
    <row r="50" ht="13.5">
      <c r="B50" s="5" t="s">
        <v>69</v>
      </c>
      <c r="C50" s="5" t="str">
        <f>VLOOKUP(B50,Letters!$C$29:$D$52,2,FALSE)</f>
        <v>R</v>
      </c>
      <c r="D50" s="101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7"/>
      <c r="S50" s="88"/>
      <c r="T50" s="87"/>
      <c r="U50" s="88"/>
      <c r="V50" s="88"/>
      <c r="W50" s="88"/>
      <c r="X50" s="88"/>
      <c r="Y50" s="90"/>
      <c r="Z50" s="88" t="str">
        <f t="shared" si="3"/>
        <v/>
      </c>
    </row>
    <row r="51" ht="13.5">
      <c r="B51" s="5" t="s">
        <v>70</v>
      </c>
      <c r="C51" s="5" t="str">
        <f>VLOOKUP(B51,Letters!$C$29:$D$52,2,FALSE)</f>
        <v>S</v>
      </c>
      <c r="D51" s="101"/>
      <c r="E51" s="88"/>
      <c r="F51" s="87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7"/>
      <c r="V51" s="88"/>
      <c r="W51" s="88"/>
      <c r="X51" s="88"/>
      <c r="Y51" s="90"/>
      <c r="Z51" s="88" t="str">
        <f t="shared" si="3"/>
        <v/>
      </c>
    </row>
    <row r="52" ht="13.5">
      <c r="B52" s="5" t="s">
        <v>71</v>
      </c>
      <c r="C52" s="5" t="str">
        <f>VLOOKUP(B52,Letters!$C$29:$D$52,2,FALSE)</f>
        <v>T</v>
      </c>
      <c r="D52" s="101"/>
      <c r="E52" s="88"/>
      <c r="F52" s="88"/>
      <c r="G52" s="88"/>
      <c r="H52" s="88"/>
      <c r="I52" s="87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7"/>
      <c r="W52" s="88"/>
      <c r="X52" s="88"/>
      <c r="Y52" s="90"/>
      <c r="Z52" s="88" t="str">
        <f t="shared" si="3"/>
        <v/>
      </c>
    </row>
    <row r="53" ht="13.5">
      <c r="B53" s="5" t="s">
        <v>72</v>
      </c>
      <c r="C53" s="5" t="str">
        <f>VLOOKUP(B53,Letters!$C$29:$D$52,2,FALSE)</f>
        <v>U</v>
      </c>
      <c r="D53" s="101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7"/>
      <c r="T53" s="88"/>
      <c r="U53" s="88"/>
      <c r="V53" s="88"/>
      <c r="W53" s="87"/>
      <c r="X53" s="88"/>
      <c r="Y53" s="90"/>
      <c r="Z53" s="88" t="str">
        <f t="shared" si="3"/>
        <v/>
      </c>
    </row>
    <row r="54" ht="13.5">
      <c r="B54" s="5" t="s">
        <v>73</v>
      </c>
      <c r="C54" s="5" t="str">
        <f>VLOOKUP(B54,Letters!$C$29:$D$52,2,FALSE)</f>
        <v>V</v>
      </c>
      <c r="D54" s="101"/>
      <c r="E54" s="88"/>
      <c r="F54" s="88"/>
      <c r="G54" s="88"/>
      <c r="H54" s="87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7"/>
      <c r="Y54" s="90"/>
      <c r="Z54" s="88" t="str">
        <f t="shared" si="3"/>
        <v/>
      </c>
    </row>
    <row r="55" ht="14.25">
      <c r="B55" s="78" t="s">
        <v>75</v>
      </c>
      <c r="C55" s="78" t="str">
        <f>VLOOKUP(B55,Letters!$C$29:$D$52,2,FALSE)</f>
        <v>I</v>
      </c>
      <c r="D55" s="101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7"/>
      <c r="P55" s="88"/>
      <c r="Q55" s="88"/>
      <c r="R55" s="88"/>
      <c r="S55" s="88"/>
      <c r="T55" s="88"/>
      <c r="U55" s="88"/>
      <c r="V55" s="88"/>
      <c r="W55" s="88"/>
      <c r="X55" s="88"/>
      <c r="Y55" s="91"/>
      <c r="Z55" s="88" t="str">
        <f t="shared" si="3"/>
        <v/>
      </c>
    </row>
    <row r="56" ht="13.5">
      <c r="C56" s="5" t="s">
        <v>3354</v>
      </c>
      <c r="D56" s="104" t="str">
        <f t="shared" ref="D56:Y56" si="4">IFERROR(AVERAGE(D34:D55))</f>
        <v/>
      </c>
      <c r="E56" s="85" t="str">
        <f t="shared" si="4"/>
        <v/>
      </c>
      <c r="F56" s="85" t="str">
        <f t="shared" si="4"/>
        <v/>
      </c>
      <c r="G56" s="85" t="str">
        <f t="shared" si="4"/>
        <v/>
      </c>
      <c r="H56" s="85" t="str">
        <f t="shared" si="4"/>
        <v/>
      </c>
      <c r="I56" s="85" t="str">
        <f t="shared" si="4"/>
        <v/>
      </c>
      <c r="J56" s="85" t="str">
        <f t="shared" si="4"/>
        <v/>
      </c>
      <c r="K56" s="85" t="str">
        <f t="shared" si="4"/>
        <v/>
      </c>
      <c r="L56" s="85" t="str">
        <f t="shared" si="4"/>
        <v/>
      </c>
      <c r="M56" s="85" t="str">
        <f t="shared" si="4"/>
        <v/>
      </c>
      <c r="N56" s="85" t="str">
        <f t="shared" si="4"/>
        <v/>
      </c>
      <c r="O56" s="85" t="str">
        <f t="shared" si="4"/>
        <v/>
      </c>
      <c r="P56" s="85" t="str">
        <f t="shared" si="4"/>
        <v/>
      </c>
      <c r="Q56" s="85" t="str">
        <f t="shared" si="4"/>
        <v/>
      </c>
      <c r="R56" s="85" t="str">
        <f t="shared" si="4"/>
        <v/>
      </c>
      <c r="S56" s="85" t="str">
        <f t="shared" si="4"/>
        <v/>
      </c>
      <c r="T56" s="85" t="str">
        <f t="shared" si="4"/>
        <v/>
      </c>
      <c r="U56" s="85" t="str">
        <f t="shared" si="4"/>
        <v/>
      </c>
      <c r="V56" s="85" t="str">
        <f t="shared" si="4"/>
        <v/>
      </c>
      <c r="W56" s="85" t="str">
        <f t="shared" si="4"/>
        <v/>
      </c>
      <c r="X56" s="85" t="str">
        <f t="shared" si="4"/>
        <v/>
      </c>
      <c r="Y56" s="103" t="str">
        <f t="shared" si="4"/>
        <v/>
      </c>
      <c r="Z56" s="102" t="str">
        <f>IFERROR(AVERAGE(D34:Y55))</f>
        <v/>
      </c>
    </row>
    <row r="57">
      <c r="B57" s="5"/>
    </row>
    <row r="59" ht="17.25">
      <c r="B59" s="3" t="s">
        <v>77</v>
      </c>
      <c r="C59" s="5"/>
      <c r="D59" s="5"/>
      <c r="E59" s="5"/>
      <c r="F59" s="5"/>
    </row>
    <row r="60">
      <c r="C60" s="5"/>
      <c r="D60" s="5"/>
      <c r="E60" s="5"/>
      <c r="F60" s="5"/>
    </row>
    <row r="61" ht="13.5">
      <c r="C61" s="76"/>
      <c r="D61" s="5" t="s">
        <v>78</v>
      </c>
      <c r="E61" s="5" t="s">
        <v>80</v>
      </c>
      <c r="F61" s="5" t="s">
        <v>81</v>
      </c>
      <c r="G61" s="5" t="s">
        <v>82</v>
      </c>
      <c r="H61" s="5" t="s">
        <v>83</v>
      </c>
      <c r="I61" s="5" t="s">
        <v>84</v>
      </c>
      <c r="J61" s="5" t="s">
        <v>85</v>
      </c>
      <c r="K61" s="5" t="s">
        <v>86</v>
      </c>
      <c r="L61" s="5" t="s">
        <v>87</v>
      </c>
      <c r="M61" s="5" t="s">
        <v>89</v>
      </c>
      <c r="N61" s="5" t="s">
        <v>90</v>
      </c>
      <c r="O61" s="5" t="s">
        <v>91</v>
      </c>
      <c r="P61" s="5" t="s">
        <v>92</v>
      </c>
      <c r="Q61" s="5" t="s">
        <v>93</v>
      </c>
      <c r="R61" s="5" t="s">
        <v>94</v>
      </c>
      <c r="S61" s="5" t="s">
        <v>95</v>
      </c>
      <c r="T61" s="5" t="s">
        <v>96</v>
      </c>
      <c r="U61" s="5" t="s">
        <v>97</v>
      </c>
      <c r="V61" s="5" t="s">
        <v>98</v>
      </c>
      <c r="W61" s="5" t="s">
        <v>99</v>
      </c>
      <c r="X61" s="5" t="s">
        <v>100</v>
      </c>
      <c r="Y61" s="5" t="s">
        <v>101</v>
      </c>
      <c r="Z61" s="5" t="s">
        <v>103</v>
      </c>
      <c r="AA61" s="77"/>
    </row>
    <row r="62" ht="14.25">
      <c r="B62" s="78"/>
      <c r="C62" s="88"/>
      <c r="D62" s="105" t="str">
        <f>VLOOKUP(D61,Letters!$C$56:$D$79,2,FALSE)</f>
        <v>A</v>
      </c>
      <c r="E62" s="78" t="str">
        <f>VLOOKUP(E61,Letters!$C$56:$D$79,2,FALSE)</f>
        <v>B</v>
      </c>
      <c r="F62" s="78" t="str">
        <f>VLOOKUP(F61,Letters!$C$56:$D$79,2,FALSE)</f>
        <v>C</v>
      </c>
      <c r="G62" s="78" t="str">
        <f>VLOOKUP(G61,Letters!$C$56:$D$79,2,FALSE)</f>
        <v>D</v>
      </c>
      <c r="H62" s="78" t="str">
        <f>VLOOKUP(H61,Letters!$C$56:$D$79,2,FALSE)</f>
        <v>E</v>
      </c>
      <c r="I62" s="78" t="str">
        <f>VLOOKUP(I61,Letters!$C$56:$D$79,2,FALSE)</f>
        <v>F</v>
      </c>
      <c r="J62" s="78" t="str">
        <f>VLOOKUP(J61,Letters!$C$56:$D$79,2,FALSE)</f>
        <v>G</v>
      </c>
      <c r="K62" s="78" t="str">
        <f>VLOOKUP(K61,Letters!$C$56:$D$79,2,FALSE)</f>
        <v>H</v>
      </c>
      <c r="L62" s="78" t="str">
        <f>VLOOKUP(L61,Letters!$C$56:$D$79,2,FALSE)</f>
        <v>X</v>
      </c>
      <c r="M62" s="78" t="str">
        <f>VLOOKUP(M61,Letters!$C$56:$D$79,2,FALSE)</f>
        <v>J</v>
      </c>
      <c r="N62" s="78" t="str">
        <f>VLOOKUP(N61,Letters!$C$56:$D$79,2,FALSE)</f>
        <v>K</v>
      </c>
      <c r="O62" s="78" t="str">
        <f>VLOOKUP(O61,Letters!$C$56:$D$79,2,FALSE)</f>
        <v>L</v>
      </c>
      <c r="P62" s="78" t="str">
        <f>VLOOKUP(P61,Letters!$C$56:$D$79,2,FALSE)</f>
        <v>M</v>
      </c>
      <c r="Q62" s="78" t="str">
        <f>VLOOKUP(Q61,Letters!$C$56:$D$79,2,FALSE)</f>
        <v>N</v>
      </c>
      <c r="R62" s="78" t="str">
        <f>VLOOKUP(R61,Letters!$C$56:$D$79,2,FALSE)</f>
        <v>O</v>
      </c>
      <c r="S62" s="78" t="str">
        <f>VLOOKUP(S61,Letters!$C$56:$D$79,2,FALSE)</f>
        <v>P</v>
      </c>
      <c r="T62" s="78" t="str">
        <f>VLOOKUP(T61,Letters!$C$56:$D$79,2,FALSE)</f>
        <v>W</v>
      </c>
      <c r="U62" s="78" t="str">
        <f>VLOOKUP(U61,Letters!$C$56:$D$79,2,FALSE)</f>
        <v>R</v>
      </c>
      <c r="V62" s="78" t="str">
        <f>VLOOKUP(V61,Letters!$C$56:$D$79,2,FALSE)</f>
        <v>S</v>
      </c>
      <c r="W62" s="78" t="str">
        <f>VLOOKUP(W61,Letters!$C$56:$D$79,2,FALSE)</f>
        <v>T</v>
      </c>
      <c r="X62" s="78" t="str">
        <f>VLOOKUP(X61,Letters!$C$56:$D$79,2,FALSE)</f>
        <v>U</v>
      </c>
      <c r="Y62" s="78" t="str">
        <f>VLOOKUP(Y61,Letters!$C$56:$D$79,2,FALSE)</f>
        <v>V</v>
      </c>
      <c r="Z62" s="79" t="str">
        <f>VLOOKUP(Z61,Letters!$C$56:$D$79,2,FALSE)</f>
        <v>I</v>
      </c>
      <c r="AA62" s="105" t="s">
        <v>3354</v>
      </c>
    </row>
    <row r="63" ht="13.5">
      <c r="B63" s="5" t="s">
        <v>78</v>
      </c>
      <c r="C63" s="106" t="str">
        <f>VLOOKUP(B63,Letters!$C$56:$D$79,2,FALSE)</f>
        <v>A</v>
      </c>
      <c r="D63" s="87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103"/>
      <c r="AA63" s="88" t="str">
        <f t="shared" ref="AA63:AA85" si="5">IFERROR(AVERAGE(D63:Z63))</f>
        <v/>
      </c>
    </row>
    <row r="64" ht="13.5">
      <c r="B64" s="5" t="s">
        <v>80</v>
      </c>
      <c r="C64" s="76" t="str">
        <f>VLOOKUP(B64,Letters!$C$56:$D$79,2,FALSE)</f>
        <v>B</v>
      </c>
      <c r="D64" s="89"/>
      <c r="E64" s="87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90"/>
      <c r="AA64" s="88" t="str">
        <f t="shared" si="5"/>
        <v/>
      </c>
    </row>
    <row r="65" ht="13.5">
      <c r="B65" s="5" t="s">
        <v>81</v>
      </c>
      <c r="C65" s="76" t="str">
        <f>VLOOKUP(B65,Letters!$C$56:$D$79,2,FALSE)</f>
        <v>C</v>
      </c>
      <c r="D65" s="89"/>
      <c r="E65" s="88"/>
      <c r="F65" s="87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90"/>
      <c r="AA65" s="88" t="str">
        <f t="shared" si="5"/>
        <v/>
      </c>
    </row>
    <row r="66" ht="13.5">
      <c r="B66" s="5" t="s">
        <v>82</v>
      </c>
      <c r="C66" s="76" t="str">
        <f>VLOOKUP(B66,Letters!$C$56:$D$79,2,FALSE)</f>
        <v>D</v>
      </c>
      <c r="D66" s="88"/>
      <c r="E66" s="88"/>
      <c r="F66" s="88"/>
      <c r="G66" s="87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90"/>
      <c r="AA66" s="88" t="str">
        <f t="shared" si="5"/>
        <v/>
      </c>
    </row>
    <row r="67" ht="13.5">
      <c r="B67" s="5" t="s">
        <v>83</v>
      </c>
      <c r="C67" s="76" t="str">
        <f>VLOOKUP(B67,Letters!$C$56:$D$79,2,FALSE)</f>
        <v>E</v>
      </c>
      <c r="D67" s="88"/>
      <c r="E67" s="88"/>
      <c r="F67" s="88"/>
      <c r="G67" s="88"/>
      <c r="H67" s="87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90"/>
      <c r="AA67" s="88" t="str">
        <f t="shared" si="5"/>
        <v/>
      </c>
    </row>
    <row r="68" ht="13.5">
      <c r="B68" s="5" t="s">
        <v>84</v>
      </c>
      <c r="C68" s="76" t="str">
        <f>VLOOKUP(B68,Letters!$C$56:$D$79,2,FALSE)</f>
        <v>F</v>
      </c>
      <c r="D68" s="88"/>
      <c r="E68" s="88"/>
      <c r="F68" s="88"/>
      <c r="G68" s="88"/>
      <c r="H68" s="88"/>
      <c r="I68" s="87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90"/>
      <c r="AA68" s="88" t="str">
        <f t="shared" si="5"/>
        <v/>
      </c>
    </row>
    <row r="69" ht="13.5">
      <c r="B69" s="5" t="s">
        <v>85</v>
      </c>
      <c r="C69" s="76" t="str">
        <f>VLOOKUP(B69,Letters!$C$56:$D$79,2,FALSE)</f>
        <v>G</v>
      </c>
      <c r="D69" s="88"/>
      <c r="E69" s="88"/>
      <c r="F69" s="88"/>
      <c r="G69" s="88"/>
      <c r="H69" s="88"/>
      <c r="I69" s="88"/>
      <c r="J69" s="87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90"/>
      <c r="AA69" s="88" t="str">
        <f t="shared" si="5"/>
        <v/>
      </c>
    </row>
    <row r="70" ht="13.5">
      <c r="B70" s="5" t="s">
        <v>86</v>
      </c>
      <c r="C70" s="76" t="str">
        <f>VLOOKUP(B70,Letters!$C$56:$D$79,2,FALSE)</f>
        <v>H</v>
      </c>
      <c r="D70" s="88"/>
      <c r="E70" s="88"/>
      <c r="F70" s="88"/>
      <c r="G70" s="88"/>
      <c r="H70" s="88"/>
      <c r="I70" s="88"/>
      <c r="J70" s="88"/>
      <c r="K70" s="87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90"/>
      <c r="AA70" s="88" t="str">
        <f t="shared" si="5"/>
        <v/>
      </c>
    </row>
    <row r="71" ht="13.5">
      <c r="B71" s="5" t="s">
        <v>87</v>
      </c>
      <c r="C71" s="76" t="str">
        <f>VLOOKUP(B71,Letters!$C$56:$D$79,2,FALSE)</f>
        <v>X</v>
      </c>
      <c r="D71" s="88"/>
      <c r="E71" s="88"/>
      <c r="F71" s="88"/>
      <c r="G71" s="88"/>
      <c r="H71" s="88"/>
      <c r="I71" s="88"/>
      <c r="J71" s="88"/>
      <c r="K71" s="88"/>
      <c r="L71" s="87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90"/>
      <c r="AA71" s="88" t="str">
        <f t="shared" si="5"/>
        <v/>
      </c>
    </row>
    <row r="72" ht="13.5">
      <c r="B72" s="5" t="s">
        <v>89</v>
      </c>
      <c r="C72" s="76" t="str">
        <f>VLOOKUP(B72,Letters!$C$56:$D$79,2,FALSE)</f>
        <v>J</v>
      </c>
      <c r="D72" s="88"/>
      <c r="E72" s="88"/>
      <c r="F72" s="88"/>
      <c r="G72" s="88"/>
      <c r="H72" s="88"/>
      <c r="I72" s="88"/>
      <c r="J72" s="89"/>
      <c r="K72" s="88"/>
      <c r="L72" s="88"/>
      <c r="M72" s="87"/>
      <c r="N72" s="88"/>
      <c r="O72" s="88"/>
      <c r="P72" s="88"/>
      <c r="Q72" s="88"/>
      <c r="R72" s="89"/>
      <c r="S72" s="89"/>
      <c r="T72" s="88"/>
      <c r="U72" s="88"/>
      <c r="V72" s="88"/>
      <c r="W72" s="88"/>
      <c r="X72" s="88"/>
      <c r="Y72" s="88"/>
      <c r="Z72" s="90"/>
      <c r="AA72" s="88" t="str">
        <f t="shared" si="5"/>
        <v/>
      </c>
    </row>
    <row r="73" ht="13.5">
      <c r="B73" s="5" t="s">
        <v>90</v>
      </c>
      <c r="C73" s="76" t="str">
        <f>VLOOKUP(B73,Letters!$C$56:$D$79,2,FALSE)</f>
        <v>K</v>
      </c>
      <c r="D73" s="88"/>
      <c r="E73" s="88"/>
      <c r="F73" s="88"/>
      <c r="G73" s="88"/>
      <c r="H73" s="88"/>
      <c r="I73" s="88"/>
      <c r="J73" s="89"/>
      <c r="K73" s="88"/>
      <c r="L73" s="88"/>
      <c r="M73" s="88"/>
      <c r="N73" s="87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90"/>
      <c r="AA73" s="88" t="str">
        <f t="shared" si="5"/>
        <v/>
      </c>
    </row>
    <row r="74" ht="13.5">
      <c r="B74" s="5" t="s">
        <v>91</v>
      </c>
      <c r="C74" s="76" t="str">
        <f>VLOOKUP(B74,Letters!$C$56:$D$79,2,FALSE)</f>
        <v>L</v>
      </c>
      <c r="D74" s="88"/>
      <c r="E74" s="88"/>
      <c r="F74" s="88"/>
      <c r="G74" s="88"/>
      <c r="H74" s="88"/>
      <c r="I74" s="88"/>
      <c r="J74" s="89"/>
      <c r="K74" s="88"/>
      <c r="L74" s="88"/>
      <c r="M74" s="88"/>
      <c r="N74" s="88"/>
      <c r="O74" s="87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90"/>
      <c r="AA74" s="88" t="str">
        <f t="shared" si="5"/>
        <v/>
      </c>
    </row>
    <row r="75" ht="13.5">
      <c r="B75" s="5" t="s">
        <v>92</v>
      </c>
      <c r="C75" s="76" t="str">
        <f>VLOOKUP(B75,Letters!$C$56:$D$79,2,FALSE)</f>
        <v>M</v>
      </c>
      <c r="D75" s="88"/>
      <c r="E75" s="88"/>
      <c r="F75" s="88"/>
      <c r="G75" s="88"/>
      <c r="H75" s="88"/>
      <c r="I75" s="88"/>
      <c r="J75" s="89"/>
      <c r="K75" s="88"/>
      <c r="L75" s="88"/>
      <c r="M75" s="88"/>
      <c r="N75" s="88"/>
      <c r="O75" s="88"/>
      <c r="P75" s="87"/>
      <c r="Q75" s="88"/>
      <c r="R75" s="88"/>
      <c r="S75" s="88"/>
      <c r="T75" s="88"/>
      <c r="U75" s="88"/>
      <c r="V75" s="88"/>
      <c r="W75" s="88"/>
      <c r="X75" s="88"/>
      <c r="Y75" s="88"/>
      <c r="Z75" s="90"/>
      <c r="AA75" s="88" t="str">
        <f t="shared" si="5"/>
        <v/>
      </c>
    </row>
    <row r="76" ht="13.5">
      <c r="B76" s="5" t="s">
        <v>93</v>
      </c>
      <c r="C76" s="76" t="str">
        <f>VLOOKUP(B76,Letters!$C$56:$D$79,2,FALSE)</f>
        <v>N</v>
      </c>
      <c r="D76" s="88"/>
      <c r="E76" s="88"/>
      <c r="F76" s="88"/>
      <c r="G76" s="88"/>
      <c r="H76" s="88"/>
      <c r="I76" s="88"/>
      <c r="J76" s="89"/>
      <c r="K76" s="88"/>
      <c r="L76" s="88"/>
      <c r="M76" s="88"/>
      <c r="N76" s="88"/>
      <c r="O76" s="88"/>
      <c r="P76" s="88"/>
      <c r="Q76" s="87"/>
      <c r="R76" s="88"/>
      <c r="S76" s="88"/>
      <c r="T76" s="88"/>
      <c r="U76" s="88"/>
      <c r="V76" s="88"/>
      <c r="W76" s="88"/>
      <c r="X76" s="88"/>
      <c r="Y76" s="88"/>
      <c r="Z76" s="90"/>
      <c r="AA76" s="88" t="str">
        <f t="shared" si="5"/>
        <v/>
      </c>
    </row>
    <row r="77" ht="13.5">
      <c r="B77" s="5" t="s">
        <v>94</v>
      </c>
      <c r="C77" s="76" t="str">
        <f>VLOOKUP(B77,Letters!$C$56:$D$79,2,FALSE)</f>
        <v>O</v>
      </c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7"/>
      <c r="S77" s="88"/>
      <c r="T77" s="88"/>
      <c r="U77" s="88"/>
      <c r="V77" s="88"/>
      <c r="W77" s="88"/>
      <c r="X77" s="88"/>
      <c r="Y77" s="88"/>
      <c r="Z77" s="90"/>
      <c r="AA77" s="88" t="str">
        <f t="shared" si="5"/>
        <v/>
      </c>
    </row>
    <row r="78" ht="13.5">
      <c r="B78" s="5" t="s">
        <v>95</v>
      </c>
      <c r="C78" s="76" t="str">
        <f>VLOOKUP(B78,Letters!$C$56:$D$79,2,FALSE)</f>
        <v>P</v>
      </c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7"/>
      <c r="T78" s="88"/>
      <c r="U78" s="88"/>
      <c r="V78" s="88"/>
      <c r="W78" s="88"/>
      <c r="X78" s="88"/>
      <c r="Y78" s="88"/>
      <c r="Z78" s="90"/>
      <c r="AA78" s="88" t="str">
        <f t="shared" si="5"/>
        <v/>
      </c>
    </row>
    <row r="79" ht="13.5">
      <c r="B79" s="5" t="s">
        <v>96</v>
      </c>
      <c r="C79" s="76" t="str">
        <f>VLOOKUP(B79,Letters!$C$56:$D$79,2,FALSE)</f>
        <v>W</v>
      </c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7"/>
      <c r="U79" s="88"/>
      <c r="V79" s="88"/>
      <c r="W79" s="88"/>
      <c r="X79" s="88"/>
      <c r="Y79" s="88"/>
      <c r="Z79" s="90"/>
      <c r="AA79" s="88" t="str">
        <f t="shared" si="5"/>
        <v/>
      </c>
    </row>
    <row r="80" ht="13.5">
      <c r="B80" s="5" t="s">
        <v>97</v>
      </c>
      <c r="C80" s="76" t="str">
        <f>VLOOKUP(B80,Letters!$C$56:$D$79,2,FALSE)</f>
        <v>R</v>
      </c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7"/>
      <c r="V80" s="88"/>
      <c r="W80" s="88"/>
      <c r="X80" s="88"/>
      <c r="Y80" s="88"/>
      <c r="Z80" s="90"/>
      <c r="AA80" s="88" t="str">
        <f t="shared" si="5"/>
        <v/>
      </c>
    </row>
    <row r="81" ht="13.5">
      <c r="B81" s="5" t="s">
        <v>98</v>
      </c>
      <c r="C81" s="76" t="str">
        <f>VLOOKUP(B81,Letters!$C$56:$D$79,2,FALSE)</f>
        <v>S</v>
      </c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7"/>
      <c r="W81" s="88"/>
      <c r="X81" s="88"/>
      <c r="Y81" s="88"/>
      <c r="Z81" s="90"/>
      <c r="AA81" s="88" t="str">
        <f t="shared" si="5"/>
        <v/>
      </c>
    </row>
    <row r="82" ht="13.5">
      <c r="B82" s="5" t="s">
        <v>99</v>
      </c>
      <c r="C82" s="76" t="str">
        <f>VLOOKUP(B82,Letters!$C$56:$D$79,2,FALSE)</f>
        <v>T</v>
      </c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7"/>
      <c r="X82" s="88"/>
      <c r="Y82" s="88"/>
      <c r="Z82" s="90"/>
      <c r="AA82" s="88" t="str">
        <f t="shared" si="5"/>
        <v/>
      </c>
    </row>
    <row r="83" ht="13.5">
      <c r="B83" s="5" t="s">
        <v>100</v>
      </c>
      <c r="C83" s="76" t="str">
        <f>VLOOKUP(B83,Letters!$C$56:$D$79,2,FALSE)</f>
        <v>U</v>
      </c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7"/>
      <c r="Y83" s="88"/>
      <c r="Z83" s="90"/>
      <c r="AA83" s="88" t="str">
        <f t="shared" si="5"/>
        <v/>
      </c>
    </row>
    <row r="84" ht="13.5">
      <c r="B84" s="5" t="s">
        <v>101</v>
      </c>
      <c r="C84" s="76" t="str">
        <f>VLOOKUP(B84,Letters!$C$56:$D$79,2,FALSE)</f>
        <v>V</v>
      </c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7"/>
      <c r="Z84" s="90"/>
      <c r="AA84" s="88" t="str">
        <f t="shared" si="5"/>
        <v/>
      </c>
    </row>
    <row r="85" ht="14.25">
      <c r="B85" s="78" t="s">
        <v>103</v>
      </c>
      <c r="C85" s="79" t="str">
        <f>VLOOKUP(B85,Letters!$C$56:$D$79,2,FALSE)</f>
        <v>I</v>
      </c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8"/>
      <c r="AA85" s="88" t="str">
        <f t="shared" si="5"/>
        <v/>
      </c>
    </row>
    <row r="86" ht="13.5">
      <c r="C86" s="5" t="s">
        <v>3354</v>
      </c>
      <c r="D86" s="101" t="str">
        <f t="shared" ref="D86:Z86" si="6">IFERROR(AVERAGE(D63:D85))</f>
        <v/>
      </c>
      <c r="E86" s="88" t="str">
        <f t="shared" si="6"/>
        <v/>
      </c>
      <c r="F86" s="88" t="str">
        <f t="shared" si="6"/>
        <v/>
      </c>
      <c r="G86" s="88" t="str">
        <f t="shared" si="6"/>
        <v/>
      </c>
      <c r="H86" s="88" t="str">
        <f t="shared" si="6"/>
        <v/>
      </c>
      <c r="I86" s="88" t="str">
        <f t="shared" si="6"/>
        <v/>
      </c>
      <c r="J86" s="88" t="str">
        <f t="shared" si="6"/>
        <v/>
      </c>
      <c r="K86" s="88" t="str">
        <f t="shared" si="6"/>
        <v/>
      </c>
      <c r="L86" s="88" t="str">
        <f t="shared" si="6"/>
        <v/>
      </c>
      <c r="M86" s="88" t="str">
        <f t="shared" si="6"/>
        <v/>
      </c>
      <c r="N86" s="88" t="str">
        <f t="shared" si="6"/>
        <v/>
      </c>
      <c r="O86" s="88" t="str">
        <f t="shared" si="6"/>
        <v/>
      </c>
      <c r="P86" s="88" t="str">
        <f t="shared" si="6"/>
        <v/>
      </c>
      <c r="Q86" s="88" t="str">
        <f t="shared" si="6"/>
        <v/>
      </c>
      <c r="R86" s="88" t="str">
        <f t="shared" si="6"/>
        <v/>
      </c>
      <c r="S86" s="88" t="str">
        <f t="shared" si="6"/>
        <v/>
      </c>
      <c r="T86" s="88" t="str">
        <f t="shared" si="6"/>
        <v/>
      </c>
      <c r="U86" s="88" t="str">
        <f t="shared" si="6"/>
        <v/>
      </c>
      <c r="V86" s="88" t="str">
        <f t="shared" si="6"/>
        <v/>
      </c>
      <c r="W86" s="88" t="str">
        <f t="shared" si="6"/>
        <v/>
      </c>
      <c r="X86" s="88" t="str">
        <f t="shared" si="6"/>
        <v/>
      </c>
      <c r="Y86" s="88" t="str">
        <f t="shared" si="6"/>
        <v/>
      </c>
      <c r="Z86" s="88" t="str">
        <f t="shared" si="6"/>
        <v/>
      </c>
      <c r="AA86" s="102" t="str">
        <f>IFERROR(AVERAGE(D63:Z85))</f>
        <v/>
      </c>
    </row>
    <row r="87">
      <c r="B87" s="5"/>
    </row>
    <row r="89" ht="17.25">
      <c r="B89" s="3" t="s">
        <v>3499</v>
      </c>
      <c r="C89" s="5"/>
      <c r="D89" s="5"/>
      <c r="E89" s="5"/>
      <c r="F89" s="5"/>
    </row>
    <row r="90">
      <c r="C90" s="5"/>
      <c r="D90" s="5"/>
      <c r="E90" s="5"/>
      <c r="F90" s="5"/>
    </row>
    <row r="91" ht="13.5">
      <c r="C91" s="76"/>
      <c r="D91" s="5" t="s">
        <v>107</v>
      </c>
      <c r="E91" s="5" t="s">
        <v>108</v>
      </c>
      <c r="F91" s="5" t="s">
        <v>109</v>
      </c>
      <c r="G91" s="5" t="s">
        <v>110</v>
      </c>
      <c r="H91" s="5" t="s">
        <v>111</v>
      </c>
      <c r="I91" s="5" t="s">
        <v>112</v>
      </c>
      <c r="J91" s="5" t="s">
        <v>113</v>
      </c>
      <c r="K91" s="5" t="s">
        <v>114</v>
      </c>
      <c r="L91" s="5" t="s">
        <v>115</v>
      </c>
      <c r="M91" s="5" t="s">
        <v>116</v>
      </c>
      <c r="N91" s="5" t="s">
        <v>117</v>
      </c>
      <c r="O91" s="5" t="s">
        <v>118</v>
      </c>
      <c r="P91" s="5" t="s">
        <v>119</v>
      </c>
      <c r="Q91" s="5" t="s">
        <v>120</v>
      </c>
      <c r="R91" s="5" t="s">
        <v>121</v>
      </c>
      <c r="S91" s="5" t="s">
        <v>122</v>
      </c>
      <c r="T91" s="5" t="s">
        <v>123</v>
      </c>
      <c r="U91" s="5" t="s">
        <v>124</v>
      </c>
      <c r="V91" s="5" t="s">
        <v>125</v>
      </c>
      <c r="W91" s="5" t="s">
        <v>126</v>
      </c>
      <c r="X91" s="5" t="s">
        <v>127</v>
      </c>
      <c r="Y91" s="5" t="s">
        <v>128</v>
      </c>
      <c r="Z91" s="5" t="s">
        <v>129</v>
      </c>
      <c r="AA91" s="77"/>
    </row>
    <row r="92" ht="14.25">
      <c r="B92" s="78"/>
      <c r="C92" s="88"/>
      <c r="D92" s="105" t="str">
        <f>VLOOKUP(D91,Letters!$C$81:$D$104,2,FALSE)</f>
        <v>B</v>
      </c>
      <c r="E92" s="78" t="str">
        <f>VLOOKUP(E91,Letters!$C$81:$D$104,2,FALSE)</f>
        <v>C</v>
      </c>
      <c r="F92" s="78" t="str">
        <f>VLOOKUP(F91,Letters!$C$81:$D$104,2,FALSE)</f>
        <v>D</v>
      </c>
      <c r="G92" s="78" t="str">
        <f>VLOOKUP(G91,Letters!$C$81:$D$104,2,FALSE)</f>
        <v>E</v>
      </c>
      <c r="H92" s="78" t="str">
        <f>VLOOKUP(H91,Letters!$C$81:$D$104,2,FALSE)</f>
        <v>F</v>
      </c>
      <c r="I92" s="78" t="str">
        <f>VLOOKUP(I91,Letters!$C$81:$D$104,2,FALSE)</f>
        <v>G</v>
      </c>
      <c r="J92" s="78" t="str">
        <f>VLOOKUP(J91,Letters!$C$81:$D$104,2,FALSE)</f>
        <v>H</v>
      </c>
      <c r="K92" s="78" t="str">
        <f>VLOOKUP(K91,Letters!$C$81:$D$104,2,FALSE)</f>
        <v>I</v>
      </c>
      <c r="L92" s="78" t="str">
        <f>VLOOKUP(L91,Letters!$C$81:$D$104,2,FALSE)</f>
        <v>J</v>
      </c>
      <c r="M92" s="78" t="str">
        <f>VLOOKUP(M91,Letters!$C$81:$D$104,2,FALSE)</f>
        <v>K</v>
      </c>
      <c r="N92" s="78" t="str">
        <f>VLOOKUP(N91,Letters!$C$81:$D$104,2,FALSE)</f>
        <v>L</v>
      </c>
      <c r="O92" s="78" t="str">
        <f>VLOOKUP(O91,Letters!$C$81:$D$104,2,FALSE)</f>
        <v>M</v>
      </c>
      <c r="P92" s="78" t="str">
        <f>VLOOKUP(P91,Letters!$C$81:$D$104,2,FALSE)</f>
        <v>N</v>
      </c>
      <c r="Q92" s="78" t="str">
        <f>VLOOKUP(Q91,Letters!$C$81:$D$104,2,FALSE)</f>
        <v>O</v>
      </c>
      <c r="R92" s="78" t="str">
        <f>VLOOKUP(R91,Letters!$C$81:$D$104,2,FALSE)</f>
        <v>P</v>
      </c>
      <c r="S92" s="78" t="str">
        <f>VLOOKUP(S91,Letters!$C$81:$D$104,2,FALSE)</f>
        <v>A</v>
      </c>
      <c r="T92" s="78" t="str">
        <f>VLOOKUP(T91,Letters!$C$81:$D$104,2,FALSE)</f>
        <v>R</v>
      </c>
      <c r="U92" s="78" t="str">
        <f>VLOOKUP(U91,Letters!$C$81:$D$104,2,FALSE)</f>
        <v>S</v>
      </c>
      <c r="V92" s="78" t="str">
        <f>VLOOKUP(V91,Letters!$C$81:$D$104,2,FALSE)</f>
        <v>T</v>
      </c>
      <c r="W92" s="78" t="str">
        <f>VLOOKUP(W91,Letters!$C$81:$D$104,2,FALSE)</f>
        <v>U</v>
      </c>
      <c r="X92" s="78" t="str">
        <f>VLOOKUP(X91,Letters!$C$81:$D$104,2,FALSE)</f>
        <v>V</v>
      </c>
      <c r="Y92" s="78" t="str">
        <f>VLOOKUP(Y91,Letters!$C$81:$D$104,2,FALSE)</f>
        <v>W</v>
      </c>
      <c r="Z92" s="79" t="str">
        <f>VLOOKUP(Z91,Letters!$C$81:$D$104,2,FALSE)</f>
        <v>X</v>
      </c>
      <c r="AA92" s="78" t="s">
        <v>3354</v>
      </c>
    </row>
    <row r="93" ht="13.5">
      <c r="B93" s="5" t="s">
        <v>107</v>
      </c>
      <c r="C93" s="106" t="str">
        <f>VLOOKUP(B93,Letters!$C$81:$D$104,2,FALSE)</f>
        <v>B</v>
      </c>
      <c r="D93" s="87"/>
      <c r="E93" s="87"/>
      <c r="F93" s="87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90"/>
      <c r="AA93" s="88" t="str">
        <f t="shared" ref="AA93:AA115" si="7">IFERROR(AVERAGE(D93:Z93))</f>
        <v/>
      </c>
    </row>
    <row r="94" ht="13.5">
      <c r="B94" s="5" t="s">
        <v>108</v>
      </c>
      <c r="C94" s="76" t="str">
        <f>VLOOKUP(B94,Letters!$C$81:$D$104,2,FALSE)</f>
        <v>C</v>
      </c>
      <c r="D94" s="107"/>
      <c r="E94" s="87"/>
      <c r="F94" s="87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90"/>
      <c r="AA94" s="88" t="str">
        <f t="shared" si="7"/>
        <v/>
      </c>
    </row>
    <row r="95" ht="13.5">
      <c r="B95" s="5" t="s">
        <v>109</v>
      </c>
      <c r="C95" s="76" t="str">
        <f>VLOOKUP(B95,Letters!$C$81:$D$104,2,FALSE)</f>
        <v>D</v>
      </c>
      <c r="D95" s="107"/>
      <c r="E95" s="87"/>
      <c r="F95" s="87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90"/>
      <c r="AA95" s="88" t="str">
        <f t="shared" si="7"/>
        <v/>
      </c>
    </row>
    <row r="96" ht="13.5">
      <c r="B96" s="5" t="s">
        <v>110</v>
      </c>
      <c r="C96" s="76" t="str">
        <f>VLOOKUP(B96,Letters!$C$81:$D$104,2,FALSE)</f>
        <v>E</v>
      </c>
      <c r="D96" s="88"/>
      <c r="E96" s="88"/>
      <c r="F96" s="88"/>
      <c r="G96" s="87"/>
      <c r="H96" s="87"/>
      <c r="I96" s="87"/>
      <c r="J96" s="87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90"/>
      <c r="AA96" s="88" t="str">
        <f t="shared" si="7"/>
        <v/>
      </c>
    </row>
    <row r="97" ht="13.5">
      <c r="B97" s="5" t="s">
        <v>111</v>
      </c>
      <c r="C97" s="76" t="str">
        <f>VLOOKUP(B97,Letters!$C$81:$D$104,2,FALSE)</f>
        <v>F</v>
      </c>
      <c r="D97" s="88"/>
      <c r="E97" s="88"/>
      <c r="F97" s="88"/>
      <c r="G97" s="87"/>
      <c r="H97" s="87"/>
      <c r="I97" s="87"/>
      <c r="J97" s="87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90"/>
      <c r="AA97" s="88" t="str">
        <f t="shared" si="7"/>
        <v/>
      </c>
    </row>
    <row r="98" ht="13.5">
      <c r="B98" s="5" t="s">
        <v>112</v>
      </c>
      <c r="C98" s="76" t="str">
        <f>VLOOKUP(B98,Letters!$C$81:$D$104,2,FALSE)</f>
        <v>G</v>
      </c>
      <c r="D98" s="88"/>
      <c r="E98" s="88"/>
      <c r="F98" s="88"/>
      <c r="G98" s="87"/>
      <c r="H98" s="87"/>
      <c r="I98" s="87"/>
      <c r="J98" s="87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90"/>
      <c r="AA98" s="88" t="str">
        <f t="shared" si="7"/>
        <v/>
      </c>
    </row>
    <row r="99" ht="13.5">
      <c r="B99" s="5" t="s">
        <v>113</v>
      </c>
      <c r="C99" s="76" t="str">
        <f>VLOOKUP(B99,Letters!$C$81:$D$104,2,FALSE)</f>
        <v>H</v>
      </c>
      <c r="D99" s="88"/>
      <c r="E99" s="88"/>
      <c r="F99" s="88"/>
      <c r="G99" s="87"/>
      <c r="H99" s="87"/>
      <c r="I99" s="87"/>
      <c r="J99" s="87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90"/>
      <c r="AA99" s="88" t="str">
        <f t="shared" si="7"/>
        <v/>
      </c>
    </row>
    <row r="100" ht="13.5">
      <c r="B100" s="5" t="s">
        <v>114</v>
      </c>
      <c r="C100" s="76" t="str">
        <f>VLOOKUP(B100,Letters!$C$81:$D$104,2,FALSE)</f>
        <v>I</v>
      </c>
      <c r="D100" s="88"/>
      <c r="E100" s="88"/>
      <c r="F100" s="88"/>
      <c r="G100" s="88"/>
      <c r="H100" s="88"/>
      <c r="I100" s="88"/>
      <c r="J100" s="88"/>
      <c r="K100" s="87"/>
      <c r="L100" s="87"/>
      <c r="M100" s="87"/>
      <c r="N100" s="87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90"/>
      <c r="AA100" s="88" t="str">
        <f t="shared" si="7"/>
        <v/>
      </c>
    </row>
    <row r="101" ht="13.5">
      <c r="B101" s="5" t="s">
        <v>115</v>
      </c>
      <c r="C101" s="76" t="str">
        <f>VLOOKUP(B101,Letters!$C$81:$D$104,2,FALSE)</f>
        <v>J</v>
      </c>
      <c r="D101" s="88"/>
      <c r="E101" s="88"/>
      <c r="F101" s="88"/>
      <c r="G101" s="88"/>
      <c r="H101" s="88"/>
      <c r="I101" s="88"/>
      <c r="J101" s="88"/>
      <c r="K101" s="87"/>
      <c r="L101" s="87"/>
      <c r="M101" s="87"/>
      <c r="N101" s="87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90"/>
      <c r="AA101" s="88" t="str">
        <f t="shared" si="7"/>
        <v/>
      </c>
    </row>
    <row r="102" ht="13.5">
      <c r="B102" s="5" t="s">
        <v>116</v>
      </c>
      <c r="C102" s="76" t="str">
        <f>VLOOKUP(B102,Letters!$C$81:$D$104,2,FALSE)</f>
        <v>K</v>
      </c>
      <c r="D102" s="88"/>
      <c r="E102" s="88"/>
      <c r="F102" s="88"/>
      <c r="G102" s="88"/>
      <c r="H102" s="88"/>
      <c r="I102" s="88"/>
      <c r="J102" s="89"/>
      <c r="K102" s="87"/>
      <c r="L102" s="87"/>
      <c r="M102" s="87"/>
      <c r="N102" s="87"/>
      <c r="O102" s="88"/>
      <c r="P102" s="88"/>
      <c r="Q102" s="88"/>
      <c r="R102" s="89"/>
      <c r="S102" s="89"/>
      <c r="T102" s="88"/>
      <c r="U102" s="88"/>
      <c r="V102" s="88"/>
      <c r="W102" s="88"/>
      <c r="X102" s="88"/>
      <c r="Y102" s="88"/>
      <c r="Z102" s="90"/>
      <c r="AA102" s="88" t="str">
        <f t="shared" si="7"/>
        <v/>
      </c>
    </row>
    <row r="103" ht="13.5">
      <c r="B103" s="5" t="s">
        <v>117</v>
      </c>
      <c r="C103" s="76" t="str">
        <f>VLOOKUP(B103,Letters!$C$81:$D$104,2,FALSE)</f>
        <v>L</v>
      </c>
      <c r="D103" s="88"/>
      <c r="E103" s="88"/>
      <c r="F103" s="88"/>
      <c r="G103" s="88"/>
      <c r="H103" s="88"/>
      <c r="I103" s="88"/>
      <c r="J103" s="89"/>
      <c r="K103" s="87"/>
      <c r="L103" s="87"/>
      <c r="M103" s="87"/>
      <c r="N103" s="87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90"/>
      <c r="AA103" s="88" t="str">
        <f t="shared" si="7"/>
        <v/>
      </c>
    </row>
    <row r="104" ht="13.5">
      <c r="B104" s="5" t="s">
        <v>118</v>
      </c>
      <c r="C104" s="76" t="str">
        <f>VLOOKUP(B104,Letters!$C$81:$D$104,2,FALSE)</f>
        <v>M</v>
      </c>
      <c r="D104" s="88"/>
      <c r="E104" s="88"/>
      <c r="F104" s="88"/>
      <c r="G104" s="88"/>
      <c r="H104" s="88"/>
      <c r="I104" s="88"/>
      <c r="J104" s="89"/>
      <c r="K104" s="88"/>
      <c r="L104" s="88"/>
      <c r="M104" s="88"/>
      <c r="N104" s="88"/>
      <c r="O104" s="87"/>
      <c r="P104" s="87"/>
      <c r="Q104" s="87"/>
      <c r="R104" s="87"/>
      <c r="S104" s="88"/>
      <c r="T104" s="88"/>
      <c r="U104" s="88"/>
      <c r="V104" s="88"/>
      <c r="W104" s="88"/>
      <c r="X104" s="88"/>
      <c r="Y104" s="88"/>
      <c r="Z104" s="90"/>
      <c r="AA104" s="88" t="str">
        <f t="shared" si="7"/>
        <v/>
      </c>
    </row>
    <row r="105" ht="13.5">
      <c r="B105" s="5" t="s">
        <v>119</v>
      </c>
      <c r="C105" s="76" t="str">
        <f>VLOOKUP(B105,Letters!$C$81:$D$104,2,FALSE)</f>
        <v>N</v>
      </c>
      <c r="D105" s="88"/>
      <c r="E105" s="88"/>
      <c r="F105" s="88"/>
      <c r="G105" s="88"/>
      <c r="H105" s="88"/>
      <c r="I105" s="88"/>
      <c r="J105" s="89"/>
      <c r="K105" s="88"/>
      <c r="L105" s="88"/>
      <c r="M105" s="88"/>
      <c r="N105" s="88"/>
      <c r="O105" s="87"/>
      <c r="P105" s="87"/>
      <c r="Q105" s="87"/>
      <c r="R105" s="87"/>
      <c r="S105" s="88"/>
      <c r="T105" s="88"/>
      <c r="U105" s="88"/>
      <c r="V105" s="88"/>
      <c r="W105" s="88"/>
      <c r="X105" s="88"/>
      <c r="Y105" s="88"/>
      <c r="Z105" s="90"/>
      <c r="AA105" s="88" t="str">
        <f t="shared" si="7"/>
        <v/>
      </c>
    </row>
    <row r="106" ht="13.5">
      <c r="B106" s="5" t="s">
        <v>120</v>
      </c>
      <c r="C106" s="76" t="str">
        <f>VLOOKUP(B106,Letters!$C$81:$D$104,2,FALSE)</f>
        <v>O</v>
      </c>
      <c r="D106" s="88"/>
      <c r="E106" s="88"/>
      <c r="F106" s="88"/>
      <c r="G106" s="88"/>
      <c r="H106" s="88"/>
      <c r="I106" s="88"/>
      <c r="J106" s="89"/>
      <c r="K106" s="88"/>
      <c r="L106" s="88"/>
      <c r="M106" s="88"/>
      <c r="N106" s="88"/>
      <c r="O106" s="87"/>
      <c r="P106" s="87"/>
      <c r="Q106" s="87"/>
      <c r="R106" s="87"/>
      <c r="S106" s="88"/>
      <c r="T106" s="88"/>
      <c r="U106" s="88"/>
      <c r="V106" s="88"/>
      <c r="W106" s="88"/>
      <c r="X106" s="88"/>
      <c r="Y106" s="88"/>
      <c r="Z106" s="90"/>
      <c r="AA106" s="88" t="str">
        <f t="shared" si="7"/>
        <v/>
      </c>
    </row>
    <row r="107" ht="13.5">
      <c r="B107" s="5" t="s">
        <v>121</v>
      </c>
      <c r="C107" s="76" t="str">
        <f>VLOOKUP(B107,Letters!$C$81:$D$104,2,FALSE)</f>
        <v>P</v>
      </c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7"/>
      <c r="P107" s="87"/>
      <c r="Q107" s="87"/>
      <c r="R107" s="87"/>
      <c r="S107" s="88"/>
      <c r="T107" s="88"/>
      <c r="U107" s="88"/>
      <c r="V107" s="88"/>
      <c r="W107" s="88"/>
      <c r="X107" s="88"/>
      <c r="Y107" s="88"/>
      <c r="Z107" s="90"/>
      <c r="AA107" s="88" t="str">
        <f t="shared" si="7"/>
        <v/>
      </c>
    </row>
    <row r="108" ht="13.5">
      <c r="B108" s="5" t="s">
        <v>122</v>
      </c>
      <c r="C108" s="76" t="str">
        <f>VLOOKUP(B108,Letters!$C$81:$D$104,2,FALSE)</f>
        <v>A</v>
      </c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7"/>
      <c r="T108" s="87"/>
      <c r="U108" s="87"/>
      <c r="V108" s="87"/>
      <c r="W108" s="88"/>
      <c r="X108" s="88"/>
      <c r="Y108" s="88"/>
      <c r="Z108" s="90"/>
      <c r="AA108" s="88" t="str">
        <f t="shared" si="7"/>
        <v/>
      </c>
    </row>
    <row r="109" ht="13.5">
      <c r="B109" s="5" t="s">
        <v>123</v>
      </c>
      <c r="C109" s="76" t="str">
        <f>VLOOKUP(B109,Letters!$C$81:$D$104,2,FALSE)</f>
        <v>R</v>
      </c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7"/>
      <c r="T109" s="87"/>
      <c r="U109" s="87"/>
      <c r="V109" s="87"/>
      <c r="W109" s="88"/>
      <c r="X109" s="88"/>
      <c r="Y109" s="88"/>
      <c r="Z109" s="90"/>
      <c r="AA109" s="88" t="str">
        <f t="shared" si="7"/>
        <v/>
      </c>
    </row>
    <row r="110" ht="13.5">
      <c r="B110" s="5" t="s">
        <v>124</v>
      </c>
      <c r="C110" s="76" t="str">
        <f>VLOOKUP(B110,Letters!$C$81:$D$104,2,FALSE)</f>
        <v>S</v>
      </c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7"/>
      <c r="T110" s="87"/>
      <c r="U110" s="87"/>
      <c r="V110" s="87"/>
      <c r="W110" s="88"/>
      <c r="X110" s="88"/>
      <c r="Y110" s="88"/>
      <c r="Z110" s="90"/>
      <c r="AA110" s="88" t="str">
        <f t="shared" si="7"/>
        <v/>
      </c>
    </row>
    <row r="111" ht="13.5">
      <c r="B111" s="5" t="s">
        <v>125</v>
      </c>
      <c r="C111" s="76" t="str">
        <f>VLOOKUP(B111,Letters!$C$81:$D$104,2,FALSE)</f>
        <v>T</v>
      </c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7"/>
      <c r="T111" s="87"/>
      <c r="U111" s="87"/>
      <c r="V111" s="87"/>
      <c r="W111" s="88"/>
      <c r="X111" s="88"/>
      <c r="Y111" s="88"/>
      <c r="Z111" s="90"/>
      <c r="AA111" s="88" t="str">
        <f t="shared" si="7"/>
        <v/>
      </c>
    </row>
    <row r="112" ht="13.5">
      <c r="B112" s="5" t="s">
        <v>126</v>
      </c>
      <c r="C112" s="76" t="str">
        <f>VLOOKUP(B112,Letters!$C$81:$D$104,2,FALSE)</f>
        <v>U</v>
      </c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7"/>
      <c r="X112" s="87"/>
      <c r="Y112" s="87"/>
      <c r="Z112" s="91"/>
      <c r="AA112" s="88" t="str">
        <f t="shared" si="7"/>
        <v/>
      </c>
    </row>
    <row r="113" ht="13.5">
      <c r="B113" s="5" t="s">
        <v>127</v>
      </c>
      <c r="C113" s="76" t="str">
        <f>VLOOKUP(B113,Letters!$C$81:$D$104,2,FALSE)</f>
        <v>V</v>
      </c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7"/>
      <c r="X113" s="87"/>
      <c r="Y113" s="87"/>
      <c r="Z113" s="91"/>
      <c r="AA113" s="88" t="str">
        <f t="shared" si="7"/>
        <v/>
      </c>
    </row>
    <row r="114" ht="13.5">
      <c r="B114" s="5" t="s">
        <v>128</v>
      </c>
      <c r="C114" s="76" t="str">
        <f>VLOOKUP(B114,Letters!$C$81:$D$104,2,FALSE)</f>
        <v>W</v>
      </c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7"/>
      <c r="X114" s="87"/>
      <c r="Y114" s="87"/>
      <c r="Z114" s="91"/>
      <c r="AA114" s="88" t="str">
        <f t="shared" si="7"/>
        <v/>
      </c>
    </row>
    <row r="115" ht="14.25">
      <c r="B115" s="78" t="s">
        <v>129</v>
      </c>
      <c r="C115" s="79" t="str">
        <f>VLOOKUP(B115,Letters!$C$81:$D$104,2,FALSE)</f>
        <v>X</v>
      </c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6"/>
      <c r="X115" s="96"/>
      <c r="Y115" s="96"/>
      <c r="Z115" s="98"/>
      <c r="AA115" s="88" t="str">
        <f t="shared" si="7"/>
        <v/>
      </c>
    </row>
    <row r="116" ht="13.5">
      <c r="C116" s="5" t="s">
        <v>3354</v>
      </c>
      <c r="D116" s="101" t="str">
        <f t="shared" ref="D116:Z116" si="8">IFERROR(AVERAGE(D93:D115))</f>
        <v/>
      </c>
      <c r="E116" s="88" t="str">
        <f t="shared" si="8"/>
        <v/>
      </c>
      <c r="F116" s="88" t="str">
        <f t="shared" si="8"/>
        <v/>
      </c>
      <c r="G116" s="88" t="str">
        <f t="shared" si="8"/>
        <v/>
      </c>
      <c r="H116" s="88" t="str">
        <f t="shared" si="8"/>
        <v/>
      </c>
      <c r="I116" s="88" t="str">
        <f t="shared" si="8"/>
        <v/>
      </c>
      <c r="J116" s="88" t="str">
        <f t="shared" si="8"/>
        <v/>
      </c>
      <c r="K116" s="88" t="str">
        <f t="shared" si="8"/>
        <v/>
      </c>
      <c r="L116" s="88" t="str">
        <f t="shared" si="8"/>
        <v/>
      </c>
      <c r="M116" s="88" t="str">
        <f t="shared" si="8"/>
        <v/>
      </c>
      <c r="N116" s="88" t="str">
        <f t="shared" si="8"/>
        <v/>
      </c>
      <c r="O116" s="88" t="str">
        <f t="shared" si="8"/>
        <v/>
      </c>
      <c r="P116" s="88" t="str">
        <f t="shared" si="8"/>
        <v/>
      </c>
      <c r="Q116" s="88" t="str">
        <f t="shared" si="8"/>
        <v/>
      </c>
      <c r="R116" s="88" t="str">
        <f t="shared" si="8"/>
        <v/>
      </c>
      <c r="S116" s="88" t="str">
        <f t="shared" si="8"/>
        <v/>
      </c>
      <c r="T116" s="88" t="str">
        <f t="shared" si="8"/>
        <v/>
      </c>
      <c r="U116" s="88" t="str">
        <f t="shared" si="8"/>
        <v/>
      </c>
      <c r="V116" s="88" t="str">
        <f t="shared" si="8"/>
        <v/>
      </c>
      <c r="W116" s="88" t="str">
        <f t="shared" si="8"/>
        <v/>
      </c>
      <c r="X116" s="88" t="str">
        <f t="shared" si="8"/>
        <v/>
      </c>
      <c r="Y116" s="88" t="str">
        <f t="shared" si="8"/>
        <v/>
      </c>
      <c r="Z116" s="88" t="str">
        <f t="shared" si="8"/>
        <v/>
      </c>
      <c r="AA116" s="102" t="str">
        <f>IFERROR(AVERAGE(D93:Z115))</f>
        <v/>
      </c>
    </row>
    <row r="119" ht="17.25">
      <c r="B119" s="108" t="s">
        <v>3543</v>
      </c>
      <c r="C119" s="5"/>
      <c r="D119" s="5"/>
      <c r="E119" s="5"/>
      <c r="F119" s="5"/>
    </row>
    <row r="120">
      <c r="C120" s="5"/>
      <c r="D120" s="5"/>
      <c r="E120" s="5"/>
      <c r="F120" s="5"/>
    </row>
    <row r="121" ht="13.5">
      <c r="C121" s="76"/>
      <c r="D121" s="5" t="s">
        <v>134</v>
      </c>
      <c r="E121" s="5" t="s">
        <v>135</v>
      </c>
      <c r="F121" s="5" t="s">
        <v>136</v>
      </c>
      <c r="G121" s="5" t="s">
        <v>137</v>
      </c>
      <c r="H121" s="5" t="s">
        <v>138</v>
      </c>
      <c r="I121" s="5" t="s">
        <v>139</v>
      </c>
      <c r="J121" s="5" t="s">
        <v>140</v>
      </c>
      <c r="K121" s="5" t="s">
        <v>141</v>
      </c>
      <c r="L121" s="5" t="s">
        <v>142</v>
      </c>
      <c r="M121" s="5" t="s">
        <v>143</v>
      </c>
      <c r="N121" s="5" t="s">
        <v>144</v>
      </c>
      <c r="O121" s="5" t="s">
        <v>145</v>
      </c>
      <c r="P121" s="5" t="s">
        <v>146</v>
      </c>
      <c r="Q121" s="5" t="s">
        <v>147</v>
      </c>
      <c r="R121" s="5" t="s">
        <v>148</v>
      </c>
      <c r="S121" s="5" t="s">
        <v>149</v>
      </c>
      <c r="T121" s="5" t="s">
        <v>150</v>
      </c>
      <c r="U121" s="5" t="s">
        <v>151</v>
      </c>
      <c r="V121" s="5" t="s">
        <v>152</v>
      </c>
      <c r="W121" s="5" t="s">
        <v>153</v>
      </c>
      <c r="X121" s="5" t="s">
        <v>154</v>
      </c>
      <c r="Y121" s="5" t="s">
        <v>155</v>
      </c>
      <c r="Z121" s="5" t="s">
        <v>156</v>
      </c>
      <c r="AA121" s="77"/>
    </row>
    <row r="122" ht="14.25">
      <c r="B122" s="78"/>
      <c r="C122" s="88"/>
      <c r="D122" s="105" t="str">
        <f>VLOOKUP(D121,Letters!$C$108:$D$131,2,FALSE)</f>
        <v>B</v>
      </c>
      <c r="E122" s="78" t="str">
        <f>VLOOKUP(E121,Letters!$C$108:$D$131,2,FALSE)</f>
        <v>C</v>
      </c>
      <c r="F122" s="78" t="str">
        <f>VLOOKUP(F121,Letters!$C$108:$D$131,2,FALSE)</f>
        <v>D</v>
      </c>
      <c r="G122" s="78" t="str">
        <f>VLOOKUP(G121,Letters!$C$108:$D$131,2,FALSE)</f>
        <v>E</v>
      </c>
      <c r="H122" s="78" t="str">
        <f>VLOOKUP(H121,Letters!$C$108:$D$131,2,FALSE)</f>
        <v>F</v>
      </c>
      <c r="I122" s="78" t="str">
        <f>VLOOKUP(I121,Letters!$C$108:$D$131,2,FALSE)</f>
        <v>G</v>
      </c>
      <c r="J122" s="78" t="str">
        <f>VLOOKUP(J121,Letters!$C$108:$D$131,2,FALSE)</f>
        <v>H</v>
      </c>
      <c r="K122" s="78" t="str">
        <f>VLOOKUP(K121,Letters!$C$108:$D$131,2,FALSE)</f>
        <v>I</v>
      </c>
      <c r="L122" s="78" t="str">
        <f>VLOOKUP(L121,Letters!$C$108:$D$131,2,FALSE)</f>
        <v>J</v>
      </c>
      <c r="M122" s="78" t="str">
        <f>VLOOKUP(M121,Letters!$C$108:$D$131,2,FALSE)</f>
        <v>K</v>
      </c>
      <c r="N122" s="78" t="str">
        <f>VLOOKUP(N121,Letters!$C$108:$D$131,2,FALSE)</f>
        <v>L</v>
      </c>
      <c r="O122" s="78" t="str">
        <f>VLOOKUP(O121,Letters!$C$108:$D$131,2,FALSE)</f>
        <v>M</v>
      </c>
      <c r="P122" s="78" t="str">
        <f>VLOOKUP(P121,Letters!$C$108:$D$131,2,FALSE)</f>
        <v>N</v>
      </c>
      <c r="Q122" s="78" t="str">
        <f>VLOOKUP(Q121,Letters!$C$108:$D$131,2,FALSE)</f>
        <v>O</v>
      </c>
      <c r="R122" s="78" t="str">
        <f>VLOOKUP(R121,Letters!$C$108:$D$131,2,FALSE)</f>
        <v>P</v>
      </c>
      <c r="S122" s="78" t="str">
        <f>VLOOKUP(S121,Letters!$C$108:$D$131,2,FALSE)</f>
        <v>A</v>
      </c>
      <c r="T122" s="78" t="str">
        <f>VLOOKUP(T121,Letters!$C$108:$D$131,2,FALSE)</f>
        <v>R</v>
      </c>
      <c r="U122" s="78" t="str">
        <f>VLOOKUP(U121,Letters!$C$108:$D$131,2,FALSE)</f>
        <v>S</v>
      </c>
      <c r="V122" s="78" t="str">
        <f>VLOOKUP(V121,Letters!$C$108:$D$131,2,FALSE)</f>
        <v>T</v>
      </c>
      <c r="W122" s="78" t="str">
        <f>VLOOKUP(W121,Letters!$C$108:$D$131,2,FALSE)</f>
        <v>U</v>
      </c>
      <c r="X122" s="78" t="str">
        <f>VLOOKUP(X121,Letters!$C$108:$D$131,2,FALSE)</f>
        <v>V</v>
      </c>
      <c r="Y122" s="78" t="str">
        <f>VLOOKUP(Y121,Letters!$C$108:$D$131,2,FALSE)</f>
        <v>W</v>
      </c>
      <c r="Z122" s="79" t="str">
        <f>VLOOKUP(Z121,Letters!$C$108:$D$131,2,FALSE)</f>
        <v>X</v>
      </c>
      <c r="AA122" s="78" t="s">
        <v>3354</v>
      </c>
    </row>
    <row r="123" ht="13.5">
      <c r="B123" s="5" t="s">
        <v>134</v>
      </c>
      <c r="C123" s="106" t="str">
        <f>VLOOKUP(B123,Letters!$C$108:$D$131,2,FALSE)</f>
        <v>B</v>
      </c>
      <c r="D123" s="87"/>
      <c r="E123" s="87"/>
      <c r="F123" s="87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90"/>
      <c r="AA123" s="88" t="str">
        <f t="shared" ref="AA123:AA145" si="9">IFERROR(AVERAGE(D123:Z123))</f>
        <v/>
      </c>
    </row>
    <row r="124" ht="13.5">
      <c r="B124" s="5" t="s">
        <v>135</v>
      </c>
      <c r="C124" s="76" t="str">
        <f>VLOOKUP(B124,Letters!$C$108:$D$131,2,FALSE)</f>
        <v>C</v>
      </c>
      <c r="D124" s="107"/>
      <c r="E124" s="87"/>
      <c r="F124" s="87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90"/>
      <c r="AA124" s="88" t="str">
        <f t="shared" si="9"/>
        <v/>
      </c>
    </row>
    <row r="125" ht="13.5">
      <c r="B125" s="5" t="s">
        <v>136</v>
      </c>
      <c r="C125" s="76" t="str">
        <f>VLOOKUP(B125,Letters!$C$108:$D$131,2,FALSE)</f>
        <v>D</v>
      </c>
      <c r="D125" s="107"/>
      <c r="E125" s="87"/>
      <c r="F125" s="87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90"/>
      <c r="AA125" s="88" t="str">
        <f t="shared" si="9"/>
        <v/>
      </c>
    </row>
    <row r="126" ht="13.5">
      <c r="B126" s="5" t="s">
        <v>137</v>
      </c>
      <c r="C126" s="76" t="str">
        <f>VLOOKUP(B126,Letters!$C$108:$D$131,2,FALSE)</f>
        <v>E</v>
      </c>
      <c r="D126" s="88"/>
      <c r="E126" s="88"/>
      <c r="F126" s="88"/>
      <c r="G126" s="87"/>
      <c r="H126" s="87"/>
      <c r="I126" s="87"/>
      <c r="J126" s="87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90"/>
      <c r="AA126" s="88" t="str">
        <f t="shared" si="9"/>
        <v/>
      </c>
    </row>
    <row r="127" ht="13.5">
      <c r="B127" s="5" t="s">
        <v>138</v>
      </c>
      <c r="C127" s="76" t="str">
        <f>VLOOKUP(B127,Letters!$C$108:$D$131,2,FALSE)</f>
        <v>F</v>
      </c>
      <c r="D127" s="88"/>
      <c r="E127" s="88"/>
      <c r="F127" s="88"/>
      <c r="G127" s="87"/>
      <c r="H127" s="87"/>
      <c r="I127" s="87"/>
      <c r="J127" s="87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90"/>
      <c r="AA127" s="88" t="str">
        <f t="shared" si="9"/>
        <v/>
      </c>
    </row>
    <row r="128" ht="13.5">
      <c r="B128" s="5" t="s">
        <v>139</v>
      </c>
      <c r="C128" s="76" t="str">
        <f>VLOOKUP(B128,Letters!$C$108:$D$131,2,FALSE)</f>
        <v>G</v>
      </c>
      <c r="D128" s="88"/>
      <c r="E128" s="88"/>
      <c r="F128" s="88"/>
      <c r="G128" s="87"/>
      <c r="H128" s="87"/>
      <c r="I128" s="87"/>
      <c r="J128" s="87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90"/>
      <c r="AA128" s="88" t="str">
        <f t="shared" si="9"/>
        <v/>
      </c>
    </row>
    <row r="129" ht="13.5">
      <c r="B129" s="5" t="s">
        <v>140</v>
      </c>
      <c r="C129" s="76" t="str">
        <f>VLOOKUP(B129,Letters!$C$108:$D$131,2,FALSE)</f>
        <v>H</v>
      </c>
      <c r="D129" s="88"/>
      <c r="E129" s="88"/>
      <c r="F129" s="88"/>
      <c r="G129" s="87"/>
      <c r="H129" s="87"/>
      <c r="I129" s="87"/>
      <c r="J129" s="87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90"/>
      <c r="AA129" s="88" t="str">
        <f t="shared" si="9"/>
        <v/>
      </c>
    </row>
    <row r="130" ht="13.5">
      <c r="B130" s="5" t="s">
        <v>141</v>
      </c>
      <c r="C130" s="76" t="str">
        <f>VLOOKUP(B130,Letters!$C$108:$D$131,2,FALSE)</f>
        <v>I</v>
      </c>
      <c r="D130" s="88"/>
      <c r="E130" s="88"/>
      <c r="F130" s="88"/>
      <c r="G130" s="88"/>
      <c r="H130" s="88"/>
      <c r="I130" s="88"/>
      <c r="J130" s="88"/>
      <c r="K130" s="87"/>
      <c r="L130" s="87"/>
      <c r="M130" s="87"/>
      <c r="N130" s="87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90"/>
      <c r="AA130" s="88" t="str">
        <f t="shared" si="9"/>
        <v/>
      </c>
    </row>
    <row r="131" ht="13.5">
      <c r="B131" s="5" t="s">
        <v>142</v>
      </c>
      <c r="C131" s="76" t="str">
        <f>VLOOKUP(B131,Letters!$C$108:$D$131,2,FALSE)</f>
        <v>J</v>
      </c>
      <c r="D131" s="88"/>
      <c r="E131" s="88"/>
      <c r="F131" s="88"/>
      <c r="G131" s="88"/>
      <c r="H131" s="88"/>
      <c r="I131" s="88"/>
      <c r="J131" s="88"/>
      <c r="K131" s="87"/>
      <c r="L131" s="87"/>
      <c r="M131" s="87"/>
      <c r="N131" s="87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90"/>
      <c r="AA131" s="88" t="str">
        <f t="shared" si="9"/>
        <v/>
      </c>
    </row>
    <row r="132" ht="13.5">
      <c r="B132" s="5" t="s">
        <v>143</v>
      </c>
      <c r="C132" s="76" t="str">
        <f>VLOOKUP(B132,Letters!$C$108:$D$131,2,FALSE)</f>
        <v>K</v>
      </c>
      <c r="D132" s="88"/>
      <c r="E132" s="88"/>
      <c r="F132" s="88"/>
      <c r="G132" s="88"/>
      <c r="H132" s="88"/>
      <c r="I132" s="88"/>
      <c r="J132" s="89"/>
      <c r="K132" s="87"/>
      <c r="L132" s="87"/>
      <c r="M132" s="87"/>
      <c r="N132" s="87"/>
      <c r="O132" s="88"/>
      <c r="P132" s="88"/>
      <c r="Q132" s="88"/>
      <c r="R132" s="89"/>
      <c r="S132" s="89"/>
      <c r="T132" s="88"/>
      <c r="U132" s="88"/>
      <c r="V132" s="88"/>
      <c r="W132" s="88"/>
      <c r="X132" s="88"/>
      <c r="Y132" s="88"/>
      <c r="Z132" s="90"/>
      <c r="AA132" s="88" t="str">
        <f t="shared" si="9"/>
        <v/>
      </c>
    </row>
    <row r="133" ht="13.5">
      <c r="B133" s="5" t="s">
        <v>144</v>
      </c>
      <c r="C133" s="76" t="str">
        <f>VLOOKUP(B133,Letters!$C$108:$D$131,2,FALSE)</f>
        <v>L</v>
      </c>
      <c r="D133" s="88"/>
      <c r="E133" s="88"/>
      <c r="F133" s="88"/>
      <c r="G133" s="88"/>
      <c r="H133" s="88"/>
      <c r="I133" s="88"/>
      <c r="J133" s="89"/>
      <c r="K133" s="87"/>
      <c r="L133" s="87"/>
      <c r="M133" s="87"/>
      <c r="N133" s="87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90"/>
      <c r="AA133" s="88" t="str">
        <f t="shared" si="9"/>
        <v/>
      </c>
    </row>
    <row r="134" ht="13.5">
      <c r="B134" s="5" t="s">
        <v>145</v>
      </c>
      <c r="C134" s="76" t="str">
        <f>VLOOKUP(B134,Letters!$C$108:$D$131,2,FALSE)</f>
        <v>M</v>
      </c>
      <c r="D134" s="88"/>
      <c r="E134" s="88"/>
      <c r="F134" s="88"/>
      <c r="G134" s="88"/>
      <c r="H134" s="88"/>
      <c r="I134" s="88"/>
      <c r="J134" s="89"/>
      <c r="K134" s="88"/>
      <c r="L134" s="88"/>
      <c r="M134" s="88"/>
      <c r="N134" s="88"/>
      <c r="O134" s="87"/>
      <c r="P134" s="87"/>
      <c r="Q134" s="87"/>
      <c r="R134" s="87"/>
      <c r="S134" s="88"/>
      <c r="T134" s="88"/>
      <c r="U134" s="88"/>
      <c r="V134" s="88"/>
      <c r="W134" s="88"/>
      <c r="X134" s="88"/>
      <c r="Y134" s="88"/>
      <c r="Z134" s="90"/>
      <c r="AA134" s="88" t="str">
        <f t="shared" si="9"/>
        <v/>
      </c>
    </row>
    <row r="135" ht="13.5">
      <c r="B135" s="5" t="s">
        <v>146</v>
      </c>
      <c r="C135" s="76" t="str">
        <f>VLOOKUP(B135,Letters!$C$108:$D$131,2,FALSE)</f>
        <v>N</v>
      </c>
      <c r="D135" s="88"/>
      <c r="E135" s="88"/>
      <c r="F135" s="88"/>
      <c r="G135" s="88"/>
      <c r="H135" s="88"/>
      <c r="I135" s="88"/>
      <c r="J135" s="89"/>
      <c r="K135" s="88"/>
      <c r="L135" s="88"/>
      <c r="M135" s="88"/>
      <c r="N135" s="88"/>
      <c r="O135" s="87"/>
      <c r="P135" s="87"/>
      <c r="Q135" s="87"/>
      <c r="R135" s="87"/>
      <c r="S135" s="88"/>
      <c r="T135" s="88"/>
      <c r="U135" s="88"/>
      <c r="V135" s="88"/>
      <c r="W135" s="88"/>
      <c r="X135" s="88"/>
      <c r="Y135" s="88"/>
      <c r="Z135" s="90"/>
      <c r="AA135" s="88" t="str">
        <f t="shared" si="9"/>
        <v/>
      </c>
    </row>
    <row r="136" ht="13.5">
      <c r="B136" s="5" t="s">
        <v>147</v>
      </c>
      <c r="C136" s="76" t="str">
        <f>VLOOKUP(B136,Letters!$C$108:$D$131,2,FALSE)</f>
        <v>O</v>
      </c>
      <c r="D136" s="88"/>
      <c r="E136" s="88"/>
      <c r="F136" s="88"/>
      <c r="G136" s="88"/>
      <c r="H136" s="88"/>
      <c r="I136" s="88"/>
      <c r="J136" s="89"/>
      <c r="K136" s="88"/>
      <c r="L136" s="88"/>
      <c r="M136" s="88"/>
      <c r="N136" s="88"/>
      <c r="O136" s="87"/>
      <c r="P136" s="87"/>
      <c r="Q136" s="87"/>
      <c r="R136" s="87"/>
      <c r="S136" s="88"/>
      <c r="T136" s="88"/>
      <c r="U136" s="88"/>
      <c r="V136" s="88"/>
      <c r="W136" s="88"/>
      <c r="X136" s="88"/>
      <c r="Y136" s="88"/>
      <c r="Z136" s="90"/>
      <c r="AA136" s="88" t="str">
        <f t="shared" si="9"/>
        <v/>
      </c>
    </row>
    <row r="137" ht="13.5">
      <c r="B137" s="5" t="s">
        <v>148</v>
      </c>
      <c r="C137" s="76" t="str">
        <f>VLOOKUP(B137,Letters!$C$108:$D$131,2,FALSE)</f>
        <v>P</v>
      </c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7"/>
      <c r="P137" s="87"/>
      <c r="Q137" s="87"/>
      <c r="R137" s="87"/>
      <c r="S137" s="88"/>
      <c r="T137" s="88"/>
      <c r="U137" s="88"/>
      <c r="V137" s="88"/>
      <c r="W137" s="88"/>
      <c r="X137" s="88"/>
      <c r="Y137" s="88"/>
      <c r="Z137" s="90"/>
      <c r="AA137" s="88" t="str">
        <f t="shared" si="9"/>
        <v/>
      </c>
    </row>
    <row r="138" ht="13.5">
      <c r="B138" s="5" t="s">
        <v>149</v>
      </c>
      <c r="C138" s="76" t="str">
        <f>VLOOKUP(B138,Letters!$C$108:$D$131,2,FALSE)</f>
        <v>A</v>
      </c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7"/>
      <c r="T138" s="87"/>
      <c r="U138" s="87"/>
      <c r="V138" s="87"/>
      <c r="W138" s="88"/>
      <c r="X138" s="88"/>
      <c r="Y138" s="88"/>
      <c r="Z138" s="90"/>
      <c r="AA138" s="88" t="str">
        <f t="shared" si="9"/>
        <v/>
      </c>
    </row>
    <row r="139" ht="13.5">
      <c r="B139" s="5" t="s">
        <v>150</v>
      </c>
      <c r="C139" s="76" t="str">
        <f>VLOOKUP(B139,Letters!$C$108:$D$131,2,FALSE)</f>
        <v>R</v>
      </c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7"/>
      <c r="T139" s="87"/>
      <c r="U139" s="87"/>
      <c r="V139" s="87"/>
      <c r="W139" s="88"/>
      <c r="X139" s="88"/>
      <c r="Y139" s="88"/>
      <c r="Z139" s="90"/>
      <c r="AA139" s="88" t="str">
        <f t="shared" si="9"/>
        <v/>
      </c>
    </row>
    <row r="140" ht="13.5">
      <c r="B140" s="5" t="s">
        <v>151</v>
      </c>
      <c r="C140" s="76" t="str">
        <f>VLOOKUP(B140,Letters!$C$108:$D$131,2,FALSE)</f>
        <v>S</v>
      </c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7"/>
      <c r="T140" s="87"/>
      <c r="U140" s="87"/>
      <c r="V140" s="87"/>
      <c r="W140" s="88"/>
      <c r="X140" s="88"/>
      <c r="Y140" s="88"/>
      <c r="Z140" s="90"/>
      <c r="AA140" s="88" t="str">
        <f t="shared" si="9"/>
        <v/>
      </c>
    </row>
    <row r="141" ht="13.5">
      <c r="B141" s="5" t="s">
        <v>152</v>
      </c>
      <c r="C141" s="76" t="str">
        <f>VLOOKUP(B141,Letters!$C$108:$D$131,2,FALSE)</f>
        <v>T</v>
      </c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7"/>
      <c r="T141" s="87"/>
      <c r="U141" s="87"/>
      <c r="V141" s="87"/>
      <c r="W141" s="88"/>
      <c r="X141" s="88"/>
      <c r="Y141" s="88"/>
      <c r="Z141" s="90"/>
      <c r="AA141" s="88" t="str">
        <f t="shared" si="9"/>
        <v/>
      </c>
    </row>
    <row r="142" ht="13.5">
      <c r="B142" s="5" t="s">
        <v>153</v>
      </c>
      <c r="C142" s="76" t="str">
        <f>VLOOKUP(B142,Letters!$C$108:$D$131,2,FALSE)</f>
        <v>U</v>
      </c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7"/>
      <c r="X142" s="87"/>
      <c r="Y142" s="87"/>
      <c r="Z142" s="91"/>
      <c r="AA142" s="88" t="str">
        <f t="shared" si="9"/>
        <v/>
      </c>
    </row>
    <row r="143" ht="13.5">
      <c r="B143" s="5" t="s">
        <v>154</v>
      </c>
      <c r="C143" s="76" t="str">
        <f>VLOOKUP(B143,Letters!$C$108:$D$131,2,FALSE)</f>
        <v>V</v>
      </c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7"/>
      <c r="X143" s="87"/>
      <c r="Y143" s="87"/>
      <c r="Z143" s="91"/>
      <c r="AA143" s="88" t="str">
        <f t="shared" si="9"/>
        <v/>
      </c>
    </row>
    <row r="144" ht="13.5">
      <c r="B144" s="5" t="s">
        <v>155</v>
      </c>
      <c r="C144" s="76" t="str">
        <f>VLOOKUP(B144,Letters!$C$108:$D$131,2,FALSE)</f>
        <v>W</v>
      </c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7"/>
      <c r="X144" s="87"/>
      <c r="Y144" s="87"/>
      <c r="Z144" s="91"/>
      <c r="AA144" s="88" t="str">
        <f t="shared" si="9"/>
        <v/>
      </c>
    </row>
    <row r="145" ht="14.25">
      <c r="B145" s="78" t="s">
        <v>156</v>
      </c>
      <c r="C145" s="79" t="str">
        <f>VLOOKUP(B145,Letters!$C$108:$D$131,2,FALSE)</f>
        <v>X</v>
      </c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6"/>
      <c r="X145" s="96"/>
      <c r="Y145" s="96"/>
      <c r="Z145" s="98"/>
      <c r="AA145" s="88" t="str">
        <f t="shared" si="9"/>
        <v/>
      </c>
    </row>
    <row r="146" ht="13.5">
      <c r="C146" s="5" t="s">
        <v>3354</v>
      </c>
      <c r="D146" s="101" t="str">
        <f t="shared" ref="D146:Z146" si="10">IFERROR(AVERAGE(D123:D145))</f>
        <v/>
      </c>
      <c r="E146" s="88" t="str">
        <f t="shared" si="10"/>
        <v/>
      </c>
      <c r="F146" s="88" t="str">
        <f t="shared" si="10"/>
        <v/>
      </c>
      <c r="G146" s="88" t="str">
        <f t="shared" si="10"/>
        <v/>
      </c>
      <c r="H146" s="88" t="str">
        <f t="shared" si="10"/>
        <v/>
      </c>
      <c r="I146" s="88" t="str">
        <f t="shared" si="10"/>
        <v/>
      </c>
      <c r="J146" s="88" t="str">
        <f t="shared" si="10"/>
        <v/>
      </c>
      <c r="K146" s="88" t="str">
        <f t="shared" si="10"/>
        <v/>
      </c>
      <c r="L146" s="88" t="str">
        <f t="shared" si="10"/>
        <v/>
      </c>
      <c r="M146" s="88" t="str">
        <f t="shared" si="10"/>
        <v/>
      </c>
      <c r="N146" s="88" t="str">
        <f t="shared" si="10"/>
        <v/>
      </c>
      <c r="O146" s="88" t="str">
        <f t="shared" si="10"/>
        <v/>
      </c>
      <c r="P146" s="88" t="str">
        <f t="shared" si="10"/>
        <v/>
      </c>
      <c r="Q146" s="88" t="str">
        <f t="shared" si="10"/>
        <v/>
      </c>
      <c r="R146" s="88" t="str">
        <f t="shared" si="10"/>
        <v/>
      </c>
      <c r="S146" s="88" t="str">
        <f t="shared" si="10"/>
        <v/>
      </c>
      <c r="T146" s="88" t="str">
        <f t="shared" si="10"/>
        <v/>
      </c>
      <c r="U146" s="88" t="str">
        <f t="shared" si="10"/>
        <v/>
      </c>
      <c r="V146" s="88" t="str">
        <f t="shared" si="10"/>
        <v/>
      </c>
      <c r="W146" s="88" t="str">
        <f t="shared" si="10"/>
        <v/>
      </c>
      <c r="X146" s="88" t="str">
        <f t="shared" si="10"/>
        <v/>
      </c>
      <c r="Y146" s="88" t="str">
        <f t="shared" si="10"/>
        <v/>
      </c>
      <c r="Z146" s="88" t="str">
        <f t="shared" si="10"/>
        <v/>
      </c>
      <c r="AA146" s="102" t="str">
        <f>IFERROR(AVERAGE(D123:Z145))</f>
        <v/>
      </c>
    </row>
  </sheetData>
  <conditionalFormatting sqref="D6:X26">
    <cfRule type="colorScale" priority="1">
      <colorScale>
        <cfvo type="percentile" val="50"/>
        <cfvo type="percentile" val="90"/>
        <color rgb="FFB6D7A8"/>
        <color rgb="FFF9CB9C"/>
      </colorScale>
    </cfRule>
  </conditionalFormatting>
  <conditionalFormatting sqref="D27:X27 Y6:Y26">
    <cfRule type="colorScale" priority="2">
      <colorScale>
        <cfvo type="percentile" val="65"/>
        <cfvo type="percentile" val="90"/>
        <color rgb="FFB6D7A8"/>
        <color rgb="FFF9CB9C"/>
      </colorScale>
    </cfRule>
  </conditionalFormatting>
  <conditionalFormatting sqref="D34:Y55">
    <cfRule type="colorScale" priority="3">
      <colorScale>
        <cfvo type="percentile" val="50"/>
        <cfvo type="percentile" val="90"/>
        <color rgb="FFB6D7A8"/>
        <color rgb="FFF9CB9C"/>
      </colorScale>
    </cfRule>
  </conditionalFormatting>
  <conditionalFormatting sqref="Z34:Z55 D56:Y56">
    <cfRule type="colorScale" priority="4">
      <colorScale>
        <cfvo type="percentile" val="65"/>
        <cfvo type="percentile" val="90"/>
        <color rgb="FFB6D7A8"/>
        <color rgb="FFF9CB9C"/>
      </colorScale>
    </cfRule>
  </conditionalFormatting>
  <conditionalFormatting sqref="D63:Z85">
    <cfRule type="colorScale" priority="5">
      <colorScale>
        <cfvo type="percentile" val="50"/>
        <cfvo type="percentile" val="90"/>
        <color rgb="FFB6D7A8"/>
        <color rgb="FFF9CB9C"/>
      </colorScale>
    </cfRule>
  </conditionalFormatting>
  <conditionalFormatting sqref="AA63:AA85 D86:Z86">
    <cfRule type="colorScale" priority="6">
      <colorScale>
        <cfvo type="percentile" val="65"/>
        <cfvo type="percentile" val="90"/>
        <color rgb="FFB6D7A8"/>
        <color rgb="FFF9CB9C"/>
      </colorScale>
    </cfRule>
  </conditionalFormatting>
  <conditionalFormatting sqref="D93:Z115">
    <cfRule type="colorScale" priority="7">
      <colorScale>
        <cfvo type="percentile" val="50"/>
        <cfvo type="percentile" val="90"/>
        <color rgb="FFB6D7A8"/>
        <color rgb="FFF9CB9C"/>
      </colorScale>
    </cfRule>
  </conditionalFormatting>
  <conditionalFormatting sqref="AA93:AA115 D116:Z116">
    <cfRule type="colorScale" priority="8">
      <colorScale>
        <cfvo type="percentile" val="65"/>
        <cfvo type="percentile" val="90"/>
        <color rgb="FFB6D7A8"/>
        <color rgb="FFF9CB9C"/>
      </colorScale>
    </cfRule>
  </conditionalFormatting>
  <conditionalFormatting sqref="D123:Z145">
    <cfRule type="colorScale" priority="9">
      <colorScale>
        <cfvo type="percentile" val="50"/>
        <cfvo type="percentile" val="90"/>
        <color rgb="FFB6D7A8"/>
        <color rgb="FFF9CB9C"/>
      </colorScale>
    </cfRule>
  </conditionalFormatting>
  <conditionalFormatting sqref="D146:Z146 AA123:AA145">
    <cfRule type="colorScale" priority="10">
      <colorScale>
        <cfvo type="percentile" val="65"/>
        <cfvo type="percentile" val="90"/>
        <color rgb="FFB6D7A8"/>
        <color rgb="FFF9CB9C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.29"/>
    <col customWidth="1" min="2" max="2" width="5.14"/>
    <col customWidth="1" min="3" max="3" width="7.29"/>
    <col customWidth="1" min="4" max="4" width="53.71"/>
    <col customWidth="1" min="5" max="14" width="7.29"/>
  </cols>
  <sheetData>
    <row r="1">
      <c r="A1" s="109"/>
      <c r="B1" s="109"/>
      <c r="C1" s="5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7.25">
      <c r="A2" s="109"/>
      <c r="B2" s="3" t="s">
        <v>1</v>
      </c>
      <c r="C2" s="5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09"/>
      <c r="B3" s="109"/>
      <c r="C3" s="5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3.5">
      <c r="A4" s="109"/>
      <c r="B4" s="53" t="str">
        <f>"Normal - All cases in order for the piece in Column B ("&amp;B6&amp;B7&amp;", "&amp;B6&amp;B8&amp;", "&amp;B6&amp;B9&amp;", etc.)"</f>
        <v>Normal - All cases in order for the piece in Column B (BC, BD, BF, etc.)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4.25">
      <c r="A5" s="109"/>
      <c r="B5" s="110" t="s">
        <v>3655</v>
      </c>
      <c r="C5" s="111" t="s">
        <v>3656</v>
      </c>
      <c r="D5" s="112" t="s">
        <v>190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3.5">
      <c r="A6" s="109"/>
      <c r="B6" s="113" t="str">
        <f>Letters!$D$5</f>
        <v>B</v>
      </c>
      <c r="C6" s="114">
        <v>30.69</v>
      </c>
      <c r="D6" s="109" t="s">
        <v>3657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3.5">
      <c r="A7" s="109"/>
      <c r="B7" s="113" t="str">
        <f>Letters!$D$6</f>
        <v>C</v>
      </c>
      <c r="C7" s="114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3.5">
      <c r="A8" s="109"/>
      <c r="B8" s="113" t="str">
        <f>Letters!$D$7</f>
        <v>D</v>
      </c>
      <c r="C8" s="114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3.5">
      <c r="A9" s="109"/>
      <c r="B9" s="113" t="str">
        <f>Letters!$D$9</f>
        <v>F</v>
      </c>
      <c r="C9" s="114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3.5">
      <c r="A10" s="109"/>
      <c r="B10" s="113" t="str">
        <f>Letters!$D$10</f>
        <v>G</v>
      </c>
      <c r="C10" s="114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13.5">
      <c r="A11" s="109"/>
      <c r="B11" s="113" t="str">
        <f>Letters!$D$11</f>
        <v>H</v>
      </c>
      <c r="C11" s="114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13.5">
      <c r="A12" s="109"/>
      <c r="B12" s="113" t="str">
        <f>Letters!$D$12</f>
        <v>I</v>
      </c>
      <c r="C12" s="114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3.5">
      <c r="A13" s="109"/>
      <c r="B13" s="113" t="str">
        <f>Letters!$D$13</f>
        <v>R</v>
      </c>
      <c r="C13" s="114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3.5">
      <c r="A14" s="109"/>
      <c r="B14" s="113" t="str">
        <f>Letters!$D$14</f>
        <v>K</v>
      </c>
      <c r="C14" s="114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3.5">
      <c r="A15" s="109"/>
      <c r="B15" s="113" t="str">
        <f>Letters!$D$15</f>
        <v>L</v>
      </c>
      <c r="C15" s="114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3.5">
      <c r="A16" s="109"/>
      <c r="B16" s="113" t="str">
        <f>Letters!$D$16</f>
        <v>M</v>
      </c>
      <c r="C16" s="114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3.5">
      <c r="A17" s="109"/>
      <c r="B17" s="113" t="str">
        <f>Letters!$D$17</f>
        <v>N</v>
      </c>
      <c r="C17" s="114">
        <v>51.95</v>
      </c>
      <c r="D17" s="109" t="s">
        <v>3658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3.5">
      <c r="A18" s="109"/>
      <c r="B18" s="113" t="str">
        <f>Letters!$D$18</f>
        <v>O</v>
      </c>
      <c r="C18" s="114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3.5">
      <c r="A19" s="109"/>
      <c r="B19" s="113" t="str">
        <f>Letters!$D$19</f>
        <v>P</v>
      </c>
      <c r="C19" s="114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3.5">
      <c r="A20" s="109"/>
      <c r="B20" s="113" t="str">
        <f>Letters!$D$20</f>
        <v>A</v>
      </c>
      <c r="C20" s="114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3.5">
      <c r="A21" s="109"/>
      <c r="B21" s="113" t="str">
        <f>Letters!$D$22</f>
        <v>S</v>
      </c>
      <c r="C21" s="114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3.5">
      <c r="A22" s="109"/>
      <c r="B22" s="113" t="str">
        <f>Letters!$D$23</f>
        <v>T</v>
      </c>
      <c r="C22" s="114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3.5">
      <c r="A23" s="109"/>
      <c r="B23" s="113" t="str">
        <f>Letters!$D$24</f>
        <v>U</v>
      </c>
      <c r="C23" s="114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3.5">
      <c r="A24" s="109"/>
      <c r="B24" s="113" t="str">
        <f>Letters!$D$25</f>
        <v>V</v>
      </c>
      <c r="C24" s="114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3.5">
      <c r="A25" s="109"/>
      <c r="B25" s="113" t="str">
        <f>Letters!$D$26</f>
        <v>W</v>
      </c>
      <c r="C25" s="114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3.5">
      <c r="A26" s="109"/>
      <c r="B26" s="113" t="str">
        <f>Letters!$D$27</f>
        <v>E</v>
      </c>
      <c r="C26" s="114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>
      <c r="A27" s="109"/>
      <c r="B27" s="109"/>
      <c r="C27" s="5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3.5">
      <c r="A28" s="109"/>
      <c r="B28" s="53" t="str">
        <f>"Inverse - All cases inverse for the piece in Column B ("&amp;B50&amp;B30&amp;", "&amp;B49&amp;B30&amp;", "&amp;B48&amp;B30&amp;", etc.)"</f>
        <v>Inverse - All cases inverse for the piece in Column B (EB, WB, VB, etc.)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4.25">
      <c r="A29" s="109"/>
      <c r="B29" s="110" t="s">
        <v>3655</v>
      </c>
      <c r="C29" s="111" t="s">
        <v>3656</v>
      </c>
      <c r="D29" s="112" t="s">
        <v>190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3.5">
      <c r="A30" s="109"/>
      <c r="B30" s="113" t="str">
        <f>Letters!$D$5</f>
        <v>B</v>
      </c>
      <c r="C30" s="114"/>
      <c r="D30" s="109" t="s">
        <v>3659</v>
      </c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3.5">
      <c r="A31" s="109"/>
      <c r="B31" s="113" t="str">
        <f>Letters!$D$6</f>
        <v>C</v>
      </c>
      <c r="C31" s="114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3.5">
      <c r="A32" s="109"/>
      <c r="B32" s="113" t="str">
        <f>Letters!$D$7</f>
        <v>D</v>
      </c>
      <c r="C32" s="114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3.5">
      <c r="A33" s="109"/>
      <c r="B33" s="113" t="str">
        <f>Letters!$D$9</f>
        <v>F</v>
      </c>
      <c r="C33" s="114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3.5">
      <c r="A34" s="109"/>
      <c r="B34" s="113" t="str">
        <f>Letters!$D$10</f>
        <v>G</v>
      </c>
      <c r="C34" s="114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3.5">
      <c r="A35" s="109"/>
      <c r="B35" s="113" t="str">
        <f>Letters!$D$11</f>
        <v>H</v>
      </c>
      <c r="C35" s="114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3.5">
      <c r="A36" s="109"/>
      <c r="B36" s="113" t="str">
        <f>Letters!$D$12</f>
        <v>I</v>
      </c>
      <c r="C36" s="114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3.5">
      <c r="A37" s="109"/>
      <c r="B37" s="113" t="str">
        <f>Letters!$D$13</f>
        <v>R</v>
      </c>
      <c r="C37" s="114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3.5">
      <c r="A38" s="109"/>
      <c r="B38" s="113" t="str">
        <f>Letters!$D$14</f>
        <v>K</v>
      </c>
      <c r="C38" s="114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3.5">
      <c r="A39" s="109"/>
      <c r="B39" s="113" t="str">
        <f>Letters!$D$15</f>
        <v>L</v>
      </c>
      <c r="C39" s="114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3.5">
      <c r="A40" s="109"/>
      <c r="B40" s="113" t="str">
        <f>Letters!$D$16</f>
        <v>M</v>
      </c>
      <c r="C40" s="114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3.5">
      <c r="A41" s="109"/>
      <c r="B41" s="113" t="str">
        <f>Letters!$D$17</f>
        <v>N</v>
      </c>
      <c r="C41" s="114"/>
      <c r="D41" s="109" t="s">
        <v>3660</v>
      </c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3.5">
      <c r="A42" s="109"/>
      <c r="B42" s="113" t="str">
        <f>Letters!$D$18</f>
        <v>O</v>
      </c>
      <c r="C42" s="114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3.5">
      <c r="A43" s="109"/>
      <c r="B43" s="113" t="str">
        <f>Letters!$D$19</f>
        <v>P</v>
      </c>
      <c r="C43" s="114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3.5">
      <c r="A44" s="109"/>
      <c r="B44" s="113" t="str">
        <f>Letters!$D$20</f>
        <v>A</v>
      </c>
      <c r="C44" s="114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3.5">
      <c r="A45" s="109"/>
      <c r="B45" s="113" t="str">
        <f>Letters!$D$22</f>
        <v>S</v>
      </c>
      <c r="C45" s="114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3.5">
      <c r="A46" s="109"/>
      <c r="B46" s="113" t="str">
        <f>Letters!$D$23</f>
        <v>T</v>
      </c>
      <c r="C46" s="114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3.5">
      <c r="A47" s="109"/>
      <c r="B47" s="113" t="str">
        <f>Letters!$D$24</f>
        <v>U</v>
      </c>
      <c r="C47" s="114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3.5">
      <c r="A48" s="109"/>
      <c r="B48" s="113" t="str">
        <f>Letters!$D$25</f>
        <v>V</v>
      </c>
      <c r="C48" s="114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3.5">
      <c r="A49" s="109"/>
      <c r="B49" s="113" t="str">
        <f>Letters!$D$26</f>
        <v>W</v>
      </c>
      <c r="C49" s="114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3.5">
      <c r="A50" s="109"/>
      <c r="B50" s="113" t="str">
        <f>Letters!$D$27</f>
        <v>E</v>
      </c>
      <c r="C50" s="114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>
      <c r="A51" s="109"/>
      <c r="B51" s="109"/>
      <c r="C51" s="5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3.5">
      <c r="A52" s="109"/>
      <c r="B52" s="53" t="s">
        <v>3661</v>
      </c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4.25">
      <c r="A53" s="109"/>
      <c r="B53" s="110" t="s">
        <v>3655</v>
      </c>
      <c r="C53" s="111" t="s">
        <v>3656</v>
      </c>
      <c r="D53" s="112" t="s">
        <v>190</v>
      </c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3.5">
      <c r="A54" s="109"/>
      <c r="B54" s="113" t="str">
        <f>Letters!$D$5</f>
        <v>B</v>
      </c>
      <c r="C54" s="114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3.5">
      <c r="A55" s="109"/>
      <c r="B55" s="113" t="str">
        <f>Letters!$D$6</f>
        <v>C</v>
      </c>
      <c r="C55" s="114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3.5">
      <c r="A56" s="109"/>
      <c r="B56" s="113" t="str">
        <f>Letters!$D$7</f>
        <v>D</v>
      </c>
      <c r="C56" s="114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3.5">
      <c r="A57" s="109"/>
      <c r="B57" s="113" t="str">
        <f>Letters!$D$9</f>
        <v>F</v>
      </c>
      <c r="C57" s="114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3.5">
      <c r="A58" s="109"/>
      <c r="B58" s="113" t="str">
        <f>Letters!$D$10</f>
        <v>G</v>
      </c>
      <c r="C58" s="114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3.5">
      <c r="A59" s="109"/>
      <c r="B59" s="113" t="str">
        <f>Letters!$D$11</f>
        <v>H</v>
      </c>
      <c r="C59" s="114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3.5">
      <c r="A60" s="109"/>
      <c r="B60" s="113" t="str">
        <f>Letters!$D$12</f>
        <v>I</v>
      </c>
      <c r="C60" s="114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3.5">
      <c r="A61" s="109"/>
      <c r="B61" s="113" t="str">
        <f>Letters!$D$13</f>
        <v>R</v>
      </c>
      <c r="C61" s="114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3.5">
      <c r="A62" s="109"/>
      <c r="B62" s="113" t="str">
        <f>Letters!$D$14</f>
        <v>K</v>
      </c>
      <c r="C62" s="114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3.5">
      <c r="A63" s="109"/>
      <c r="B63" s="113" t="str">
        <f>Letters!$D$15</f>
        <v>L</v>
      </c>
      <c r="C63" s="114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3.5">
      <c r="A64" s="109"/>
      <c r="B64" s="113" t="str">
        <f>Letters!$D$16</f>
        <v>M</v>
      </c>
      <c r="C64" s="114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3.5">
      <c r="A65" s="109"/>
      <c r="B65" s="113" t="str">
        <f>Letters!$D$17</f>
        <v>N</v>
      </c>
      <c r="C65" s="114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3.5">
      <c r="A66" s="109"/>
      <c r="B66" s="113" t="str">
        <f>Letters!$D$18</f>
        <v>O</v>
      </c>
      <c r="C66" s="114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3.5">
      <c r="A67" s="109"/>
      <c r="B67" s="113" t="str">
        <f>Letters!$D$19</f>
        <v>P</v>
      </c>
      <c r="C67" s="114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3.5">
      <c r="A68" s="109"/>
      <c r="B68" s="113" t="str">
        <f>Letters!$D$20</f>
        <v>A</v>
      </c>
      <c r="C68" s="114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3.5">
      <c r="A69" s="109"/>
      <c r="B69" s="113" t="str">
        <f>Letters!$D$22</f>
        <v>S</v>
      </c>
      <c r="C69" s="114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3.5">
      <c r="A70" s="109"/>
      <c r="B70" s="113" t="str">
        <f>Letters!$D$23</f>
        <v>T</v>
      </c>
      <c r="C70" s="114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3.5">
      <c r="A71" s="109"/>
      <c r="B71" s="113" t="str">
        <f>Letters!$D$24</f>
        <v>U</v>
      </c>
      <c r="C71" s="114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3.5">
      <c r="A72" s="109"/>
      <c r="B72" s="113" t="str">
        <f>Letters!$D$25</f>
        <v>V</v>
      </c>
      <c r="C72" s="114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3.5">
      <c r="A73" s="109"/>
      <c r="B73" s="113" t="str">
        <f>Letters!$D$26</f>
        <v>W</v>
      </c>
      <c r="C73" s="114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3.5">
      <c r="A74" s="109"/>
      <c r="B74" s="113" t="str">
        <f>Letters!$D$27</f>
        <v>E</v>
      </c>
      <c r="C74" s="114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>
      <c r="A75" s="109"/>
      <c r="B75" s="109"/>
      <c r="C75" s="5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>
      <c r="A76" s="109"/>
      <c r="B76" s="109"/>
      <c r="C76" s="5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>
      <c r="A77" s="109"/>
      <c r="B77" s="109"/>
      <c r="C77" s="5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>
      <c r="A78" s="109"/>
      <c r="B78" s="109"/>
      <c r="C78" s="5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>
      <c r="A79" s="109"/>
      <c r="B79" s="109"/>
      <c r="C79" s="5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>
      <c r="A80" s="109"/>
      <c r="B80" s="109"/>
      <c r="C80" s="5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>
      <c r="A81" s="109"/>
      <c r="B81" s="109"/>
      <c r="C81" s="5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>
      <c r="A82" s="109"/>
      <c r="B82" s="109"/>
      <c r="C82" s="5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>
      <c r="A83" s="109"/>
      <c r="B83" s="109"/>
      <c r="C83" s="5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>
      <c r="A84" s="109"/>
      <c r="B84" s="109"/>
      <c r="C84" s="5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>
      <c r="A85" s="109"/>
      <c r="B85" s="109"/>
      <c r="C85" s="5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>
      <c r="A86" s="109"/>
      <c r="B86" s="109"/>
      <c r="C86" s="5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>
      <c r="A87" s="109"/>
      <c r="B87" s="109"/>
      <c r="C87" s="5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>
      <c r="A88" s="109"/>
      <c r="B88" s="109"/>
      <c r="C88" s="5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>
      <c r="A89" s="109"/>
      <c r="B89" s="109"/>
      <c r="C89" s="5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>
      <c r="A90" s="109"/>
      <c r="B90" s="109"/>
      <c r="C90" s="5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>
      <c r="A91" s="109"/>
      <c r="B91" s="109"/>
      <c r="C91" s="5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>
      <c r="A92" s="109"/>
      <c r="B92" s="109"/>
      <c r="C92" s="5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>
      <c r="A93" s="109"/>
      <c r="B93" s="109"/>
      <c r="C93" s="5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>
      <c r="A94" s="109"/>
      <c r="B94" s="109"/>
      <c r="C94" s="5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>
      <c r="A95" s="109"/>
      <c r="B95" s="109"/>
      <c r="C95" s="5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>
      <c r="A96" s="109"/>
      <c r="B96" s="109"/>
      <c r="C96" s="5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>
      <c r="A97" s="109"/>
      <c r="B97" s="109"/>
      <c r="C97" s="5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>
      <c r="A98" s="109"/>
      <c r="B98" s="109"/>
      <c r="C98" s="5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>
      <c r="A99" s="109"/>
      <c r="B99" s="109"/>
      <c r="C99" s="5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>
      <c r="A100" s="109"/>
      <c r="B100" s="109"/>
      <c r="C100" s="5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>
      <c r="A101" s="109"/>
      <c r="B101" s="109"/>
      <c r="C101" s="5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>
      <c r="A102" s="109"/>
      <c r="B102" s="109"/>
      <c r="C102" s="5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>
      <c r="A103" s="109"/>
      <c r="B103" s="109"/>
      <c r="C103" s="5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>
      <c r="A104" s="109"/>
      <c r="B104" s="109"/>
      <c r="C104" s="5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>
      <c r="A105" s="109"/>
      <c r="B105" s="109"/>
      <c r="C105" s="5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>
      <c r="A106" s="109"/>
      <c r="B106" s="109"/>
      <c r="C106" s="5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>
      <c r="A107" s="109"/>
      <c r="B107" s="109"/>
      <c r="C107" s="5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>
      <c r="A108" s="109"/>
      <c r="B108" s="109"/>
      <c r="C108" s="5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>
      <c r="A109" s="109"/>
      <c r="B109" s="109"/>
      <c r="C109" s="5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>
      <c r="A110" s="109"/>
      <c r="B110" s="109"/>
      <c r="C110" s="5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>
      <c r="A111" s="109"/>
      <c r="B111" s="109"/>
      <c r="C111" s="5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>
      <c r="A112" s="109"/>
      <c r="B112" s="109"/>
      <c r="C112" s="5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>
      <c r="A113" s="109"/>
      <c r="B113" s="109"/>
      <c r="C113" s="5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>
      <c r="A114" s="109"/>
      <c r="B114" s="109"/>
      <c r="C114" s="5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>
      <c r="A115" s="109"/>
      <c r="B115" s="109"/>
      <c r="C115" s="5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>
      <c r="A116" s="109"/>
      <c r="B116" s="109"/>
      <c r="C116" s="5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>
      <c r="A117" s="109"/>
      <c r="B117" s="109"/>
      <c r="C117" s="5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>
      <c r="A118" s="109"/>
      <c r="B118" s="109"/>
      <c r="C118" s="5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>
      <c r="A119" s="109"/>
      <c r="B119" s="109"/>
      <c r="C119" s="5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>
      <c r="A120" s="109"/>
      <c r="B120" s="109"/>
      <c r="C120" s="5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>
      <c r="A121" s="109"/>
      <c r="B121" s="109"/>
      <c r="C121" s="5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>
      <c r="A122" s="109"/>
      <c r="B122" s="109"/>
      <c r="C122" s="5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>
      <c r="A123" s="109"/>
      <c r="B123" s="109"/>
      <c r="C123" s="5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>
      <c r="A124" s="109"/>
      <c r="B124" s="109"/>
      <c r="C124" s="5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>
      <c r="A125" s="109"/>
      <c r="B125" s="109"/>
      <c r="C125" s="5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>
      <c r="A126" s="109"/>
      <c r="B126" s="109"/>
      <c r="C126" s="5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>
      <c r="A127" s="109"/>
      <c r="B127" s="109"/>
      <c r="C127" s="5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>
      <c r="A128" s="109"/>
      <c r="B128" s="109"/>
      <c r="C128" s="5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>
      <c r="A129" s="109"/>
      <c r="B129" s="109"/>
      <c r="C129" s="5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>
      <c r="A130" s="109"/>
      <c r="B130" s="109"/>
      <c r="C130" s="5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>
      <c r="A131" s="109"/>
      <c r="B131" s="109"/>
      <c r="C131" s="5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>
      <c r="A132" s="109"/>
      <c r="B132" s="109"/>
      <c r="C132" s="5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>
      <c r="A133" s="109"/>
      <c r="B133" s="109"/>
      <c r="C133" s="5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>
      <c r="A134" s="109"/>
      <c r="B134" s="109"/>
      <c r="C134" s="5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>
      <c r="A135" s="109"/>
      <c r="B135" s="109"/>
      <c r="C135" s="5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>
      <c r="A136" s="109"/>
      <c r="B136" s="109"/>
      <c r="C136" s="5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>
      <c r="A137" s="109"/>
      <c r="B137" s="109"/>
      <c r="C137" s="5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>
      <c r="A138" s="109"/>
      <c r="B138" s="109"/>
      <c r="C138" s="5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>
      <c r="A139" s="109"/>
      <c r="B139" s="109"/>
      <c r="C139" s="5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>
      <c r="A140" s="109"/>
      <c r="B140" s="109"/>
      <c r="C140" s="5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>
      <c r="A141" s="109"/>
      <c r="B141" s="109"/>
      <c r="C141" s="5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>
      <c r="A142" s="109"/>
      <c r="B142" s="109"/>
      <c r="C142" s="5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>
      <c r="A143" s="109"/>
      <c r="B143" s="109"/>
      <c r="C143" s="5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>
      <c r="A144" s="109"/>
      <c r="B144" s="109"/>
      <c r="C144" s="5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>
      <c r="A145" s="109"/>
      <c r="B145" s="109"/>
      <c r="C145" s="5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>
      <c r="A146" s="109"/>
      <c r="B146" s="109"/>
      <c r="C146" s="5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>
      <c r="A147" s="109"/>
      <c r="B147" s="109"/>
      <c r="C147" s="5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>
      <c r="A148" s="109"/>
      <c r="B148" s="109"/>
      <c r="C148" s="5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>
      <c r="A149" s="109"/>
      <c r="B149" s="109"/>
      <c r="C149" s="5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>
      <c r="A150" s="109"/>
      <c r="B150" s="109"/>
      <c r="C150" s="5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>
      <c r="A151" s="109"/>
      <c r="B151" s="109"/>
      <c r="C151" s="5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>
      <c r="A152" s="109"/>
      <c r="B152" s="109"/>
      <c r="C152" s="5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>
      <c r="A153" s="109"/>
      <c r="B153" s="109"/>
      <c r="C153" s="5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>
      <c r="A154" s="109"/>
      <c r="B154" s="109"/>
      <c r="C154" s="5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>
      <c r="A155" s="109"/>
      <c r="B155" s="109"/>
      <c r="C155" s="5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>
      <c r="A156" s="109"/>
      <c r="B156" s="109"/>
      <c r="C156" s="5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>
      <c r="A157" s="109"/>
      <c r="B157" s="109"/>
      <c r="C157" s="5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>
      <c r="A158" s="109"/>
      <c r="B158" s="109"/>
      <c r="C158" s="5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>
      <c r="A159" s="109"/>
      <c r="B159" s="109"/>
      <c r="C159" s="5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>
      <c r="A160" s="109"/>
      <c r="B160" s="109"/>
      <c r="C160" s="5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>
      <c r="A161" s="109"/>
      <c r="B161" s="109"/>
      <c r="C161" s="5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>
      <c r="A162" s="109"/>
      <c r="B162" s="109"/>
      <c r="C162" s="5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>
      <c r="A163" s="109"/>
      <c r="B163" s="109"/>
      <c r="C163" s="5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>
      <c r="A164" s="109"/>
      <c r="B164" s="109"/>
      <c r="C164" s="5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>
      <c r="A165" s="109"/>
      <c r="B165" s="109"/>
      <c r="C165" s="5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>
      <c r="A166" s="109"/>
      <c r="B166" s="109"/>
      <c r="C166" s="5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>
      <c r="A167" s="109"/>
      <c r="B167" s="109"/>
      <c r="C167" s="5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>
      <c r="A168" s="109"/>
      <c r="B168" s="109"/>
      <c r="C168" s="5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>
      <c r="A169" s="109"/>
      <c r="B169" s="109"/>
      <c r="C169" s="5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>
      <c r="A170" s="109"/>
      <c r="B170" s="109"/>
      <c r="C170" s="5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>
      <c r="A171" s="109"/>
      <c r="B171" s="109"/>
      <c r="C171" s="5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>
      <c r="A172" s="109"/>
      <c r="B172" s="109"/>
      <c r="C172" s="5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>
      <c r="A173" s="109"/>
      <c r="B173" s="109"/>
      <c r="C173" s="5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>
      <c r="A174" s="109"/>
      <c r="B174" s="109"/>
      <c r="C174" s="5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>
      <c r="A175" s="109"/>
      <c r="B175" s="109"/>
      <c r="C175" s="5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>
      <c r="A176" s="109"/>
      <c r="B176" s="109"/>
      <c r="C176" s="5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>
      <c r="A177" s="109"/>
      <c r="B177" s="109"/>
      <c r="C177" s="5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>
      <c r="A178" s="109"/>
      <c r="B178" s="109"/>
      <c r="C178" s="5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>
      <c r="A179" s="109"/>
      <c r="B179" s="109"/>
      <c r="C179" s="5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>
      <c r="A180" s="109"/>
      <c r="B180" s="109"/>
      <c r="C180" s="5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>
      <c r="A181" s="109"/>
      <c r="B181" s="109"/>
      <c r="C181" s="5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>
      <c r="A182" s="109"/>
      <c r="B182" s="109"/>
      <c r="C182" s="5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>
      <c r="A183" s="109"/>
      <c r="B183" s="109"/>
      <c r="C183" s="5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>
      <c r="A184" s="109"/>
      <c r="B184" s="109"/>
      <c r="C184" s="5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>
      <c r="A185" s="109"/>
      <c r="B185" s="109"/>
      <c r="C185" s="5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>
      <c r="A186" s="109"/>
      <c r="B186" s="109"/>
      <c r="C186" s="5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>
      <c r="A187" s="109"/>
      <c r="B187" s="109"/>
      <c r="C187" s="5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>
      <c r="A188" s="109"/>
      <c r="B188" s="109"/>
      <c r="C188" s="5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>
      <c r="A189" s="109"/>
      <c r="B189" s="109"/>
      <c r="C189" s="5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>
      <c r="A190" s="109"/>
      <c r="B190" s="109"/>
      <c r="C190" s="5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>
      <c r="A191" s="109"/>
      <c r="B191" s="109"/>
      <c r="C191" s="5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>
      <c r="A192" s="109"/>
      <c r="B192" s="109"/>
      <c r="C192" s="5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>
      <c r="A193" s="109"/>
      <c r="B193" s="109"/>
      <c r="C193" s="5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>
      <c r="A194" s="109"/>
      <c r="B194" s="109"/>
      <c r="C194" s="5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>
      <c r="A195" s="109"/>
      <c r="B195" s="109"/>
      <c r="C195" s="5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>
      <c r="A196" s="109"/>
      <c r="B196" s="109"/>
      <c r="C196" s="5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>
      <c r="A197" s="109"/>
      <c r="B197" s="109"/>
      <c r="C197" s="5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>
      <c r="A198" s="109"/>
      <c r="B198" s="109"/>
      <c r="C198" s="5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>
      <c r="A199" s="109"/>
      <c r="B199" s="109"/>
      <c r="C199" s="5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>
      <c r="A200" s="109"/>
      <c r="B200" s="109"/>
      <c r="C200" s="5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>
      <c r="A201" s="109"/>
      <c r="B201" s="109"/>
      <c r="C201" s="5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>
      <c r="A202" s="109"/>
      <c r="B202" s="109"/>
      <c r="C202" s="5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>
      <c r="A203" s="109"/>
      <c r="B203" s="109"/>
      <c r="C203" s="5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>
      <c r="A204" s="109"/>
      <c r="B204" s="109"/>
      <c r="C204" s="5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>
      <c r="A205" s="109"/>
      <c r="B205" s="109"/>
      <c r="C205" s="5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>
      <c r="A206" s="109"/>
      <c r="B206" s="109"/>
      <c r="C206" s="5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>
      <c r="A207" s="109"/>
      <c r="B207" s="109"/>
      <c r="C207" s="5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>
      <c r="A208" s="109"/>
      <c r="B208" s="109"/>
      <c r="C208" s="5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>
      <c r="A209" s="109"/>
      <c r="B209" s="109"/>
      <c r="C209" s="5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>
      <c r="A210" s="109"/>
      <c r="B210" s="109"/>
      <c r="C210" s="5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>
      <c r="A211" s="109"/>
      <c r="B211" s="109"/>
      <c r="C211" s="5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>
      <c r="A212" s="109"/>
      <c r="B212" s="109"/>
      <c r="C212" s="5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>
      <c r="A213" s="109"/>
      <c r="B213" s="109"/>
      <c r="C213" s="5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>
      <c r="A214" s="109"/>
      <c r="B214" s="109"/>
      <c r="C214" s="5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>
      <c r="A215" s="109"/>
      <c r="B215" s="109"/>
      <c r="C215" s="5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>
      <c r="A216" s="109"/>
      <c r="B216" s="109"/>
      <c r="C216" s="5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>
      <c r="A217" s="109"/>
      <c r="B217" s="109"/>
      <c r="C217" s="5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>
      <c r="A218" s="109"/>
      <c r="B218" s="109"/>
      <c r="C218" s="5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>
      <c r="A219" s="109"/>
      <c r="B219" s="109"/>
      <c r="C219" s="5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>
      <c r="A220" s="109"/>
      <c r="B220" s="109"/>
      <c r="C220" s="5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>
      <c r="A221" s="109"/>
      <c r="B221" s="109"/>
      <c r="C221" s="5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>
      <c r="A222" s="109"/>
      <c r="B222" s="109"/>
      <c r="C222" s="5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>
      <c r="A223" s="109"/>
      <c r="B223" s="109"/>
      <c r="C223" s="5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>
      <c r="A224" s="109"/>
      <c r="B224" s="109"/>
      <c r="C224" s="5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>
      <c r="A225" s="109"/>
      <c r="B225" s="109"/>
      <c r="C225" s="5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>
      <c r="A226" s="109"/>
      <c r="B226" s="109"/>
      <c r="C226" s="5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>
      <c r="A227" s="109"/>
      <c r="B227" s="109"/>
      <c r="C227" s="5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>
      <c r="A228" s="109"/>
      <c r="B228" s="109"/>
      <c r="C228" s="5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>
      <c r="A229" s="109"/>
      <c r="B229" s="109"/>
      <c r="C229" s="5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>
      <c r="A230" s="109"/>
      <c r="B230" s="109"/>
      <c r="C230" s="5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>
      <c r="A231" s="109"/>
      <c r="B231" s="109"/>
      <c r="C231" s="5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>
      <c r="A232" s="109"/>
      <c r="B232" s="109"/>
      <c r="C232" s="5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>
      <c r="A233" s="109"/>
      <c r="B233" s="109"/>
      <c r="C233" s="5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>
      <c r="A234" s="109"/>
      <c r="B234" s="109"/>
      <c r="C234" s="5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>
      <c r="A235" s="109"/>
      <c r="B235" s="109"/>
      <c r="C235" s="5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>
      <c r="A236" s="109"/>
      <c r="B236" s="109"/>
      <c r="C236" s="5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>
      <c r="A237" s="109"/>
      <c r="B237" s="109"/>
      <c r="C237" s="5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>
      <c r="A238" s="109"/>
      <c r="B238" s="109"/>
      <c r="C238" s="5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>
      <c r="A239" s="109"/>
      <c r="B239" s="109"/>
      <c r="C239" s="5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>
      <c r="A240" s="109"/>
      <c r="B240" s="109"/>
      <c r="C240" s="5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>
      <c r="A241" s="109"/>
      <c r="B241" s="109"/>
      <c r="C241" s="5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>
      <c r="A242" s="109"/>
      <c r="B242" s="109"/>
      <c r="C242" s="5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>
      <c r="A243" s="109"/>
      <c r="B243" s="109"/>
      <c r="C243" s="5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>
      <c r="A244" s="109"/>
      <c r="B244" s="109"/>
      <c r="C244" s="5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>
      <c r="A245" s="109"/>
      <c r="B245" s="109"/>
      <c r="C245" s="5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>
      <c r="A246" s="109"/>
      <c r="B246" s="109"/>
      <c r="C246" s="5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>
      <c r="A247" s="109"/>
      <c r="B247" s="109"/>
      <c r="C247" s="5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>
      <c r="A248" s="109"/>
      <c r="B248" s="109"/>
      <c r="C248" s="5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>
      <c r="A249" s="109"/>
      <c r="B249" s="109"/>
      <c r="C249" s="5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>
      <c r="A250" s="109"/>
      <c r="B250" s="109"/>
      <c r="C250" s="5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>
      <c r="A251" s="109"/>
      <c r="B251" s="109"/>
      <c r="C251" s="5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>
      <c r="A252" s="109"/>
      <c r="B252" s="109"/>
      <c r="C252" s="5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>
      <c r="A253" s="109"/>
      <c r="B253" s="109"/>
      <c r="C253" s="5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>
      <c r="A254" s="109"/>
      <c r="B254" s="109"/>
      <c r="C254" s="5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>
      <c r="A255" s="109"/>
      <c r="B255" s="109"/>
      <c r="C255" s="5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>
      <c r="A256" s="109"/>
      <c r="B256" s="109"/>
      <c r="C256" s="5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>
      <c r="A257" s="109"/>
      <c r="B257" s="109"/>
      <c r="C257" s="5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>
      <c r="A258" s="109"/>
      <c r="B258" s="109"/>
      <c r="C258" s="5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>
      <c r="A259" s="109"/>
      <c r="B259" s="109"/>
      <c r="C259" s="5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>
      <c r="A260" s="109"/>
      <c r="B260" s="109"/>
      <c r="C260" s="5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>
      <c r="A261" s="109"/>
      <c r="B261" s="109"/>
      <c r="C261" s="5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>
      <c r="A262" s="109"/>
      <c r="B262" s="109"/>
      <c r="C262" s="5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>
      <c r="A263" s="109"/>
      <c r="B263" s="109"/>
      <c r="C263" s="5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>
      <c r="A264" s="109"/>
      <c r="B264" s="109"/>
      <c r="C264" s="5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>
      <c r="A265" s="109"/>
      <c r="B265" s="109"/>
      <c r="C265" s="5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>
      <c r="A266" s="109"/>
      <c r="B266" s="109"/>
      <c r="C266" s="5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>
      <c r="A267" s="109"/>
      <c r="B267" s="109"/>
      <c r="C267" s="5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>
      <c r="A268" s="109"/>
      <c r="B268" s="109"/>
      <c r="C268" s="5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>
      <c r="A269" s="109"/>
      <c r="B269" s="109"/>
      <c r="C269" s="5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>
      <c r="A270" s="109"/>
      <c r="B270" s="109"/>
      <c r="C270" s="5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>
      <c r="A271" s="109"/>
      <c r="B271" s="109"/>
      <c r="C271" s="5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>
      <c r="A272" s="109"/>
      <c r="B272" s="109"/>
      <c r="C272" s="5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>
      <c r="A273" s="109"/>
      <c r="B273" s="109"/>
      <c r="C273" s="5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>
      <c r="A274" s="109"/>
      <c r="B274" s="109"/>
      <c r="C274" s="5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>
      <c r="A275" s="109"/>
      <c r="B275" s="109"/>
      <c r="C275" s="5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>
      <c r="A276" s="109"/>
      <c r="B276" s="109"/>
      <c r="C276" s="5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>
      <c r="A277" s="109"/>
      <c r="B277" s="109"/>
      <c r="C277" s="5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>
      <c r="A278" s="109"/>
      <c r="B278" s="109"/>
      <c r="C278" s="5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>
      <c r="A279" s="109"/>
      <c r="B279" s="109"/>
      <c r="C279" s="5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>
      <c r="A280" s="109"/>
      <c r="B280" s="109"/>
      <c r="C280" s="5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>
      <c r="A281" s="109"/>
      <c r="B281" s="109"/>
      <c r="C281" s="5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>
      <c r="A282" s="109"/>
      <c r="B282" s="109"/>
      <c r="C282" s="5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>
      <c r="A283" s="109"/>
      <c r="B283" s="109"/>
      <c r="C283" s="5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>
      <c r="A284" s="109"/>
      <c r="B284" s="109"/>
      <c r="C284" s="5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>
      <c r="A285" s="109"/>
      <c r="B285" s="109"/>
      <c r="C285" s="5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>
      <c r="A286" s="109"/>
      <c r="B286" s="109"/>
      <c r="C286" s="5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>
      <c r="A287" s="109"/>
      <c r="B287" s="109"/>
      <c r="C287" s="5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>
      <c r="A288" s="109"/>
      <c r="B288" s="109"/>
      <c r="C288" s="5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>
      <c r="A289" s="109"/>
      <c r="B289" s="109"/>
      <c r="C289" s="5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>
      <c r="A290" s="109"/>
      <c r="B290" s="109"/>
      <c r="C290" s="5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>
      <c r="A291" s="109"/>
      <c r="B291" s="109"/>
      <c r="C291" s="5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>
      <c r="A292" s="109"/>
      <c r="B292" s="109"/>
      <c r="C292" s="5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>
      <c r="A293" s="109"/>
      <c r="B293" s="109"/>
      <c r="C293" s="5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>
      <c r="A294" s="109"/>
      <c r="B294" s="109"/>
      <c r="C294" s="5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>
      <c r="A295" s="109"/>
      <c r="B295" s="109"/>
      <c r="C295" s="5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>
      <c r="A296" s="109"/>
      <c r="B296" s="109"/>
      <c r="C296" s="5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>
      <c r="A297" s="109"/>
      <c r="B297" s="109"/>
      <c r="C297" s="5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>
      <c r="A298" s="109"/>
      <c r="B298" s="109"/>
      <c r="C298" s="5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>
      <c r="A299" s="109"/>
      <c r="B299" s="109"/>
      <c r="C299" s="5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>
      <c r="A300" s="109"/>
      <c r="B300" s="109"/>
      <c r="C300" s="5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>
      <c r="A301" s="109"/>
      <c r="B301" s="109"/>
      <c r="C301" s="5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>
      <c r="A302" s="109"/>
      <c r="B302" s="109"/>
      <c r="C302" s="5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>
      <c r="A303" s="109"/>
      <c r="B303" s="109"/>
      <c r="C303" s="5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>
      <c r="A304" s="109"/>
      <c r="B304" s="109"/>
      <c r="C304" s="5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>
      <c r="A305" s="109"/>
      <c r="B305" s="109"/>
      <c r="C305" s="5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>
      <c r="A306" s="109"/>
      <c r="B306" s="109"/>
      <c r="C306" s="5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>
      <c r="A307" s="109"/>
      <c r="B307" s="109"/>
      <c r="C307" s="5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>
      <c r="A308" s="109"/>
      <c r="B308" s="109"/>
      <c r="C308" s="5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>
      <c r="A309" s="109"/>
      <c r="B309" s="109"/>
      <c r="C309" s="5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>
      <c r="A310" s="109"/>
      <c r="B310" s="109"/>
      <c r="C310" s="5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>
      <c r="A311" s="109"/>
      <c r="B311" s="109"/>
      <c r="C311" s="5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>
      <c r="A312" s="109"/>
      <c r="B312" s="109"/>
      <c r="C312" s="5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>
      <c r="A313" s="109"/>
      <c r="B313" s="109"/>
      <c r="C313" s="5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>
      <c r="A314" s="109"/>
      <c r="B314" s="109"/>
      <c r="C314" s="5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>
      <c r="A315" s="109"/>
      <c r="B315" s="109"/>
      <c r="C315" s="5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>
      <c r="A316" s="109"/>
      <c r="B316" s="109"/>
      <c r="C316" s="5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>
      <c r="A317" s="109"/>
      <c r="B317" s="109"/>
      <c r="C317" s="5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>
      <c r="A318" s="109"/>
      <c r="B318" s="109"/>
      <c r="C318" s="5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>
      <c r="A319" s="109"/>
      <c r="B319" s="109"/>
      <c r="C319" s="5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>
      <c r="A320" s="109"/>
      <c r="B320" s="109"/>
      <c r="C320" s="5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>
      <c r="A321" s="109"/>
      <c r="B321" s="109"/>
      <c r="C321" s="5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>
      <c r="A322" s="109"/>
      <c r="B322" s="109"/>
      <c r="C322" s="5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>
      <c r="A323" s="109"/>
      <c r="B323" s="109"/>
      <c r="C323" s="5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>
      <c r="A324" s="109"/>
      <c r="B324" s="109"/>
      <c r="C324" s="5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>
      <c r="A325" s="109"/>
      <c r="B325" s="109"/>
      <c r="C325" s="5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>
      <c r="A326" s="109"/>
      <c r="B326" s="109"/>
      <c r="C326" s="5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>
      <c r="A327" s="109"/>
      <c r="B327" s="109"/>
      <c r="C327" s="5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>
      <c r="A328" s="109"/>
      <c r="B328" s="109"/>
      <c r="C328" s="5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>
      <c r="A329" s="109"/>
      <c r="B329" s="109"/>
      <c r="C329" s="5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>
      <c r="A330" s="109"/>
      <c r="B330" s="109"/>
      <c r="C330" s="5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>
      <c r="A331" s="109"/>
      <c r="B331" s="109"/>
      <c r="C331" s="5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>
      <c r="A332" s="109"/>
      <c r="B332" s="109"/>
      <c r="C332" s="5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>
      <c r="A333" s="109"/>
      <c r="B333" s="109"/>
      <c r="C333" s="5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>
      <c r="A334" s="109"/>
      <c r="B334" s="109"/>
      <c r="C334" s="5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>
      <c r="A335" s="109"/>
      <c r="B335" s="109"/>
      <c r="C335" s="5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>
      <c r="A336" s="109"/>
      <c r="B336" s="109"/>
      <c r="C336" s="5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>
      <c r="A337" s="109"/>
      <c r="B337" s="109"/>
      <c r="C337" s="5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>
      <c r="A338" s="109"/>
      <c r="B338" s="109"/>
      <c r="C338" s="5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>
      <c r="A339" s="109"/>
      <c r="B339" s="109"/>
      <c r="C339" s="5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>
      <c r="A340" s="109"/>
      <c r="B340" s="109"/>
      <c r="C340" s="5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>
      <c r="A341" s="109"/>
      <c r="B341" s="109"/>
      <c r="C341" s="5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>
      <c r="A342" s="109"/>
      <c r="B342" s="109"/>
      <c r="C342" s="5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>
      <c r="A343" s="109"/>
      <c r="B343" s="109"/>
      <c r="C343" s="5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>
      <c r="A344" s="109"/>
      <c r="B344" s="109"/>
      <c r="C344" s="5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>
      <c r="A345" s="109"/>
      <c r="B345" s="109"/>
      <c r="C345" s="5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>
      <c r="A346" s="109"/>
      <c r="B346" s="109"/>
      <c r="C346" s="5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>
      <c r="A347" s="109"/>
      <c r="B347" s="109"/>
      <c r="C347" s="5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>
      <c r="A348" s="109"/>
      <c r="B348" s="109"/>
      <c r="C348" s="5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>
      <c r="A349" s="109"/>
      <c r="B349" s="109"/>
      <c r="C349" s="5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>
      <c r="A350" s="109"/>
      <c r="B350" s="109"/>
      <c r="C350" s="5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>
      <c r="A351" s="109"/>
      <c r="B351" s="109"/>
      <c r="C351" s="5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>
      <c r="A352" s="109"/>
      <c r="B352" s="109"/>
      <c r="C352" s="5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>
      <c r="A353" s="109"/>
      <c r="B353" s="109"/>
      <c r="C353" s="5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>
      <c r="A354" s="109"/>
      <c r="B354" s="109"/>
      <c r="C354" s="5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>
      <c r="A355" s="109"/>
      <c r="B355" s="109"/>
      <c r="C355" s="5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>
      <c r="A356" s="109"/>
      <c r="B356" s="109"/>
      <c r="C356" s="5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>
      <c r="A357" s="109"/>
      <c r="B357" s="109"/>
      <c r="C357" s="5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>
      <c r="A358" s="109"/>
      <c r="B358" s="109"/>
      <c r="C358" s="5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>
      <c r="A359" s="109"/>
      <c r="B359" s="109"/>
      <c r="C359" s="5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>
      <c r="A360" s="109"/>
      <c r="B360" s="109"/>
      <c r="C360" s="5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>
      <c r="A361" s="109"/>
      <c r="B361" s="109"/>
      <c r="C361" s="5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>
      <c r="A362" s="109"/>
      <c r="B362" s="109"/>
      <c r="C362" s="5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>
      <c r="A363" s="109"/>
      <c r="B363" s="109"/>
      <c r="C363" s="5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>
      <c r="A364" s="109"/>
      <c r="B364" s="109"/>
      <c r="C364" s="5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>
      <c r="A365" s="109"/>
      <c r="B365" s="109"/>
      <c r="C365" s="5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>
      <c r="A366" s="109"/>
      <c r="B366" s="109"/>
      <c r="C366" s="5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>
      <c r="A367" s="109"/>
      <c r="B367" s="109"/>
      <c r="C367" s="5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>
      <c r="A368" s="109"/>
      <c r="B368" s="109"/>
      <c r="C368" s="5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>
      <c r="A369" s="109"/>
      <c r="B369" s="109"/>
      <c r="C369" s="5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>
      <c r="A370" s="109"/>
      <c r="B370" s="109"/>
      <c r="C370" s="5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>
      <c r="A371" s="109"/>
      <c r="B371" s="109"/>
      <c r="C371" s="5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>
      <c r="A372" s="109"/>
      <c r="B372" s="109"/>
      <c r="C372" s="5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>
      <c r="A373" s="109"/>
      <c r="B373" s="109"/>
      <c r="C373" s="5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>
      <c r="A374" s="109"/>
      <c r="B374" s="109"/>
      <c r="C374" s="5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>
      <c r="A375" s="109"/>
      <c r="B375" s="109"/>
      <c r="C375" s="5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>
      <c r="A376" s="109"/>
      <c r="B376" s="109"/>
      <c r="C376" s="5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>
      <c r="A377" s="109"/>
      <c r="B377" s="109"/>
      <c r="C377" s="5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>
      <c r="A378" s="109"/>
      <c r="B378" s="109"/>
      <c r="C378" s="5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>
      <c r="A379" s="109"/>
      <c r="B379" s="109"/>
      <c r="C379" s="5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>
      <c r="A380" s="109"/>
      <c r="B380" s="109"/>
      <c r="C380" s="5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>
      <c r="A381" s="109"/>
      <c r="B381" s="109"/>
      <c r="C381" s="5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>
      <c r="A382" s="109"/>
      <c r="B382" s="109"/>
      <c r="C382" s="5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>
      <c r="A383" s="109"/>
      <c r="B383" s="109"/>
      <c r="C383" s="5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>
      <c r="A384" s="109"/>
      <c r="B384" s="109"/>
      <c r="C384" s="5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>
      <c r="A385" s="109"/>
      <c r="B385" s="109"/>
      <c r="C385" s="5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>
      <c r="A386" s="109"/>
      <c r="B386" s="109"/>
      <c r="C386" s="5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>
      <c r="A387" s="109"/>
      <c r="B387" s="109"/>
      <c r="C387" s="5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>
      <c r="A388" s="109"/>
      <c r="B388" s="109"/>
      <c r="C388" s="5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>
      <c r="A389" s="109"/>
      <c r="B389" s="109"/>
      <c r="C389" s="5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>
      <c r="A390" s="109"/>
      <c r="B390" s="109"/>
      <c r="C390" s="5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>
      <c r="A391" s="109"/>
      <c r="B391" s="109"/>
      <c r="C391" s="5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>
      <c r="A392" s="109"/>
      <c r="B392" s="109"/>
      <c r="C392" s="5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>
      <c r="A393" s="109"/>
      <c r="B393" s="109"/>
      <c r="C393" s="5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>
      <c r="A394" s="109"/>
      <c r="B394" s="109"/>
      <c r="C394" s="5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>
      <c r="A395" s="109"/>
      <c r="B395" s="109"/>
      <c r="C395" s="5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>
      <c r="A396" s="109"/>
      <c r="B396" s="109"/>
      <c r="C396" s="5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>
      <c r="A397" s="109"/>
      <c r="B397" s="109"/>
      <c r="C397" s="5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>
      <c r="A398" s="109"/>
      <c r="B398" s="109"/>
      <c r="C398" s="5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>
      <c r="A399" s="109"/>
      <c r="B399" s="109"/>
      <c r="C399" s="5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>
      <c r="A400" s="109"/>
      <c r="B400" s="109"/>
      <c r="C400" s="5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>
      <c r="A401" s="109"/>
      <c r="B401" s="109"/>
      <c r="C401" s="5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>
      <c r="A402" s="109"/>
      <c r="B402" s="109"/>
      <c r="C402" s="5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>
      <c r="A403" s="109"/>
      <c r="B403" s="109"/>
      <c r="C403" s="5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>
      <c r="A404" s="109"/>
      <c r="B404" s="109"/>
      <c r="C404" s="5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>
      <c r="A405" s="109"/>
      <c r="B405" s="109"/>
      <c r="C405" s="5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>
      <c r="A406" s="109"/>
      <c r="B406" s="109"/>
      <c r="C406" s="5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>
      <c r="A407" s="109"/>
      <c r="B407" s="109"/>
      <c r="C407" s="5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>
      <c r="A408" s="109"/>
      <c r="B408" s="109"/>
      <c r="C408" s="5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>
      <c r="A409" s="109"/>
      <c r="B409" s="109"/>
      <c r="C409" s="5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>
      <c r="A410" s="109"/>
      <c r="B410" s="109"/>
      <c r="C410" s="5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>
      <c r="A411" s="109"/>
      <c r="B411" s="109"/>
      <c r="C411" s="5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>
      <c r="A412" s="109"/>
      <c r="B412" s="109"/>
      <c r="C412" s="5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>
      <c r="A413" s="109"/>
      <c r="B413" s="109"/>
      <c r="C413" s="5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>
      <c r="A414" s="109"/>
      <c r="B414" s="109"/>
      <c r="C414" s="5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>
      <c r="A415" s="109"/>
      <c r="B415" s="109"/>
      <c r="C415" s="5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>
      <c r="A416" s="109"/>
      <c r="B416" s="109"/>
      <c r="C416" s="5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>
      <c r="A417" s="109"/>
      <c r="B417" s="109"/>
      <c r="C417" s="5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>
      <c r="A418" s="109"/>
      <c r="B418" s="109"/>
      <c r="C418" s="5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>
      <c r="A419" s="109"/>
      <c r="B419" s="109"/>
      <c r="C419" s="5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>
      <c r="A420" s="109"/>
      <c r="B420" s="109"/>
      <c r="C420" s="5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>
      <c r="A421" s="109"/>
      <c r="B421" s="109"/>
      <c r="C421" s="5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>
      <c r="A422" s="109"/>
      <c r="B422" s="109"/>
      <c r="C422" s="5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>
      <c r="A423" s="109"/>
      <c r="B423" s="109"/>
      <c r="C423" s="5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>
      <c r="A424" s="109"/>
      <c r="B424" s="109"/>
      <c r="C424" s="5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>
      <c r="A425" s="109"/>
      <c r="B425" s="109"/>
      <c r="C425" s="5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>
      <c r="A426" s="109"/>
      <c r="B426" s="109"/>
      <c r="C426" s="5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>
      <c r="A427" s="109"/>
      <c r="B427" s="109"/>
      <c r="C427" s="5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>
      <c r="A428" s="109"/>
      <c r="B428" s="109"/>
      <c r="C428" s="5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>
      <c r="A429" s="109"/>
      <c r="B429" s="109"/>
      <c r="C429" s="5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>
      <c r="A430" s="109"/>
      <c r="B430" s="109"/>
      <c r="C430" s="5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>
      <c r="A431" s="109"/>
      <c r="B431" s="109"/>
      <c r="C431" s="5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>
      <c r="A432" s="109"/>
      <c r="B432" s="109"/>
      <c r="C432" s="5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>
      <c r="A433" s="109"/>
      <c r="B433" s="109"/>
      <c r="C433" s="5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>
      <c r="A434" s="109"/>
      <c r="B434" s="109"/>
      <c r="C434" s="5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>
      <c r="A435" s="109"/>
      <c r="B435" s="109"/>
      <c r="C435" s="5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>
      <c r="A436" s="109"/>
      <c r="B436" s="109"/>
      <c r="C436" s="5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>
      <c r="A437" s="109"/>
      <c r="B437" s="109"/>
      <c r="C437" s="5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>
      <c r="A438" s="109"/>
      <c r="B438" s="109"/>
      <c r="C438" s="5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>
      <c r="A439" s="109"/>
      <c r="B439" s="109"/>
      <c r="C439" s="5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>
      <c r="A440" s="109"/>
      <c r="B440" s="109"/>
      <c r="C440" s="5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>
      <c r="A441" s="109"/>
      <c r="B441" s="109"/>
      <c r="C441" s="5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>
      <c r="A442" s="109"/>
      <c r="B442" s="109"/>
      <c r="C442" s="5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>
      <c r="A443" s="109"/>
      <c r="B443" s="109"/>
      <c r="C443" s="5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>
      <c r="A444" s="109"/>
      <c r="B444" s="109"/>
      <c r="C444" s="5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>
      <c r="A445" s="109"/>
      <c r="B445" s="109"/>
      <c r="C445" s="5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>
      <c r="A446" s="109"/>
      <c r="B446" s="109"/>
      <c r="C446" s="5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>
      <c r="A447" s="109"/>
      <c r="B447" s="109"/>
      <c r="C447" s="5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>
      <c r="A448" s="109"/>
      <c r="B448" s="109"/>
      <c r="C448" s="5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>
      <c r="A449" s="109"/>
      <c r="B449" s="109"/>
      <c r="C449" s="5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>
      <c r="A450" s="109"/>
      <c r="B450" s="109"/>
      <c r="C450" s="5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>
      <c r="A451" s="109"/>
      <c r="B451" s="109"/>
      <c r="C451" s="5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>
      <c r="A452" s="109"/>
      <c r="B452" s="109"/>
      <c r="C452" s="5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>
      <c r="A453" s="109"/>
      <c r="B453" s="109"/>
      <c r="C453" s="5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>
      <c r="A454" s="109"/>
      <c r="B454" s="109"/>
      <c r="C454" s="5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>
      <c r="A455" s="109"/>
      <c r="B455" s="109"/>
      <c r="C455" s="5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>
      <c r="A456" s="109"/>
      <c r="B456" s="109"/>
      <c r="C456" s="5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>
      <c r="A457" s="109"/>
      <c r="B457" s="109"/>
      <c r="C457" s="5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>
      <c r="A458" s="109"/>
      <c r="B458" s="109"/>
      <c r="C458" s="5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>
      <c r="A459" s="109"/>
      <c r="B459" s="109"/>
      <c r="C459" s="5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>
      <c r="A460" s="109"/>
      <c r="B460" s="109"/>
      <c r="C460" s="5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>
      <c r="A461" s="109"/>
      <c r="B461" s="109"/>
      <c r="C461" s="5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>
      <c r="A462" s="109"/>
      <c r="B462" s="109"/>
      <c r="C462" s="5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>
      <c r="A463" s="109"/>
      <c r="B463" s="109"/>
      <c r="C463" s="5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>
      <c r="A464" s="109"/>
      <c r="B464" s="109"/>
      <c r="C464" s="5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>
      <c r="A465" s="109"/>
      <c r="B465" s="109"/>
      <c r="C465" s="5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>
      <c r="A466" s="109"/>
      <c r="B466" s="109"/>
      <c r="C466" s="5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>
      <c r="A467" s="109"/>
      <c r="B467" s="109"/>
      <c r="C467" s="5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>
      <c r="A468" s="109"/>
      <c r="B468" s="109"/>
      <c r="C468" s="5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>
      <c r="A469" s="109"/>
      <c r="B469" s="109"/>
      <c r="C469" s="5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>
      <c r="A470" s="109"/>
      <c r="B470" s="109"/>
      <c r="C470" s="5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>
      <c r="A471" s="109"/>
      <c r="B471" s="109"/>
      <c r="C471" s="5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>
      <c r="A472" s="109"/>
      <c r="B472" s="109"/>
      <c r="C472" s="5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>
      <c r="A473" s="109"/>
      <c r="B473" s="109"/>
      <c r="C473" s="5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>
      <c r="A474" s="109"/>
      <c r="B474" s="109"/>
      <c r="C474" s="5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>
      <c r="A475" s="109"/>
      <c r="B475" s="109"/>
      <c r="C475" s="5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>
      <c r="A476" s="109"/>
      <c r="B476" s="109"/>
      <c r="C476" s="5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>
      <c r="A477" s="109"/>
      <c r="B477" s="109"/>
      <c r="C477" s="5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>
      <c r="A478" s="109"/>
      <c r="B478" s="109"/>
      <c r="C478" s="5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>
      <c r="A479" s="109"/>
      <c r="B479" s="109"/>
      <c r="C479" s="5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>
      <c r="A480" s="109"/>
      <c r="B480" s="109"/>
      <c r="C480" s="5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>
      <c r="A481" s="109"/>
      <c r="B481" s="109"/>
      <c r="C481" s="5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>
      <c r="A482" s="109"/>
      <c r="B482" s="109"/>
      <c r="C482" s="5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>
      <c r="A483" s="109"/>
      <c r="B483" s="109"/>
      <c r="C483" s="5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>
      <c r="A484" s="109"/>
      <c r="B484" s="109"/>
      <c r="C484" s="5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>
      <c r="A485" s="109"/>
      <c r="B485" s="109"/>
      <c r="C485" s="5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>
      <c r="A486" s="109"/>
      <c r="B486" s="109"/>
      <c r="C486" s="5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>
      <c r="A487" s="109"/>
      <c r="B487" s="109"/>
      <c r="C487" s="5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>
      <c r="A488" s="109"/>
      <c r="B488" s="109"/>
      <c r="C488" s="5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>
      <c r="A489" s="109"/>
      <c r="B489" s="109"/>
      <c r="C489" s="5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>
      <c r="A490" s="109"/>
      <c r="B490" s="109"/>
      <c r="C490" s="5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>
      <c r="A491" s="109"/>
      <c r="B491" s="109"/>
      <c r="C491" s="5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>
      <c r="A492" s="109"/>
      <c r="B492" s="109"/>
      <c r="C492" s="5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>
      <c r="A493" s="109"/>
      <c r="B493" s="109"/>
      <c r="C493" s="5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>
      <c r="A494" s="109"/>
      <c r="B494" s="109"/>
      <c r="C494" s="5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>
      <c r="A495" s="109"/>
      <c r="B495" s="109"/>
      <c r="C495" s="5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>
      <c r="A496" s="109"/>
      <c r="B496" s="109"/>
      <c r="C496" s="5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>
      <c r="A497" s="109"/>
      <c r="B497" s="109"/>
      <c r="C497" s="5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>
      <c r="A498" s="109"/>
      <c r="B498" s="109"/>
      <c r="C498" s="5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>
      <c r="A499" s="109"/>
      <c r="B499" s="109"/>
      <c r="C499" s="5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>
      <c r="A500" s="109"/>
      <c r="B500" s="109"/>
      <c r="C500" s="5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>
      <c r="A501" s="109"/>
      <c r="B501" s="109"/>
      <c r="C501" s="5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>
      <c r="A502" s="109"/>
      <c r="B502" s="109"/>
      <c r="C502" s="5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>
      <c r="A503" s="109"/>
      <c r="B503" s="109"/>
      <c r="C503" s="5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>
      <c r="A504" s="109"/>
      <c r="B504" s="109"/>
      <c r="C504" s="5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>
      <c r="A505" s="109"/>
      <c r="B505" s="109"/>
      <c r="C505" s="5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>
      <c r="A506" s="109"/>
      <c r="B506" s="109"/>
      <c r="C506" s="5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>
      <c r="A507" s="109"/>
      <c r="B507" s="109"/>
      <c r="C507" s="5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>
      <c r="A508" s="109"/>
      <c r="B508" s="109"/>
      <c r="C508" s="5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>
      <c r="A509" s="109"/>
      <c r="B509" s="109"/>
      <c r="C509" s="5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>
      <c r="A510" s="109"/>
      <c r="B510" s="109"/>
      <c r="C510" s="5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>
      <c r="A511" s="109"/>
      <c r="B511" s="109"/>
      <c r="C511" s="5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>
      <c r="A512" s="109"/>
      <c r="B512" s="109"/>
      <c r="C512" s="5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>
      <c r="A513" s="109"/>
      <c r="B513" s="109"/>
      <c r="C513" s="5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>
      <c r="A514" s="109"/>
      <c r="B514" s="109"/>
      <c r="C514" s="5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>
      <c r="A515" s="109"/>
      <c r="B515" s="109"/>
      <c r="C515" s="5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>
      <c r="A516" s="109"/>
      <c r="B516" s="109"/>
      <c r="C516" s="5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>
      <c r="A517" s="109"/>
      <c r="B517" s="109"/>
      <c r="C517" s="5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>
      <c r="A518" s="109"/>
      <c r="B518" s="109"/>
      <c r="C518" s="5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>
      <c r="A519" s="109"/>
      <c r="B519" s="109"/>
      <c r="C519" s="5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>
      <c r="A520" s="109"/>
      <c r="B520" s="109"/>
      <c r="C520" s="5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>
      <c r="A521" s="109"/>
      <c r="B521" s="109"/>
      <c r="C521" s="5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>
      <c r="A522" s="109"/>
      <c r="B522" s="109"/>
      <c r="C522" s="5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>
      <c r="A523" s="109"/>
      <c r="B523" s="109"/>
      <c r="C523" s="5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>
      <c r="A524" s="109"/>
      <c r="B524" s="109"/>
      <c r="C524" s="5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>
      <c r="A525" s="109"/>
      <c r="B525" s="109"/>
      <c r="C525" s="5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>
      <c r="A526" s="109"/>
      <c r="B526" s="109"/>
      <c r="C526" s="5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>
      <c r="A527" s="109"/>
      <c r="B527" s="109"/>
      <c r="C527" s="5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>
      <c r="A528" s="109"/>
      <c r="B528" s="109"/>
      <c r="C528" s="5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>
      <c r="A529" s="109"/>
      <c r="B529" s="109"/>
      <c r="C529" s="5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>
      <c r="A530" s="109"/>
      <c r="B530" s="109"/>
      <c r="C530" s="5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>
      <c r="A531" s="109"/>
      <c r="B531" s="109"/>
      <c r="C531" s="5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>
      <c r="A532" s="109"/>
      <c r="B532" s="109"/>
      <c r="C532" s="5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>
      <c r="A533" s="109"/>
      <c r="B533" s="109"/>
      <c r="C533" s="5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>
      <c r="A534" s="109"/>
      <c r="B534" s="109"/>
      <c r="C534" s="5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>
      <c r="A535" s="109"/>
      <c r="B535" s="109"/>
      <c r="C535" s="5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>
      <c r="A536" s="109"/>
      <c r="B536" s="109"/>
      <c r="C536" s="5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>
      <c r="A537" s="109"/>
      <c r="B537" s="109"/>
      <c r="C537" s="5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>
      <c r="A538" s="109"/>
      <c r="B538" s="109"/>
      <c r="C538" s="5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>
      <c r="A539" s="109"/>
      <c r="B539" s="109"/>
      <c r="C539" s="5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>
      <c r="A540" s="109"/>
      <c r="B540" s="109"/>
      <c r="C540" s="5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>
      <c r="A541" s="109"/>
      <c r="B541" s="109"/>
      <c r="C541" s="5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>
      <c r="A542" s="109"/>
      <c r="B542" s="109"/>
      <c r="C542" s="5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>
      <c r="A543" s="109"/>
      <c r="B543" s="109"/>
      <c r="C543" s="5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>
      <c r="A544" s="109"/>
      <c r="B544" s="109"/>
      <c r="C544" s="5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>
      <c r="A545" s="109"/>
      <c r="B545" s="109"/>
      <c r="C545" s="5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>
      <c r="A546" s="109"/>
      <c r="B546" s="109"/>
      <c r="C546" s="5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>
      <c r="A547" s="109"/>
      <c r="B547" s="109"/>
      <c r="C547" s="5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>
      <c r="A548" s="109"/>
      <c r="B548" s="109"/>
      <c r="C548" s="5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>
      <c r="A549" s="109"/>
      <c r="B549" s="109"/>
      <c r="C549" s="5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>
      <c r="A550" s="109"/>
      <c r="B550" s="109"/>
      <c r="C550" s="5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>
      <c r="A551" s="109"/>
      <c r="B551" s="109"/>
      <c r="C551" s="5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>
      <c r="A552" s="109"/>
      <c r="B552" s="109"/>
      <c r="C552" s="5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>
      <c r="A553" s="109"/>
      <c r="B553" s="109"/>
      <c r="C553" s="5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>
      <c r="A554" s="109"/>
      <c r="B554" s="109"/>
      <c r="C554" s="5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>
      <c r="A555" s="109"/>
      <c r="B555" s="109"/>
      <c r="C555" s="5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>
      <c r="A556" s="109"/>
      <c r="B556" s="109"/>
      <c r="C556" s="5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>
      <c r="A557" s="109"/>
      <c r="B557" s="109"/>
      <c r="C557" s="5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>
      <c r="A558" s="109"/>
      <c r="B558" s="109"/>
      <c r="C558" s="5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>
      <c r="A559" s="109"/>
      <c r="B559" s="109"/>
      <c r="C559" s="5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>
      <c r="A560" s="109"/>
      <c r="B560" s="109"/>
      <c r="C560" s="5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>
      <c r="A561" s="109"/>
      <c r="B561" s="109"/>
      <c r="C561" s="5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>
      <c r="A562" s="109"/>
      <c r="B562" s="109"/>
      <c r="C562" s="5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>
      <c r="A563" s="109"/>
      <c r="B563" s="109"/>
      <c r="C563" s="5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>
      <c r="A564" s="109"/>
      <c r="B564" s="109"/>
      <c r="C564" s="5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>
      <c r="A565" s="109"/>
      <c r="B565" s="109"/>
      <c r="C565" s="5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>
      <c r="A566" s="109"/>
      <c r="B566" s="109"/>
      <c r="C566" s="5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>
      <c r="A567" s="109"/>
      <c r="B567" s="109"/>
      <c r="C567" s="5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>
      <c r="A568" s="109"/>
      <c r="B568" s="109"/>
      <c r="C568" s="5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>
      <c r="A569" s="109"/>
      <c r="B569" s="109"/>
      <c r="C569" s="5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>
      <c r="A570" s="109"/>
      <c r="B570" s="109"/>
      <c r="C570" s="5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>
      <c r="A571" s="109"/>
      <c r="B571" s="109"/>
      <c r="C571" s="5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>
      <c r="A572" s="109"/>
      <c r="B572" s="109"/>
      <c r="C572" s="5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>
      <c r="A573" s="109"/>
      <c r="B573" s="109"/>
      <c r="C573" s="5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>
      <c r="A574" s="109"/>
      <c r="B574" s="109"/>
      <c r="C574" s="5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>
      <c r="A575" s="109"/>
      <c r="B575" s="109"/>
      <c r="C575" s="5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>
      <c r="A576" s="109"/>
      <c r="B576" s="109"/>
      <c r="C576" s="5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>
      <c r="A577" s="109"/>
      <c r="B577" s="109"/>
      <c r="C577" s="5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>
      <c r="A578" s="109"/>
      <c r="B578" s="109"/>
      <c r="C578" s="5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>
      <c r="A579" s="109"/>
      <c r="B579" s="109"/>
      <c r="C579" s="5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>
      <c r="A580" s="109"/>
      <c r="B580" s="109"/>
      <c r="C580" s="5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>
      <c r="A581" s="109"/>
      <c r="B581" s="109"/>
      <c r="C581" s="5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>
      <c r="A582" s="109"/>
      <c r="B582" s="109"/>
      <c r="C582" s="5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>
      <c r="A583" s="109"/>
      <c r="B583" s="109"/>
      <c r="C583" s="5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>
      <c r="A584" s="109"/>
      <c r="B584" s="109"/>
      <c r="C584" s="5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>
      <c r="A585" s="109"/>
      <c r="B585" s="109"/>
      <c r="C585" s="5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>
      <c r="A586" s="109"/>
      <c r="B586" s="109"/>
      <c r="C586" s="5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>
      <c r="A587" s="109"/>
      <c r="B587" s="109"/>
      <c r="C587" s="5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>
      <c r="A588" s="109"/>
      <c r="B588" s="109"/>
      <c r="C588" s="5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>
      <c r="A589" s="109"/>
      <c r="B589" s="109"/>
      <c r="C589" s="5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>
      <c r="A590" s="109"/>
      <c r="B590" s="109"/>
      <c r="C590" s="5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>
      <c r="A591" s="109"/>
      <c r="B591" s="109"/>
      <c r="C591" s="5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>
      <c r="A592" s="109"/>
      <c r="B592" s="109"/>
      <c r="C592" s="5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>
      <c r="A593" s="109"/>
      <c r="B593" s="109"/>
      <c r="C593" s="5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>
      <c r="A594" s="109"/>
      <c r="B594" s="109"/>
      <c r="C594" s="5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>
      <c r="A595" s="109"/>
      <c r="B595" s="109"/>
      <c r="C595" s="5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>
      <c r="A596" s="109"/>
      <c r="B596" s="109"/>
      <c r="C596" s="5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>
      <c r="A597" s="109"/>
      <c r="B597" s="109"/>
      <c r="C597" s="5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>
      <c r="A598" s="109"/>
      <c r="B598" s="109"/>
      <c r="C598" s="5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>
      <c r="A599" s="109"/>
      <c r="B599" s="109"/>
      <c r="C599" s="5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>
      <c r="A600" s="109"/>
      <c r="B600" s="109"/>
      <c r="C600" s="5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>
      <c r="A601" s="109"/>
      <c r="B601" s="109"/>
      <c r="C601" s="5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>
      <c r="A602" s="109"/>
      <c r="B602" s="109"/>
      <c r="C602" s="5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>
      <c r="A603" s="109"/>
      <c r="B603" s="109"/>
      <c r="C603" s="5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>
      <c r="A604" s="109"/>
      <c r="B604" s="109"/>
      <c r="C604" s="5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>
      <c r="A605" s="109"/>
      <c r="B605" s="109"/>
      <c r="C605" s="5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>
      <c r="A606" s="109"/>
      <c r="B606" s="109"/>
      <c r="C606" s="5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>
      <c r="A607" s="109"/>
      <c r="B607" s="109"/>
      <c r="C607" s="5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>
      <c r="A608" s="109"/>
      <c r="B608" s="109"/>
      <c r="C608" s="5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>
      <c r="A609" s="109"/>
      <c r="B609" s="109"/>
      <c r="C609" s="5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>
      <c r="A610" s="109"/>
      <c r="B610" s="109"/>
      <c r="C610" s="5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>
      <c r="A611" s="109"/>
      <c r="B611" s="109"/>
      <c r="C611" s="5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>
      <c r="A612" s="109"/>
      <c r="B612" s="109"/>
      <c r="C612" s="5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>
      <c r="A613" s="109"/>
      <c r="B613" s="109"/>
      <c r="C613" s="5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>
      <c r="A614" s="109"/>
      <c r="B614" s="109"/>
      <c r="C614" s="5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>
      <c r="A615" s="109"/>
      <c r="B615" s="109"/>
      <c r="C615" s="5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>
      <c r="A616" s="109"/>
      <c r="B616" s="109"/>
      <c r="C616" s="5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>
      <c r="A617" s="109"/>
      <c r="B617" s="109"/>
      <c r="C617" s="5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>
      <c r="A618" s="109"/>
      <c r="B618" s="109"/>
      <c r="C618" s="5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>
      <c r="A619" s="109"/>
      <c r="B619" s="109"/>
      <c r="C619" s="5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>
      <c r="A620" s="109"/>
      <c r="B620" s="109"/>
      <c r="C620" s="5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>
      <c r="A621" s="109"/>
      <c r="B621" s="109"/>
      <c r="C621" s="5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>
      <c r="A622" s="109"/>
      <c r="B622" s="109"/>
      <c r="C622" s="5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>
      <c r="A623" s="109"/>
      <c r="B623" s="109"/>
      <c r="C623" s="5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>
      <c r="A624" s="109"/>
      <c r="B624" s="109"/>
      <c r="C624" s="5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>
      <c r="A625" s="109"/>
      <c r="B625" s="109"/>
      <c r="C625" s="5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>
      <c r="A626" s="109"/>
      <c r="B626" s="109"/>
      <c r="C626" s="5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>
      <c r="A627" s="109"/>
      <c r="B627" s="109"/>
      <c r="C627" s="5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>
      <c r="A628" s="109"/>
      <c r="B628" s="109"/>
      <c r="C628" s="5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>
      <c r="A629" s="109"/>
      <c r="B629" s="109"/>
      <c r="C629" s="5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>
      <c r="A630" s="109"/>
      <c r="B630" s="109"/>
      <c r="C630" s="5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>
      <c r="A631" s="109"/>
      <c r="B631" s="109"/>
      <c r="C631" s="5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>
      <c r="A632" s="109"/>
      <c r="B632" s="109"/>
      <c r="C632" s="5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>
      <c r="A633" s="109"/>
      <c r="B633" s="109"/>
      <c r="C633" s="5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>
      <c r="A634" s="109"/>
      <c r="B634" s="109"/>
      <c r="C634" s="5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>
      <c r="A635" s="109"/>
      <c r="B635" s="109"/>
      <c r="C635" s="5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>
      <c r="A636" s="109"/>
      <c r="B636" s="109"/>
      <c r="C636" s="5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>
      <c r="A637" s="109"/>
      <c r="B637" s="109"/>
      <c r="C637" s="5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>
      <c r="A638" s="109"/>
      <c r="B638" s="109"/>
      <c r="C638" s="5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>
      <c r="A639" s="109"/>
      <c r="B639" s="109"/>
      <c r="C639" s="5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>
      <c r="A640" s="109"/>
      <c r="B640" s="109"/>
      <c r="C640" s="5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>
      <c r="A641" s="109"/>
      <c r="B641" s="109"/>
      <c r="C641" s="5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>
      <c r="A642" s="109"/>
      <c r="B642" s="109"/>
      <c r="C642" s="5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>
      <c r="A643" s="109"/>
      <c r="B643" s="109"/>
      <c r="C643" s="5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>
      <c r="A644" s="109"/>
      <c r="B644" s="109"/>
      <c r="C644" s="5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>
      <c r="A645" s="109"/>
      <c r="B645" s="109"/>
      <c r="C645" s="5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>
      <c r="A646" s="109"/>
      <c r="B646" s="109"/>
      <c r="C646" s="5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>
      <c r="A647" s="109"/>
      <c r="B647" s="109"/>
      <c r="C647" s="5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>
      <c r="A648" s="109"/>
      <c r="B648" s="109"/>
      <c r="C648" s="5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>
      <c r="A649" s="109"/>
      <c r="B649" s="109"/>
      <c r="C649" s="5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>
      <c r="A650" s="109"/>
      <c r="B650" s="109"/>
      <c r="C650" s="5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>
      <c r="A651" s="109"/>
      <c r="B651" s="109"/>
      <c r="C651" s="5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>
      <c r="A652" s="109"/>
      <c r="B652" s="109"/>
      <c r="C652" s="5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>
      <c r="A653" s="109"/>
      <c r="B653" s="109"/>
      <c r="C653" s="5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>
      <c r="A654" s="109"/>
      <c r="B654" s="109"/>
      <c r="C654" s="5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>
      <c r="A655" s="109"/>
      <c r="B655" s="109"/>
      <c r="C655" s="5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>
      <c r="A656" s="109"/>
      <c r="B656" s="109"/>
      <c r="C656" s="5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>
      <c r="A657" s="109"/>
      <c r="B657" s="109"/>
      <c r="C657" s="5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>
      <c r="A658" s="109"/>
      <c r="B658" s="109"/>
      <c r="C658" s="5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>
      <c r="A659" s="109"/>
      <c r="B659" s="109"/>
      <c r="C659" s="5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>
      <c r="A660" s="109"/>
      <c r="B660" s="109"/>
      <c r="C660" s="5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>
      <c r="A661" s="109"/>
      <c r="B661" s="109"/>
      <c r="C661" s="5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>
      <c r="A662" s="109"/>
      <c r="B662" s="109"/>
      <c r="C662" s="5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>
      <c r="A663" s="109"/>
      <c r="B663" s="109"/>
      <c r="C663" s="5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>
      <c r="A664" s="109"/>
      <c r="B664" s="109"/>
      <c r="C664" s="5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>
      <c r="A665" s="109"/>
      <c r="B665" s="109"/>
      <c r="C665" s="5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>
      <c r="A666" s="109"/>
      <c r="B666" s="109"/>
      <c r="C666" s="5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>
      <c r="A667" s="109"/>
      <c r="B667" s="109"/>
      <c r="C667" s="5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>
      <c r="A668" s="109"/>
      <c r="B668" s="109"/>
      <c r="C668" s="5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>
      <c r="A669" s="109"/>
      <c r="B669" s="109"/>
      <c r="C669" s="5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>
      <c r="A670" s="109"/>
      <c r="B670" s="109"/>
      <c r="C670" s="5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>
      <c r="A671" s="109"/>
      <c r="B671" s="109"/>
      <c r="C671" s="5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>
      <c r="A672" s="109"/>
      <c r="B672" s="109"/>
      <c r="C672" s="5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>
      <c r="A673" s="109"/>
      <c r="B673" s="109"/>
      <c r="C673" s="5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>
      <c r="A674" s="109"/>
      <c r="B674" s="109"/>
      <c r="C674" s="5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>
      <c r="A675" s="109"/>
      <c r="B675" s="109"/>
      <c r="C675" s="5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>
      <c r="A676" s="109"/>
      <c r="B676" s="109"/>
      <c r="C676" s="5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>
      <c r="A677" s="109"/>
      <c r="B677" s="109"/>
      <c r="C677" s="5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>
      <c r="A678" s="109"/>
      <c r="B678" s="109"/>
      <c r="C678" s="5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>
      <c r="A679" s="109"/>
      <c r="B679" s="109"/>
      <c r="C679" s="5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>
      <c r="A680" s="109"/>
      <c r="B680" s="109"/>
      <c r="C680" s="5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>
      <c r="A681" s="109"/>
      <c r="B681" s="109"/>
      <c r="C681" s="5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>
      <c r="A682" s="109"/>
      <c r="B682" s="109"/>
      <c r="C682" s="5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>
      <c r="A683" s="109"/>
      <c r="B683" s="109"/>
      <c r="C683" s="5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>
      <c r="A684" s="109"/>
      <c r="B684" s="109"/>
      <c r="C684" s="5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>
      <c r="A685" s="109"/>
      <c r="B685" s="109"/>
      <c r="C685" s="5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>
      <c r="A686" s="109"/>
      <c r="B686" s="109"/>
      <c r="C686" s="5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>
      <c r="A687" s="109"/>
      <c r="B687" s="109"/>
      <c r="C687" s="5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>
      <c r="A688" s="109"/>
      <c r="B688" s="109"/>
      <c r="C688" s="5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>
      <c r="A689" s="109"/>
      <c r="B689" s="109"/>
      <c r="C689" s="5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>
      <c r="A690" s="109"/>
      <c r="B690" s="109"/>
      <c r="C690" s="5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>
      <c r="A691" s="109"/>
      <c r="B691" s="109"/>
      <c r="C691" s="5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>
      <c r="A692" s="109"/>
      <c r="B692" s="109"/>
      <c r="C692" s="5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>
      <c r="A693" s="109"/>
      <c r="B693" s="109"/>
      <c r="C693" s="5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>
      <c r="A694" s="109"/>
      <c r="B694" s="109"/>
      <c r="C694" s="5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>
      <c r="A695" s="109"/>
      <c r="B695" s="109"/>
      <c r="C695" s="5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>
      <c r="A696" s="109"/>
      <c r="B696" s="109"/>
      <c r="C696" s="5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>
      <c r="A697" s="109"/>
      <c r="B697" s="109"/>
      <c r="C697" s="5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>
      <c r="A698" s="109"/>
      <c r="B698" s="109"/>
      <c r="C698" s="5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>
      <c r="A699" s="109"/>
      <c r="B699" s="109"/>
      <c r="C699" s="5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>
      <c r="A700" s="109"/>
      <c r="B700" s="109"/>
      <c r="C700" s="5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>
      <c r="A701" s="109"/>
      <c r="B701" s="109"/>
      <c r="C701" s="5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>
      <c r="A702" s="109"/>
      <c r="B702" s="109"/>
      <c r="C702" s="5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>
      <c r="A703" s="109"/>
      <c r="B703" s="109"/>
      <c r="C703" s="5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>
      <c r="A704" s="109"/>
      <c r="B704" s="109"/>
      <c r="C704" s="5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>
      <c r="A705" s="109"/>
      <c r="B705" s="109"/>
      <c r="C705" s="5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>
      <c r="A706" s="109"/>
      <c r="B706" s="109"/>
      <c r="C706" s="5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>
      <c r="A707" s="109"/>
      <c r="B707" s="109"/>
      <c r="C707" s="5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>
      <c r="A708" s="109"/>
      <c r="B708" s="109"/>
      <c r="C708" s="5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>
      <c r="A709" s="109"/>
      <c r="B709" s="109"/>
      <c r="C709" s="5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>
      <c r="A710" s="109"/>
      <c r="B710" s="109"/>
      <c r="C710" s="5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>
      <c r="A711" s="109"/>
      <c r="B711" s="109"/>
      <c r="C711" s="5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>
      <c r="A712" s="109"/>
      <c r="B712" s="109"/>
      <c r="C712" s="5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>
      <c r="A713" s="109"/>
      <c r="B713" s="109"/>
      <c r="C713" s="5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>
      <c r="A714" s="109"/>
      <c r="B714" s="109"/>
      <c r="C714" s="5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>
      <c r="A715" s="109"/>
      <c r="B715" s="109"/>
      <c r="C715" s="5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>
      <c r="A716" s="109"/>
      <c r="B716" s="109"/>
      <c r="C716" s="5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>
      <c r="A717" s="109"/>
      <c r="B717" s="109"/>
      <c r="C717" s="5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>
      <c r="A718" s="109"/>
      <c r="B718" s="109"/>
      <c r="C718" s="5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>
      <c r="A719" s="109"/>
      <c r="B719" s="109"/>
      <c r="C719" s="5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>
      <c r="A720" s="109"/>
      <c r="B720" s="109"/>
      <c r="C720" s="5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>
      <c r="A721" s="109"/>
      <c r="B721" s="109"/>
      <c r="C721" s="5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>
      <c r="A722" s="109"/>
      <c r="B722" s="109"/>
      <c r="C722" s="5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>
      <c r="A723" s="109"/>
      <c r="B723" s="109"/>
      <c r="C723" s="5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>
      <c r="A724" s="109"/>
      <c r="B724" s="109"/>
      <c r="C724" s="5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>
      <c r="A725" s="109"/>
      <c r="B725" s="109"/>
      <c r="C725" s="5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>
      <c r="A726" s="109"/>
      <c r="B726" s="109"/>
      <c r="C726" s="5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>
      <c r="A727" s="109"/>
      <c r="B727" s="109"/>
      <c r="C727" s="5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>
      <c r="A728" s="109"/>
      <c r="B728" s="109"/>
      <c r="C728" s="5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>
      <c r="A729" s="109"/>
      <c r="B729" s="109"/>
      <c r="C729" s="5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>
      <c r="A730" s="109"/>
      <c r="B730" s="109"/>
      <c r="C730" s="5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>
      <c r="A731" s="109"/>
      <c r="B731" s="109"/>
      <c r="C731" s="5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>
      <c r="A732" s="109"/>
      <c r="B732" s="109"/>
      <c r="C732" s="5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>
      <c r="A733" s="109"/>
      <c r="B733" s="109"/>
      <c r="C733" s="5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>
      <c r="A734" s="109"/>
      <c r="B734" s="109"/>
      <c r="C734" s="5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>
      <c r="A735" s="109"/>
      <c r="B735" s="109"/>
      <c r="C735" s="5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>
      <c r="A736" s="109"/>
      <c r="B736" s="109"/>
      <c r="C736" s="5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>
      <c r="A737" s="109"/>
      <c r="B737" s="109"/>
      <c r="C737" s="5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>
      <c r="A738" s="109"/>
      <c r="B738" s="109"/>
      <c r="C738" s="5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>
      <c r="A739" s="109"/>
      <c r="B739" s="109"/>
      <c r="C739" s="5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>
      <c r="A740" s="109"/>
      <c r="B740" s="109"/>
      <c r="C740" s="5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>
      <c r="A741" s="109"/>
      <c r="B741" s="109"/>
      <c r="C741" s="5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>
      <c r="A742" s="109"/>
      <c r="B742" s="109"/>
      <c r="C742" s="5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>
      <c r="A743" s="109"/>
      <c r="B743" s="109"/>
      <c r="C743" s="5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>
      <c r="A744" s="109"/>
      <c r="B744" s="109"/>
      <c r="C744" s="5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>
      <c r="A745" s="109"/>
      <c r="B745" s="109"/>
      <c r="C745" s="5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>
      <c r="A746" s="109"/>
      <c r="B746" s="109"/>
      <c r="C746" s="5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>
      <c r="A747" s="109"/>
      <c r="B747" s="109"/>
      <c r="C747" s="5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>
      <c r="A748" s="109"/>
      <c r="B748" s="109"/>
      <c r="C748" s="5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>
      <c r="A749" s="109"/>
      <c r="B749" s="109"/>
      <c r="C749" s="5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>
      <c r="A750" s="109"/>
      <c r="B750" s="109"/>
      <c r="C750" s="5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>
      <c r="A751" s="109"/>
      <c r="B751" s="109"/>
      <c r="C751" s="5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>
      <c r="A752" s="109"/>
      <c r="B752" s="109"/>
      <c r="C752" s="5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>
      <c r="A753" s="109"/>
      <c r="B753" s="109"/>
      <c r="C753" s="5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>
      <c r="A754" s="109"/>
      <c r="B754" s="109"/>
      <c r="C754" s="5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>
      <c r="A755" s="109"/>
      <c r="B755" s="109"/>
      <c r="C755" s="5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>
      <c r="A756" s="109"/>
      <c r="B756" s="109"/>
      <c r="C756" s="5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>
      <c r="A757" s="109"/>
      <c r="B757" s="109"/>
      <c r="C757" s="5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>
      <c r="A758" s="109"/>
      <c r="B758" s="109"/>
      <c r="C758" s="5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>
      <c r="A759" s="109"/>
      <c r="B759" s="109"/>
      <c r="C759" s="5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>
      <c r="A760" s="109"/>
      <c r="B760" s="109"/>
      <c r="C760" s="5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>
      <c r="A761" s="109"/>
      <c r="B761" s="109"/>
      <c r="C761" s="5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>
      <c r="A762" s="109"/>
      <c r="B762" s="109"/>
      <c r="C762" s="5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>
      <c r="A763" s="109"/>
      <c r="B763" s="109"/>
      <c r="C763" s="5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>
      <c r="A764" s="109"/>
      <c r="B764" s="109"/>
      <c r="C764" s="5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>
      <c r="A765" s="109"/>
      <c r="B765" s="109"/>
      <c r="C765" s="5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>
      <c r="A766" s="109"/>
      <c r="B766" s="109"/>
      <c r="C766" s="5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>
      <c r="A767" s="109"/>
      <c r="B767" s="109"/>
      <c r="C767" s="5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>
      <c r="A768" s="109"/>
      <c r="B768" s="109"/>
      <c r="C768" s="5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>
      <c r="A769" s="109"/>
      <c r="B769" s="109"/>
      <c r="C769" s="5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>
      <c r="A770" s="109"/>
      <c r="B770" s="109"/>
      <c r="C770" s="5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>
      <c r="A771" s="109"/>
      <c r="B771" s="109"/>
      <c r="C771" s="5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>
      <c r="A772" s="109"/>
      <c r="B772" s="109"/>
      <c r="C772" s="5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>
      <c r="A773" s="109"/>
      <c r="B773" s="109"/>
      <c r="C773" s="5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>
      <c r="A774" s="109"/>
      <c r="B774" s="109"/>
      <c r="C774" s="5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>
      <c r="A775" s="109"/>
      <c r="B775" s="109"/>
      <c r="C775" s="5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>
      <c r="A776" s="109"/>
      <c r="B776" s="109"/>
      <c r="C776" s="5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>
      <c r="A777" s="109"/>
      <c r="B777" s="109"/>
      <c r="C777" s="5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>
      <c r="A778" s="109"/>
      <c r="B778" s="109"/>
      <c r="C778" s="5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>
      <c r="A779" s="109"/>
      <c r="B779" s="109"/>
      <c r="C779" s="5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>
      <c r="A780" s="109"/>
      <c r="B780" s="109"/>
      <c r="C780" s="5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>
      <c r="A781" s="109"/>
      <c r="B781" s="109"/>
      <c r="C781" s="5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>
      <c r="A782" s="109"/>
      <c r="B782" s="109"/>
      <c r="C782" s="5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>
      <c r="A783" s="109"/>
      <c r="B783" s="109"/>
      <c r="C783" s="5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>
      <c r="A784" s="109"/>
      <c r="B784" s="109"/>
      <c r="C784" s="5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>
      <c r="A785" s="109"/>
      <c r="B785" s="109"/>
      <c r="C785" s="5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>
      <c r="A786" s="109"/>
      <c r="B786" s="109"/>
      <c r="C786" s="5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>
      <c r="A787" s="109"/>
      <c r="B787" s="109"/>
      <c r="C787" s="5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>
      <c r="A788" s="109"/>
      <c r="B788" s="109"/>
      <c r="C788" s="5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>
      <c r="A789" s="109"/>
      <c r="B789" s="109"/>
      <c r="C789" s="5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>
      <c r="A790" s="109"/>
      <c r="B790" s="109"/>
      <c r="C790" s="5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>
      <c r="A791" s="109"/>
      <c r="B791" s="109"/>
      <c r="C791" s="5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>
      <c r="A792" s="109"/>
      <c r="B792" s="109"/>
      <c r="C792" s="5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>
      <c r="A793" s="109"/>
      <c r="B793" s="109"/>
      <c r="C793" s="5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>
      <c r="A794" s="109"/>
      <c r="B794" s="109"/>
      <c r="C794" s="5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>
      <c r="A795" s="109"/>
      <c r="B795" s="109"/>
      <c r="C795" s="5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>
      <c r="A796" s="109"/>
      <c r="B796" s="109"/>
      <c r="C796" s="5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>
      <c r="A797" s="109"/>
      <c r="B797" s="109"/>
      <c r="C797" s="5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>
      <c r="A798" s="109"/>
      <c r="B798" s="109"/>
      <c r="C798" s="5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>
      <c r="A799" s="109"/>
      <c r="B799" s="109"/>
      <c r="C799" s="5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>
      <c r="A800" s="109"/>
      <c r="B800" s="109"/>
      <c r="C800" s="5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>
      <c r="A801" s="109"/>
      <c r="B801" s="109"/>
      <c r="C801" s="5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>
      <c r="A802" s="109"/>
      <c r="B802" s="109"/>
      <c r="C802" s="5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>
      <c r="A803" s="109"/>
      <c r="B803" s="109"/>
      <c r="C803" s="5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>
      <c r="A804" s="109"/>
      <c r="B804" s="109"/>
      <c r="C804" s="5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>
      <c r="A805" s="109"/>
      <c r="B805" s="109"/>
      <c r="C805" s="5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>
      <c r="A806" s="109"/>
      <c r="B806" s="109"/>
      <c r="C806" s="5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>
      <c r="A807" s="109"/>
      <c r="B807" s="109"/>
      <c r="C807" s="5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>
      <c r="A808" s="109"/>
      <c r="B808" s="109"/>
      <c r="C808" s="5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>
      <c r="A809" s="109"/>
      <c r="B809" s="109"/>
      <c r="C809" s="5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>
      <c r="A810" s="109"/>
      <c r="B810" s="109"/>
      <c r="C810" s="5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>
      <c r="A811" s="109"/>
      <c r="B811" s="109"/>
      <c r="C811" s="5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>
      <c r="A812" s="109"/>
      <c r="B812" s="109"/>
      <c r="C812" s="5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>
      <c r="A813" s="109"/>
      <c r="B813" s="109"/>
      <c r="C813" s="5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>
      <c r="A814" s="109"/>
      <c r="B814" s="109"/>
      <c r="C814" s="5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>
      <c r="A815" s="109"/>
      <c r="B815" s="109"/>
      <c r="C815" s="5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>
      <c r="A816" s="109"/>
      <c r="B816" s="109"/>
      <c r="C816" s="5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>
      <c r="A817" s="109"/>
      <c r="B817" s="109"/>
      <c r="C817" s="5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>
      <c r="A818" s="109"/>
      <c r="B818" s="109"/>
      <c r="C818" s="5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>
      <c r="A819" s="109"/>
      <c r="B819" s="109"/>
      <c r="C819" s="5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>
      <c r="A820" s="109"/>
      <c r="B820" s="109"/>
      <c r="C820" s="5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>
      <c r="A821" s="109"/>
      <c r="B821" s="109"/>
      <c r="C821" s="5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>
      <c r="A822" s="109"/>
      <c r="B822" s="109"/>
      <c r="C822" s="5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>
      <c r="A823" s="109"/>
      <c r="B823" s="109"/>
      <c r="C823" s="5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>
      <c r="A824" s="109"/>
      <c r="B824" s="109"/>
      <c r="C824" s="5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>
      <c r="A825" s="109"/>
      <c r="B825" s="109"/>
      <c r="C825" s="5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>
      <c r="A826" s="109"/>
      <c r="B826" s="109"/>
      <c r="C826" s="5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>
      <c r="A827" s="109"/>
      <c r="B827" s="109"/>
      <c r="C827" s="5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>
      <c r="A828" s="109"/>
      <c r="B828" s="109"/>
      <c r="C828" s="5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>
      <c r="A829" s="109"/>
      <c r="B829" s="109"/>
      <c r="C829" s="5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>
      <c r="A830" s="109"/>
      <c r="B830" s="109"/>
      <c r="C830" s="5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>
      <c r="A831" s="109"/>
      <c r="B831" s="109"/>
      <c r="C831" s="5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>
      <c r="A832" s="109"/>
      <c r="B832" s="109"/>
      <c r="C832" s="5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>
      <c r="A833" s="109"/>
      <c r="B833" s="109"/>
      <c r="C833" s="5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>
      <c r="A834" s="109"/>
      <c r="B834" s="109"/>
      <c r="C834" s="5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>
      <c r="A835" s="109"/>
      <c r="B835" s="109"/>
      <c r="C835" s="5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>
      <c r="A836" s="109"/>
      <c r="B836" s="109"/>
      <c r="C836" s="5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>
      <c r="A837" s="109"/>
      <c r="B837" s="109"/>
      <c r="C837" s="5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>
      <c r="A838" s="109"/>
      <c r="B838" s="109"/>
      <c r="C838" s="5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>
      <c r="A839" s="109"/>
      <c r="B839" s="109"/>
      <c r="C839" s="5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>
      <c r="A840" s="109"/>
      <c r="B840" s="109"/>
      <c r="C840" s="5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>
      <c r="A841" s="109"/>
      <c r="B841" s="109"/>
      <c r="C841" s="5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>
      <c r="A842" s="109"/>
      <c r="B842" s="109"/>
      <c r="C842" s="5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>
      <c r="A843" s="109"/>
      <c r="B843" s="109"/>
      <c r="C843" s="5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>
      <c r="A844" s="109"/>
      <c r="B844" s="109"/>
      <c r="C844" s="5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>
      <c r="A845" s="109"/>
      <c r="B845" s="109"/>
      <c r="C845" s="5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>
      <c r="A846" s="109"/>
      <c r="B846" s="109"/>
      <c r="C846" s="5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>
      <c r="A847" s="109"/>
      <c r="B847" s="109"/>
      <c r="C847" s="5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>
      <c r="A848" s="109"/>
      <c r="B848" s="109"/>
      <c r="C848" s="5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>
      <c r="A849" s="109"/>
      <c r="B849" s="109"/>
      <c r="C849" s="5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>
      <c r="A850" s="109"/>
      <c r="B850" s="109"/>
      <c r="C850" s="5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>
      <c r="A851" s="109"/>
      <c r="B851" s="109"/>
      <c r="C851" s="5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>
      <c r="A852" s="109"/>
      <c r="B852" s="109"/>
      <c r="C852" s="5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>
      <c r="A853" s="109"/>
      <c r="B853" s="109"/>
      <c r="C853" s="5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>
      <c r="A854" s="109"/>
      <c r="B854" s="109"/>
      <c r="C854" s="5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>
      <c r="A855" s="109"/>
      <c r="B855" s="109"/>
      <c r="C855" s="5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>
      <c r="A856" s="109"/>
      <c r="B856" s="109"/>
      <c r="C856" s="5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>
      <c r="A857" s="109"/>
      <c r="B857" s="109"/>
      <c r="C857" s="5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>
      <c r="A858" s="109"/>
      <c r="B858" s="109"/>
      <c r="C858" s="5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>
      <c r="A859" s="109"/>
      <c r="B859" s="109"/>
      <c r="C859" s="5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>
      <c r="A860" s="109"/>
      <c r="B860" s="109"/>
      <c r="C860" s="5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>
      <c r="A861" s="109"/>
      <c r="B861" s="109"/>
      <c r="C861" s="5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>
      <c r="A862" s="109"/>
      <c r="B862" s="109"/>
      <c r="C862" s="5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>
      <c r="A863" s="109"/>
      <c r="B863" s="109"/>
      <c r="C863" s="5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>
      <c r="A864" s="109"/>
      <c r="B864" s="109"/>
      <c r="C864" s="5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>
      <c r="A865" s="109"/>
      <c r="B865" s="109"/>
      <c r="C865" s="5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>
      <c r="A866" s="109"/>
      <c r="B866" s="109"/>
      <c r="C866" s="5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>
      <c r="A867" s="109"/>
      <c r="B867" s="109"/>
      <c r="C867" s="5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>
      <c r="A868" s="109"/>
      <c r="B868" s="109"/>
      <c r="C868" s="5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>
      <c r="A869" s="109"/>
      <c r="B869" s="109"/>
      <c r="C869" s="5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>
      <c r="A870" s="109"/>
      <c r="B870" s="109"/>
      <c r="C870" s="5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>
      <c r="A871" s="109"/>
      <c r="B871" s="109"/>
      <c r="C871" s="5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>
      <c r="A872" s="109"/>
      <c r="B872" s="109"/>
      <c r="C872" s="5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>
      <c r="A873" s="109"/>
      <c r="B873" s="109"/>
      <c r="C873" s="5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>
      <c r="A874" s="109"/>
      <c r="B874" s="109"/>
      <c r="C874" s="5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>
      <c r="A875" s="109"/>
      <c r="B875" s="109"/>
      <c r="C875" s="5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>
      <c r="A876" s="109"/>
      <c r="B876" s="109"/>
      <c r="C876" s="5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>
      <c r="A877" s="109"/>
      <c r="B877" s="109"/>
      <c r="C877" s="5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>
      <c r="A878" s="109"/>
      <c r="B878" s="109"/>
      <c r="C878" s="5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>
      <c r="A879" s="109"/>
      <c r="B879" s="109"/>
      <c r="C879" s="5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>
      <c r="A880" s="109"/>
      <c r="B880" s="109"/>
      <c r="C880" s="5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>
      <c r="A881" s="109"/>
      <c r="B881" s="109"/>
      <c r="C881" s="5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>
      <c r="A882" s="109"/>
      <c r="B882" s="109"/>
      <c r="C882" s="5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>
      <c r="A883" s="109"/>
      <c r="B883" s="109"/>
      <c r="C883" s="5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>
      <c r="A884" s="109"/>
      <c r="B884" s="109"/>
      <c r="C884" s="5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>
      <c r="A885" s="109"/>
      <c r="B885" s="109"/>
      <c r="C885" s="5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>
      <c r="A886" s="109"/>
      <c r="B886" s="109"/>
      <c r="C886" s="5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>
      <c r="A887" s="109"/>
      <c r="B887" s="109"/>
      <c r="C887" s="5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>
      <c r="A888" s="109"/>
      <c r="B888" s="109"/>
      <c r="C888" s="5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>
      <c r="A889" s="109"/>
      <c r="B889" s="109"/>
      <c r="C889" s="5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>
      <c r="A890" s="109"/>
      <c r="B890" s="109"/>
      <c r="C890" s="5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>
      <c r="A891" s="109"/>
      <c r="B891" s="109"/>
      <c r="C891" s="5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>
      <c r="A892" s="109"/>
      <c r="B892" s="109"/>
      <c r="C892" s="5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>
      <c r="A893" s="109"/>
      <c r="B893" s="109"/>
      <c r="C893" s="5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>
      <c r="A894" s="109"/>
      <c r="B894" s="109"/>
      <c r="C894" s="5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>
      <c r="A895" s="109"/>
      <c r="B895" s="109"/>
      <c r="C895" s="5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>
      <c r="A896" s="109"/>
      <c r="B896" s="109"/>
      <c r="C896" s="5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>
      <c r="A897" s="109"/>
      <c r="B897" s="109"/>
      <c r="C897" s="5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>
      <c r="A898" s="109"/>
      <c r="B898" s="109"/>
      <c r="C898" s="5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>
      <c r="A899" s="109"/>
      <c r="B899" s="109"/>
      <c r="C899" s="5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>
      <c r="A900" s="109"/>
      <c r="B900" s="109"/>
      <c r="C900" s="5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>
      <c r="A901" s="109"/>
      <c r="B901" s="109"/>
      <c r="C901" s="5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>
      <c r="A902" s="109"/>
      <c r="B902" s="109"/>
      <c r="C902" s="5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>
      <c r="A903" s="109"/>
      <c r="B903" s="109"/>
      <c r="C903" s="5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>
      <c r="A904" s="109"/>
      <c r="B904" s="109"/>
      <c r="C904" s="5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>
      <c r="A905" s="109"/>
      <c r="B905" s="109"/>
      <c r="C905" s="5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>
      <c r="A906" s="109"/>
      <c r="B906" s="109"/>
      <c r="C906" s="5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>
      <c r="A907" s="109"/>
      <c r="B907" s="109"/>
      <c r="C907" s="5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>
      <c r="A908" s="109"/>
      <c r="B908" s="109"/>
      <c r="C908" s="5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>
      <c r="A909" s="109"/>
      <c r="B909" s="109"/>
      <c r="C909" s="5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>
      <c r="A910" s="109"/>
      <c r="B910" s="109"/>
      <c r="C910" s="5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>
      <c r="A911" s="109"/>
      <c r="B911" s="109"/>
      <c r="C911" s="5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>
      <c r="A912" s="109"/>
      <c r="B912" s="109"/>
      <c r="C912" s="5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>
      <c r="A913" s="109"/>
      <c r="B913" s="109"/>
      <c r="C913" s="5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>
      <c r="A914" s="109"/>
      <c r="B914" s="109"/>
      <c r="C914" s="5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>
      <c r="A915" s="109"/>
      <c r="B915" s="109"/>
      <c r="C915" s="5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>
      <c r="A916" s="109"/>
      <c r="B916" s="109"/>
      <c r="C916" s="5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>
      <c r="A917" s="109"/>
      <c r="B917" s="109"/>
      <c r="C917" s="5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>
      <c r="A918" s="109"/>
      <c r="B918" s="109"/>
      <c r="C918" s="5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>
      <c r="A919" s="109"/>
      <c r="B919" s="109"/>
      <c r="C919" s="5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>
      <c r="A920" s="109"/>
      <c r="B920" s="109"/>
      <c r="C920" s="5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>
      <c r="A921" s="109"/>
      <c r="B921" s="109"/>
      <c r="C921" s="5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>
      <c r="A922" s="109"/>
      <c r="B922" s="109"/>
      <c r="C922" s="5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>
      <c r="A923" s="109"/>
      <c r="B923" s="109"/>
      <c r="C923" s="5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>
      <c r="A924" s="109"/>
      <c r="B924" s="109"/>
      <c r="C924" s="5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>
      <c r="A925" s="109"/>
      <c r="B925" s="109"/>
      <c r="C925" s="5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>
      <c r="A926" s="109"/>
      <c r="B926" s="109"/>
      <c r="C926" s="5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>
      <c r="A927" s="109"/>
      <c r="B927" s="109"/>
      <c r="C927" s="5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>
      <c r="A928" s="109"/>
      <c r="B928" s="109"/>
      <c r="C928" s="5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>
      <c r="A929" s="109"/>
      <c r="B929" s="109"/>
      <c r="C929" s="5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>
      <c r="A930" s="109"/>
      <c r="B930" s="109"/>
      <c r="C930" s="5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>
      <c r="A931" s="109"/>
      <c r="B931" s="109"/>
      <c r="C931" s="5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>
      <c r="A932" s="109"/>
      <c r="B932" s="109"/>
      <c r="C932" s="5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>
      <c r="A933" s="109"/>
      <c r="B933" s="109"/>
      <c r="C933" s="5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>
      <c r="A934" s="109"/>
      <c r="B934" s="109"/>
      <c r="C934" s="5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>
      <c r="A935" s="109"/>
      <c r="B935" s="109"/>
      <c r="C935" s="5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>
      <c r="A936" s="109"/>
      <c r="B936" s="109"/>
      <c r="C936" s="5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>
      <c r="A937" s="109"/>
      <c r="B937" s="109"/>
      <c r="C937" s="5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>
      <c r="A938" s="109"/>
      <c r="B938" s="109"/>
      <c r="C938" s="5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>
      <c r="A939" s="109"/>
      <c r="B939" s="109"/>
      <c r="C939" s="5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>
      <c r="A940" s="109"/>
      <c r="B940" s="109"/>
      <c r="C940" s="5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>
      <c r="A941" s="109"/>
      <c r="B941" s="109"/>
      <c r="C941" s="5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>
      <c r="A942" s="109"/>
      <c r="B942" s="109"/>
      <c r="C942" s="5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>
      <c r="A943" s="109"/>
      <c r="B943" s="109"/>
      <c r="C943" s="5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>
      <c r="A944" s="109"/>
      <c r="B944" s="109"/>
      <c r="C944" s="5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>
      <c r="A945" s="109"/>
      <c r="B945" s="109"/>
      <c r="C945" s="5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>
      <c r="A946" s="109"/>
      <c r="B946" s="109"/>
      <c r="C946" s="5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>
      <c r="A947" s="109"/>
      <c r="B947" s="109"/>
      <c r="C947" s="5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>
      <c r="A948" s="109"/>
      <c r="B948" s="109"/>
      <c r="C948" s="5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>
      <c r="A949" s="109"/>
      <c r="B949" s="109"/>
      <c r="C949" s="5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>
      <c r="A950" s="109"/>
      <c r="B950" s="109"/>
      <c r="C950" s="5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>
      <c r="A951" s="109"/>
      <c r="B951" s="109"/>
      <c r="C951" s="5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>
      <c r="A952" s="109"/>
      <c r="B952" s="109"/>
      <c r="C952" s="5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>
      <c r="A953" s="109"/>
      <c r="B953" s="109"/>
      <c r="C953" s="5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>
      <c r="A954" s="109"/>
      <c r="B954" s="109"/>
      <c r="C954" s="5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>
      <c r="A955" s="109"/>
      <c r="B955" s="109"/>
      <c r="C955" s="5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>
      <c r="A956" s="109"/>
      <c r="B956" s="109"/>
      <c r="C956" s="5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>
      <c r="A957" s="109"/>
      <c r="B957" s="109"/>
      <c r="C957" s="5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>
      <c r="A958" s="109"/>
      <c r="B958" s="109"/>
      <c r="C958" s="5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>
      <c r="A959" s="109"/>
      <c r="B959" s="109"/>
      <c r="C959" s="5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>
      <c r="A960" s="109"/>
      <c r="B960" s="109"/>
      <c r="C960" s="5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>
      <c r="A961" s="109"/>
      <c r="B961" s="109"/>
      <c r="C961" s="5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>
      <c r="A962" s="109"/>
      <c r="B962" s="109"/>
      <c r="C962" s="5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>
      <c r="A963" s="109"/>
      <c r="B963" s="109"/>
      <c r="C963" s="5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>
      <c r="A964" s="109"/>
      <c r="B964" s="109"/>
      <c r="C964" s="5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>
      <c r="A965" s="109"/>
      <c r="B965" s="109"/>
      <c r="C965" s="5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>
      <c r="A966" s="109"/>
      <c r="B966" s="109"/>
      <c r="C966" s="5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>
      <c r="A967" s="109"/>
      <c r="B967" s="109"/>
      <c r="C967" s="5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>
      <c r="A968" s="109"/>
      <c r="B968" s="109"/>
      <c r="C968" s="5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>
      <c r="A969" s="109"/>
      <c r="B969" s="109"/>
      <c r="C969" s="5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>
      <c r="A970" s="109"/>
      <c r="B970" s="109"/>
      <c r="C970" s="5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>
      <c r="A971" s="109"/>
      <c r="B971" s="109"/>
      <c r="C971" s="5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>
      <c r="A972" s="109"/>
      <c r="B972" s="109"/>
      <c r="C972" s="5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>
      <c r="A973" s="109"/>
      <c r="B973" s="109"/>
      <c r="C973" s="5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>
      <c r="A974" s="109"/>
      <c r="B974" s="109"/>
      <c r="C974" s="5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>
      <c r="A975" s="109"/>
      <c r="B975" s="109"/>
      <c r="C975" s="5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>
      <c r="A976" s="109"/>
      <c r="B976" s="109"/>
      <c r="C976" s="5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>
      <c r="A977" s="109"/>
      <c r="B977" s="109"/>
      <c r="C977" s="5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>
      <c r="A978" s="109"/>
      <c r="B978" s="109"/>
      <c r="C978" s="5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>
      <c r="A979" s="109"/>
      <c r="B979" s="109"/>
      <c r="C979" s="5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>
      <c r="A980" s="109"/>
      <c r="B980" s="109"/>
      <c r="C980" s="5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>
      <c r="A981" s="109"/>
      <c r="B981" s="109"/>
      <c r="C981" s="5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>
      <c r="A982" s="109"/>
      <c r="B982" s="109"/>
      <c r="C982" s="5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>
      <c r="A983" s="109"/>
      <c r="B983" s="109"/>
      <c r="C983" s="5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>
      <c r="A984" s="109"/>
      <c r="B984" s="109"/>
      <c r="C984" s="5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>
      <c r="A985" s="109"/>
      <c r="B985" s="109"/>
      <c r="C985" s="5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>
      <c r="A986" s="109"/>
      <c r="B986" s="109"/>
      <c r="C986" s="5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>
      <c r="A987" s="109"/>
      <c r="B987" s="109"/>
      <c r="C987" s="5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>
      <c r="A988" s="109"/>
      <c r="B988" s="109"/>
      <c r="C988" s="5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>
      <c r="A989" s="109"/>
      <c r="B989" s="109"/>
      <c r="C989" s="5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>
      <c r="A990" s="109"/>
      <c r="B990" s="109"/>
      <c r="C990" s="5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>
      <c r="A991" s="109"/>
      <c r="B991" s="109"/>
      <c r="C991" s="5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>
      <c r="A992" s="109"/>
      <c r="B992" s="109"/>
      <c r="C992" s="5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>
      <c r="A993" s="109"/>
      <c r="B993" s="109"/>
      <c r="C993" s="5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>
      <c r="A994" s="109"/>
      <c r="B994" s="109"/>
      <c r="C994" s="5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>
      <c r="A995" s="109"/>
      <c r="B995" s="109"/>
      <c r="C995" s="5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>
      <c r="A996" s="109"/>
      <c r="B996" s="109"/>
      <c r="C996" s="5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>
      <c r="A997" s="109"/>
      <c r="B997" s="109"/>
      <c r="C997" s="5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</sheetData>
  <conditionalFormatting sqref="C6:C26 C30:C50">
    <cfRule type="colorScale" priority="1">
      <colorScale>
        <cfvo type="percentile" val="50"/>
        <cfvo type="percentile" val="90"/>
        <color rgb="FFB6D7A8"/>
        <color rgb="FFF9CB9C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2.75"/>
  <cols>
    <col customWidth="1" min="1" max="1" width="4.71"/>
    <col customWidth="1" min="2" max="2" width="35.29"/>
    <col customWidth="1" min="3" max="3" width="20.14"/>
    <col customWidth="1" min="4" max="4" width="56.0"/>
    <col customWidth="1" min="5" max="5" width="41.71"/>
    <col customWidth="1" min="6" max="6" width="18.71"/>
    <col customWidth="1" min="7" max="7" width="51.43"/>
    <col customWidth="1" min="8" max="10" width="26.43"/>
    <col customWidth="1" min="11" max="19" width="17.29"/>
  </cols>
  <sheetData>
    <row r="1" ht="13.5">
      <c r="A1" s="4"/>
      <c r="B1" s="4"/>
      <c r="C1" s="4" t="s">
        <v>3662</v>
      </c>
      <c r="D1" s="4" t="s">
        <v>3663</v>
      </c>
      <c r="E1" s="4" t="s">
        <v>3664</v>
      </c>
      <c r="F1" s="4" t="s">
        <v>3665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13.5">
      <c r="A2" s="4" t="s">
        <v>3666</v>
      </c>
      <c r="B2" s="115" t="s">
        <v>3667</v>
      </c>
      <c r="C2" s="116" t="s">
        <v>3668</v>
      </c>
      <c r="D2" s="116" t="s">
        <v>3669</v>
      </c>
      <c r="E2" s="116" t="s">
        <v>3670</v>
      </c>
      <c r="F2" s="116" t="s">
        <v>3671</v>
      </c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</row>
    <row r="3" ht="13.5">
      <c r="A3" s="4" t="s">
        <v>3672</v>
      </c>
      <c r="B3" s="115" t="s">
        <v>3673</v>
      </c>
      <c r="C3" s="116" t="s">
        <v>3674</v>
      </c>
      <c r="D3" s="116" t="s">
        <v>3675</v>
      </c>
      <c r="E3" s="118"/>
      <c r="F3" s="116" t="s">
        <v>3676</v>
      </c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</row>
    <row r="4" ht="13.5">
      <c r="A4" s="4" t="s">
        <v>3677</v>
      </c>
      <c r="B4" s="115" t="s">
        <v>3678</v>
      </c>
      <c r="C4" s="118"/>
      <c r="D4" s="116" t="s">
        <v>3679</v>
      </c>
      <c r="E4" s="118"/>
      <c r="F4" s="118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</row>
    <row r="5" ht="13.5">
      <c r="A5" s="4" t="s">
        <v>3680</v>
      </c>
      <c r="B5" s="115" t="s">
        <v>3681</v>
      </c>
      <c r="C5" s="116"/>
      <c r="D5" s="116" t="s">
        <v>3682</v>
      </c>
      <c r="E5" s="118"/>
      <c r="F5" s="116" t="s">
        <v>3683</v>
      </c>
      <c r="G5" s="117"/>
      <c r="H5" s="117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</row>
    <row r="6" ht="13.5">
      <c r="A6" s="4" t="s">
        <v>3684</v>
      </c>
      <c r="B6" s="115" t="s">
        <v>3685</v>
      </c>
      <c r="C6" s="118"/>
      <c r="D6" s="116" t="s">
        <v>3686</v>
      </c>
      <c r="E6" s="118"/>
      <c r="F6" s="118"/>
      <c r="G6" s="117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</row>
    <row r="7" ht="13.5">
      <c r="A7" s="4" t="s">
        <v>3687</v>
      </c>
      <c r="B7" s="115" t="s">
        <v>3688</v>
      </c>
      <c r="C7" s="118"/>
      <c r="D7" s="116" t="s">
        <v>3688</v>
      </c>
      <c r="E7" s="118"/>
      <c r="F7" s="118"/>
      <c r="G7" s="117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</row>
    <row r="8" ht="13.5">
      <c r="A8" s="4" t="s">
        <v>3689</v>
      </c>
      <c r="B8" s="115" t="s">
        <v>3690</v>
      </c>
      <c r="C8" s="116" t="s">
        <v>3690</v>
      </c>
      <c r="D8" s="116" t="s">
        <v>3691</v>
      </c>
      <c r="E8" s="118"/>
      <c r="F8" s="118"/>
      <c r="G8" s="117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</row>
    <row r="9" ht="13.5">
      <c r="A9" s="4" t="s">
        <v>3692</v>
      </c>
      <c r="B9" s="115" t="s">
        <v>3693</v>
      </c>
      <c r="C9" s="116" t="s">
        <v>3694</v>
      </c>
      <c r="D9" s="116" t="s">
        <v>3695</v>
      </c>
      <c r="E9" s="118"/>
      <c r="F9" s="118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</row>
    <row r="10" ht="13.5">
      <c r="A10" s="4" t="s">
        <v>3696</v>
      </c>
      <c r="B10" s="115" t="s">
        <v>3697</v>
      </c>
      <c r="C10" s="116" t="s">
        <v>3697</v>
      </c>
      <c r="D10" s="116" t="s">
        <v>3698</v>
      </c>
      <c r="E10" s="118"/>
      <c r="F10" s="118"/>
      <c r="G10" s="117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</row>
    <row r="11" ht="13.5">
      <c r="A11" s="4" t="s">
        <v>3699</v>
      </c>
      <c r="B11" s="115" t="s">
        <v>3700</v>
      </c>
      <c r="C11" s="116"/>
      <c r="D11" s="116" t="s">
        <v>3701</v>
      </c>
      <c r="E11" s="118"/>
      <c r="F11" s="118"/>
      <c r="G11" s="117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</row>
    <row r="12" ht="13.5">
      <c r="A12" s="4" t="s">
        <v>3702</v>
      </c>
      <c r="B12" s="115" t="s">
        <v>3703</v>
      </c>
      <c r="C12" s="116"/>
      <c r="D12" s="116" t="s">
        <v>3704</v>
      </c>
      <c r="E12" s="118"/>
      <c r="F12" s="118"/>
      <c r="G12" s="117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</row>
    <row r="13" ht="13.5">
      <c r="A13" s="4" t="s">
        <v>3705</v>
      </c>
      <c r="B13" s="115" t="s">
        <v>3706</v>
      </c>
      <c r="C13" s="116" t="s">
        <v>3707</v>
      </c>
      <c r="D13" s="116" t="s">
        <v>3708</v>
      </c>
      <c r="E13" s="118"/>
      <c r="F13" s="118"/>
      <c r="G13" s="117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</row>
    <row r="14" ht="13.5">
      <c r="A14" s="4" t="s">
        <v>3709</v>
      </c>
      <c r="B14" s="115" t="s">
        <v>3710</v>
      </c>
      <c r="C14" s="116" t="s">
        <v>3711</v>
      </c>
      <c r="D14" s="116" t="s">
        <v>3712</v>
      </c>
      <c r="E14" s="118"/>
      <c r="F14" s="118"/>
      <c r="G14" s="117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</row>
    <row r="15" ht="13.5">
      <c r="A15" s="4" t="s">
        <v>3713</v>
      </c>
      <c r="B15" s="115" t="s">
        <v>3714</v>
      </c>
      <c r="C15" s="116"/>
      <c r="D15" s="116" t="s">
        <v>3715</v>
      </c>
      <c r="E15" s="118"/>
      <c r="F15" s="116" t="s">
        <v>3716</v>
      </c>
      <c r="G15" s="117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</row>
    <row r="16" ht="13.5">
      <c r="A16" s="4" t="s">
        <v>3717</v>
      </c>
      <c r="B16" s="115" t="s">
        <v>3718</v>
      </c>
      <c r="C16" s="116" t="s">
        <v>3718</v>
      </c>
      <c r="D16" s="116" t="s">
        <v>3719</v>
      </c>
      <c r="E16" s="118"/>
      <c r="F16" s="118"/>
      <c r="G16" s="117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</row>
    <row r="17" ht="13.5">
      <c r="A17" s="4" t="s">
        <v>3720</v>
      </c>
      <c r="B17" s="115" t="s">
        <v>3721</v>
      </c>
      <c r="C17" s="116" t="s">
        <v>3722</v>
      </c>
      <c r="D17" s="116" t="s">
        <v>3721</v>
      </c>
      <c r="E17" s="118"/>
      <c r="F17" s="118"/>
      <c r="G17" s="117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</row>
    <row r="18" ht="13.5">
      <c r="A18" s="4" t="s">
        <v>3723</v>
      </c>
      <c r="B18" s="115" t="s">
        <v>3724</v>
      </c>
      <c r="C18" s="116" t="s">
        <v>3725</v>
      </c>
      <c r="D18" s="116" t="s">
        <v>3726</v>
      </c>
      <c r="E18" s="118"/>
      <c r="F18" s="118"/>
      <c r="G18" s="117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</row>
    <row r="19" ht="13.5">
      <c r="A19" s="4" t="s">
        <v>3727</v>
      </c>
      <c r="B19" s="115" t="s">
        <v>3728</v>
      </c>
      <c r="C19" s="115" t="s">
        <v>3729</v>
      </c>
      <c r="D19" s="116" t="s">
        <v>3730</v>
      </c>
      <c r="E19" s="118"/>
      <c r="F19" s="118"/>
      <c r="G19" s="117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</row>
    <row r="20" ht="13.5">
      <c r="A20" s="4" t="s">
        <v>3731</v>
      </c>
      <c r="B20" s="115" t="s">
        <v>3732</v>
      </c>
      <c r="C20" s="116"/>
      <c r="D20" s="116" t="s">
        <v>3733</v>
      </c>
      <c r="E20" s="118"/>
      <c r="F20" s="118"/>
      <c r="G20" s="117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</row>
    <row r="21" ht="13.5">
      <c r="A21" s="4" t="s">
        <v>3734</v>
      </c>
      <c r="B21" s="115" t="s">
        <v>3735</v>
      </c>
      <c r="C21" s="116" t="s">
        <v>3736</v>
      </c>
      <c r="D21" s="115" t="s">
        <v>3737</v>
      </c>
      <c r="E21" s="118"/>
      <c r="F21" s="118"/>
      <c r="G21" s="117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</row>
    <row r="22" ht="13.5">
      <c r="A22" s="4" t="s">
        <v>3738</v>
      </c>
      <c r="B22" s="115" t="s">
        <v>3739</v>
      </c>
      <c r="C22" s="116" t="s">
        <v>3740</v>
      </c>
      <c r="D22" s="115" t="s">
        <v>3741</v>
      </c>
      <c r="E22" s="118"/>
      <c r="F22" s="118"/>
      <c r="G22" s="117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</row>
    <row r="23" ht="13.5">
      <c r="A23" s="4" t="s">
        <v>3742</v>
      </c>
      <c r="B23" s="115" t="s">
        <v>3743</v>
      </c>
      <c r="C23" s="116"/>
      <c r="D23" s="116" t="s">
        <v>3743</v>
      </c>
      <c r="E23" s="118"/>
      <c r="F23" s="118"/>
      <c r="G23" s="117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</row>
    <row r="24" ht="13.5">
      <c r="A24" s="4" t="s">
        <v>3744</v>
      </c>
      <c r="B24" s="115" t="s">
        <v>3745</v>
      </c>
      <c r="C24" s="116"/>
      <c r="D24" s="116" t="s">
        <v>3746</v>
      </c>
      <c r="E24" s="118"/>
      <c r="F24" s="118"/>
      <c r="G24" s="117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</row>
    <row r="25" ht="13.5">
      <c r="A25" s="4" t="s">
        <v>3747</v>
      </c>
      <c r="B25" s="115" t="s">
        <v>3748</v>
      </c>
      <c r="C25" s="116"/>
      <c r="D25" s="116" t="s">
        <v>3749</v>
      </c>
      <c r="E25" s="116" t="s">
        <v>3750</v>
      </c>
      <c r="F25" s="118"/>
      <c r="G25" s="117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</row>
    <row r="26" ht="13.5">
      <c r="A26" s="4" t="s">
        <v>68</v>
      </c>
      <c r="B26" s="115" t="s">
        <v>3751</v>
      </c>
      <c r="C26" s="116"/>
      <c r="D26" s="116" t="s">
        <v>3752</v>
      </c>
      <c r="E26" s="116" t="s">
        <v>3752</v>
      </c>
      <c r="F26" s="118"/>
      <c r="G26" s="117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</row>
    <row r="27" ht="13.5">
      <c r="A27" s="4" t="s">
        <v>3753</v>
      </c>
      <c r="B27" s="115" t="s">
        <v>3754</v>
      </c>
      <c r="C27" s="116"/>
      <c r="D27" s="116" t="s">
        <v>3755</v>
      </c>
      <c r="E27" s="118"/>
      <c r="F27" s="118"/>
      <c r="G27" s="117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</row>
    <row r="28" ht="13.5">
      <c r="A28" s="4" t="s">
        <v>3756</v>
      </c>
      <c r="B28" s="115" t="s">
        <v>3757</v>
      </c>
      <c r="C28" s="116" t="s">
        <v>3758</v>
      </c>
      <c r="D28" s="116" t="s">
        <v>3759</v>
      </c>
      <c r="E28" s="116" t="s">
        <v>3759</v>
      </c>
      <c r="F28" s="118"/>
      <c r="G28" s="117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</row>
    <row r="29" ht="13.5">
      <c r="A29" s="4" t="s">
        <v>3760</v>
      </c>
      <c r="B29" s="115" t="s">
        <v>3761</v>
      </c>
      <c r="C29" s="116" t="s">
        <v>3762</v>
      </c>
      <c r="D29" s="116" t="s">
        <v>3763</v>
      </c>
      <c r="E29" s="116" t="s">
        <v>3764</v>
      </c>
      <c r="F29" s="118"/>
      <c r="G29" s="117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</row>
    <row r="30" ht="13.5">
      <c r="A30" s="4" t="s">
        <v>3765</v>
      </c>
      <c r="B30" s="115" t="s">
        <v>3766</v>
      </c>
      <c r="C30" s="116" t="s">
        <v>3766</v>
      </c>
      <c r="D30" s="116" t="s">
        <v>3767</v>
      </c>
      <c r="E30" s="118"/>
      <c r="F30" s="118"/>
      <c r="G30" s="117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</row>
    <row r="31" ht="13.5">
      <c r="A31" s="4" t="s">
        <v>3768</v>
      </c>
      <c r="B31" s="115" t="s">
        <v>3769</v>
      </c>
      <c r="C31" s="116"/>
      <c r="D31" s="116" t="s">
        <v>3770</v>
      </c>
      <c r="E31" s="116" t="s">
        <v>3769</v>
      </c>
      <c r="F31" s="118"/>
      <c r="G31" s="117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</row>
    <row r="32" ht="13.5">
      <c r="A32" s="4" t="s">
        <v>3771</v>
      </c>
      <c r="B32" s="115" t="s">
        <v>3772</v>
      </c>
      <c r="C32" s="116"/>
      <c r="D32" s="116" t="s">
        <v>3773</v>
      </c>
      <c r="E32" s="116" t="s">
        <v>3772</v>
      </c>
      <c r="F32" s="118"/>
      <c r="G32" s="117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</row>
    <row r="33" ht="13.5">
      <c r="A33" s="4" t="s">
        <v>3774</v>
      </c>
      <c r="B33" s="115" t="s">
        <v>3775</v>
      </c>
      <c r="C33" s="116"/>
      <c r="D33" s="116" t="s">
        <v>3776</v>
      </c>
      <c r="E33" s="116" t="s">
        <v>3777</v>
      </c>
      <c r="F33" s="118"/>
      <c r="G33" s="117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</row>
    <row r="34" ht="13.5">
      <c r="A34" s="4" t="s">
        <v>71</v>
      </c>
      <c r="B34" s="115" t="s">
        <v>3778</v>
      </c>
      <c r="C34" s="116"/>
      <c r="D34" s="116" t="s">
        <v>3779</v>
      </c>
      <c r="E34" s="116" t="s">
        <v>3780</v>
      </c>
      <c r="F34" s="118"/>
      <c r="G34" s="117"/>
      <c r="H34" s="117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</row>
    <row r="35" ht="13.5">
      <c r="A35" s="4" t="s">
        <v>3781</v>
      </c>
      <c r="B35" s="115" t="s">
        <v>3782</v>
      </c>
      <c r="C35" s="116"/>
      <c r="D35" s="116" t="s">
        <v>3783</v>
      </c>
      <c r="E35" s="116" t="s">
        <v>3784</v>
      </c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</row>
    <row r="36" ht="13.5">
      <c r="A36" s="4" t="s">
        <v>3785</v>
      </c>
      <c r="B36" s="115" t="s">
        <v>3786</v>
      </c>
      <c r="C36" s="116"/>
      <c r="D36" s="116" t="s">
        <v>3787</v>
      </c>
      <c r="E36" s="116" t="s">
        <v>3788</v>
      </c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</row>
    <row r="37" ht="13.5">
      <c r="A37" s="4" t="s">
        <v>3789</v>
      </c>
      <c r="B37" s="115" t="s">
        <v>3790</v>
      </c>
      <c r="C37" s="116"/>
      <c r="D37" s="116" t="s">
        <v>3791</v>
      </c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</row>
    <row r="38" ht="13.5">
      <c r="A38" s="4" t="s">
        <v>3792</v>
      </c>
      <c r="B38" s="116"/>
      <c r="C38" s="116" t="s">
        <v>3793</v>
      </c>
      <c r="D38" s="116" t="s">
        <v>3794</v>
      </c>
      <c r="E38" s="116" t="s">
        <v>3795</v>
      </c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</row>
    <row r="39" ht="13.5">
      <c r="A39" s="4" t="s">
        <v>69</v>
      </c>
      <c r="B39" s="115" t="s">
        <v>3796</v>
      </c>
      <c r="C39" s="116"/>
      <c r="D39" s="116" t="s">
        <v>3797</v>
      </c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</row>
    <row r="40" ht="13.5">
      <c r="A40" s="4" t="s">
        <v>3798</v>
      </c>
      <c r="B40" s="115" t="s">
        <v>3799</v>
      </c>
      <c r="C40" s="116"/>
      <c r="D40" s="116" t="s">
        <v>3800</v>
      </c>
      <c r="E40" s="116" t="s">
        <v>3801</v>
      </c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</row>
    <row r="41" ht="13.5">
      <c r="A41" s="4" t="s">
        <v>3802</v>
      </c>
      <c r="B41" s="115" t="s">
        <v>3803</v>
      </c>
      <c r="C41" s="116"/>
      <c r="D41" s="116" t="s">
        <v>3804</v>
      </c>
      <c r="E41" s="116" t="s">
        <v>3805</v>
      </c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</row>
    <row r="42" ht="13.5">
      <c r="A42" s="4" t="s">
        <v>70</v>
      </c>
      <c r="B42" s="115" t="s">
        <v>3806</v>
      </c>
      <c r="C42" s="116"/>
      <c r="D42" s="116" t="s">
        <v>3807</v>
      </c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</row>
    <row r="43" ht="13.5">
      <c r="A43" s="4" t="s">
        <v>3808</v>
      </c>
      <c r="B43" s="115" t="s">
        <v>3809</v>
      </c>
      <c r="C43" s="116"/>
      <c r="D43" s="116" t="s">
        <v>3810</v>
      </c>
      <c r="E43" s="116" t="s">
        <v>3811</v>
      </c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</row>
    <row r="44" ht="13.5">
      <c r="A44" s="4" t="s">
        <v>3812</v>
      </c>
      <c r="B44" s="115" t="s">
        <v>3813</v>
      </c>
      <c r="C44" s="116"/>
      <c r="D44" s="116" t="s">
        <v>3814</v>
      </c>
      <c r="E44" s="116" t="s">
        <v>3815</v>
      </c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</row>
    <row r="45" ht="13.5">
      <c r="A45" s="4" t="s">
        <v>3816</v>
      </c>
      <c r="B45" s="115" t="s">
        <v>3817</v>
      </c>
      <c r="C45" s="116" t="s">
        <v>3817</v>
      </c>
      <c r="D45" s="116" t="s">
        <v>3817</v>
      </c>
      <c r="E45" s="116" t="s">
        <v>3817</v>
      </c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</row>
    <row r="46" ht="13.5">
      <c r="A46" s="4" t="s">
        <v>3818</v>
      </c>
      <c r="B46" s="115"/>
      <c r="C46" s="116" t="s">
        <v>3819</v>
      </c>
      <c r="D46" s="116" t="s">
        <v>3820</v>
      </c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</row>
    <row r="47" ht="13.5">
      <c r="A47" s="4" t="s">
        <v>3821</v>
      </c>
      <c r="B47" s="115" t="s">
        <v>3822</v>
      </c>
      <c r="C47" s="116" t="s">
        <v>3823</v>
      </c>
      <c r="D47" s="116" t="s">
        <v>3824</v>
      </c>
      <c r="E47" s="116" t="s">
        <v>3825</v>
      </c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</row>
    <row r="48" ht="13.5">
      <c r="A48" s="4" t="s">
        <v>3826</v>
      </c>
      <c r="B48" s="115" t="s">
        <v>3826</v>
      </c>
      <c r="C48" s="115" t="s">
        <v>3826</v>
      </c>
      <c r="D48" s="116" t="s">
        <v>3826</v>
      </c>
      <c r="E48" s="116" t="s">
        <v>3827</v>
      </c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</row>
    <row r="49" ht="13.5">
      <c r="A49" s="4" t="s">
        <v>3828</v>
      </c>
      <c r="B49" s="115" t="s">
        <v>3829</v>
      </c>
      <c r="C49" s="116" t="s">
        <v>3830</v>
      </c>
      <c r="D49" s="116" t="s">
        <v>3831</v>
      </c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</row>
    <row r="50" ht="13.5">
      <c r="A50" s="4" t="s">
        <v>3832</v>
      </c>
      <c r="B50" s="115" t="s">
        <v>3833</v>
      </c>
      <c r="C50" s="116" t="s">
        <v>3833</v>
      </c>
      <c r="D50" s="116" t="s">
        <v>3834</v>
      </c>
      <c r="E50" s="116" t="s">
        <v>3835</v>
      </c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</row>
    <row r="51" ht="13.5">
      <c r="A51" s="4" t="s">
        <v>3836</v>
      </c>
      <c r="B51" s="115" t="s">
        <v>3837</v>
      </c>
      <c r="C51" s="116"/>
      <c r="D51" s="116" t="s">
        <v>3838</v>
      </c>
      <c r="E51" s="116" t="s">
        <v>3839</v>
      </c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</row>
    <row r="52" ht="13.5">
      <c r="A52" s="4" t="s">
        <v>3840</v>
      </c>
      <c r="B52" s="115" t="s">
        <v>3841</v>
      </c>
      <c r="C52" s="116"/>
      <c r="D52" s="116" t="s">
        <v>3842</v>
      </c>
      <c r="E52" s="116" t="s">
        <v>3843</v>
      </c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 ht="13.5">
      <c r="A53" s="4" t="s">
        <v>3844</v>
      </c>
      <c r="B53" s="115" t="s">
        <v>3845</v>
      </c>
      <c r="C53" s="116" t="s">
        <v>3845</v>
      </c>
      <c r="D53" s="116" t="s">
        <v>3846</v>
      </c>
      <c r="E53" s="116" t="s">
        <v>3847</v>
      </c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</row>
    <row r="54" ht="13.5">
      <c r="A54" s="4" t="s">
        <v>3848</v>
      </c>
      <c r="B54" s="115" t="s">
        <v>3849</v>
      </c>
      <c r="C54" s="116" t="s">
        <v>3850</v>
      </c>
      <c r="D54" s="116" t="s">
        <v>3851</v>
      </c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</row>
    <row r="55" ht="13.5">
      <c r="A55" s="4" t="s">
        <v>3852</v>
      </c>
      <c r="B55" s="115" t="s">
        <v>3853</v>
      </c>
      <c r="C55" s="116" t="s">
        <v>3854</v>
      </c>
      <c r="D55" s="116" t="s">
        <v>3855</v>
      </c>
      <c r="E55" s="116" t="s">
        <v>3856</v>
      </c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 ht="13.5">
      <c r="A56" s="4" t="s">
        <v>3857</v>
      </c>
      <c r="B56" s="115" t="s">
        <v>3858</v>
      </c>
      <c r="C56" s="116" t="s">
        <v>3859</v>
      </c>
      <c r="D56" s="116" t="s">
        <v>3860</v>
      </c>
      <c r="E56" s="116" t="s">
        <v>3861</v>
      </c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</row>
    <row r="57" ht="13.5">
      <c r="A57" s="4" t="s">
        <v>3862</v>
      </c>
      <c r="B57" s="118"/>
      <c r="C57" s="118"/>
      <c r="D57" s="116" t="s">
        <v>3863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</row>
    <row r="58" ht="13.5">
      <c r="A58" s="4" t="s">
        <v>3864</v>
      </c>
      <c r="B58" s="115" t="s">
        <v>3865</v>
      </c>
      <c r="C58" s="116" t="s">
        <v>3866</v>
      </c>
      <c r="D58" s="116" t="s">
        <v>3867</v>
      </c>
      <c r="E58" s="116" t="s">
        <v>3868</v>
      </c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</row>
    <row r="59" ht="13.5">
      <c r="A59" s="4" t="s">
        <v>3869</v>
      </c>
      <c r="B59" s="115" t="s">
        <v>3870</v>
      </c>
      <c r="C59" s="116" t="s">
        <v>3871</v>
      </c>
      <c r="D59" s="116" t="s">
        <v>3872</v>
      </c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</row>
    <row r="60" ht="13.5">
      <c r="A60" s="4" t="s">
        <v>3873</v>
      </c>
      <c r="B60" s="116"/>
      <c r="C60" s="116" t="s">
        <v>3874</v>
      </c>
      <c r="D60" s="116" t="s">
        <v>3874</v>
      </c>
      <c r="E60" s="116" t="s">
        <v>3875</v>
      </c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</row>
    <row r="61" ht="13.5">
      <c r="A61" s="4" t="s">
        <v>3876</v>
      </c>
      <c r="B61" s="115" t="s">
        <v>3877</v>
      </c>
      <c r="C61" s="116" t="s">
        <v>3878</v>
      </c>
      <c r="D61" s="116" t="s">
        <v>3879</v>
      </c>
      <c r="E61" s="116" t="s">
        <v>3880</v>
      </c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</row>
    <row r="62" ht="13.5">
      <c r="A62" s="4" t="s">
        <v>3881</v>
      </c>
      <c r="B62" s="115" t="s">
        <v>3882</v>
      </c>
      <c r="C62" s="116" t="s">
        <v>3883</v>
      </c>
      <c r="D62" s="116" t="s">
        <v>3882</v>
      </c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</row>
    <row r="63" ht="13.5">
      <c r="A63" s="4" t="s">
        <v>3884</v>
      </c>
      <c r="B63" s="115" t="s">
        <v>3885</v>
      </c>
      <c r="C63" s="116" t="s">
        <v>3820</v>
      </c>
      <c r="D63" s="116" t="s">
        <v>3886</v>
      </c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</row>
    <row r="64" ht="13.5">
      <c r="A64" s="4" t="s">
        <v>3887</v>
      </c>
      <c r="B64" s="115" t="s">
        <v>3888</v>
      </c>
      <c r="C64" s="116" t="s">
        <v>3889</v>
      </c>
      <c r="D64" s="116" t="s">
        <v>3890</v>
      </c>
      <c r="E64" s="116" t="s">
        <v>3891</v>
      </c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</row>
    <row r="65" ht="13.5">
      <c r="A65" s="4" t="s">
        <v>3892</v>
      </c>
      <c r="B65" s="115" t="s">
        <v>3893</v>
      </c>
      <c r="C65" s="116" t="s">
        <v>3894</v>
      </c>
      <c r="D65" s="116" t="s">
        <v>3892</v>
      </c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</row>
    <row r="66" ht="13.5">
      <c r="A66" s="4" t="s">
        <v>3895</v>
      </c>
      <c r="B66" s="115" t="s">
        <v>3896</v>
      </c>
      <c r="C66" s="116" t="s">
        <v>3896</v>
      </c>
      <c r="D66" s="116" t="s">
        <v>3896</v>
      </c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ht="13.5">
      <c r="A67" s="4" t="s">
        <v>3897</v>
      </c>
      <c r="B67" s="115" t="s">
        <v>3898</v>
      </c>
      <c r="C67" s="116" t="s">
        <v>3899</v>
      </c>
      <c r="D67" s="116" t="s">
        <v>3900</v>
      </c>
      <c r="E67" s="116" t="s">
        <v>3901</v>
      </c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</row>
    <row r="68" ht="13.5">
      <c r="A68" s="4" t="s">
        <v>3902</v>
      </c>
      <c r="B68" s="116"/>
      <c r="C68" s="116" t="s">
        <v>3903</v>
      </c>
      <c r="D68" s="116" t="s">
        <v>3904</v>
      </c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</row>
    <row r="69" ht="13.5">
      <c r="A69" s="4" t="s">
        <v>72</v>
      </c>
      <c r="B69" s="115" t="s">
        <v>3905</v>
      </c>
      <c r="C69" s="116" t="s">
        <v>3906</v>
      </c>
      <c r="D69" s="116" t="s">
        <v>3907</v>
      </c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ht="13.5">
      <c r="A70" s="4" t="s">
        <v>3908</v>
      </c>
      <c r="B70" s="115" t="s">
        <v>3909</v>
      </c>
      <c r="C70" s="116" t="s">
        <v>3910</v>
      </c>
      <c r="D70" s="116" t="s">
        <v>3909</v>
      </c>
      <c r="E70" s="118"/>
      <c r="F70" s="118"/>
      <c r="G70" s="117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</row>
    <row r="71" ht="13.5">
      <c r="A71" s="4" t="s">
        <v>3911</v>
      </c>
      <c r="B71" s="115" t="s">
        <v>3912</v>
      </c>
      <c r="C71" s="116"/>
      <c r="D71" s="116" t="s">
        <v>3912</v>
      </c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</row>
    <row r="72" ht="13.5">
      <c r="A72" s="4" t="s">
        <v>74</v>
      </c>
      <c r="B72" s="116"/>
      <c r="C72" s="116"/>
      <c r="D72" s="116" t="s">
        <v>3913</v>
      </c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</row>
    <row r="73" ht="13.5">
      <c r="A73" s="4" t="s">
        <v>3914</v>
      </c>
      <c r="B73" s="115" t="s">
        <v>3915</v>
      </c>
      <c r="C73" s="116"/>
      <c r="D73" s="116" t="s">
        <v>3915</v>
      </c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</row>
    <row r="74" ht="13.5">
      <c r="A74" s="4" t="s">
        <v>3916</v>
      </c>
      <c r="B74" s="115" t="s">
        <v>3917</v>
      </c>
      <c r="C74" s="118"/>
      <c r="D74" s="116" t="s">
        <v>3918</v>
      </c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</row>
    <row r="75" ht="13.5">
      <c r="A75" s="4" t="s">
        <v>3919</v>
      </c>
      <c r="B75" s="115"/>
      <c r="C75" s="116"/>
      <c r="D75" s="116" t="s">
        <v>3920</v>
      </c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</row>
    <row r="76" ht="13.5">
      <c r="A76" s="4" t="s">
        <v>3921</v>
      </c>
      <c r="B76" s="115" t="s">
        <v>3921</v>
      </c>
      <c r="C76" s="116"/>
      <c r="D76" s="116" t="s">
        <v>3922</v>
      </c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</row>
    <row r="77" ht="13.5">
      <c r="A77" s="4" t="s">
        <v>3923</v>
      </c>
      <c r="B77" s="115" t="s">
        <v>3924</v>
      </c>
      <c r="C77" s="116"/>
      <c r="D77" s="116" t="s">
        <v>3925</v>
      </c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</row>
    <row r="78" ht="13.5">
      <c r="A78" s="4" t="s">
        <v>73</v>
      </c>
      <c r="B78" s="118"/>
      <c r="C78" s="118"/>
      <c r="D78" s="116" t="s">
        <v>3926</v>
      </c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</row>
    <row r="79" ht="13.5">
      <c r="A79" s="4" t="s">
        <v>3927</v>
      </c>
      <c r="B79" s="116"/>
      <c r="C79" s="116" t="s">
        <v>3928</v>
      </c>
      <c r="D79" s="116" t="s">
        <v>3929</v>
      </c>
      <c r="E79" s="116" t="s">
        <v>3930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</row>
    <row r="80" ht="13.5">
      <c r="A80" s="4" t="s">
        <v>3931</v>
      </c>
      <c r="B80" s="116"/>
      <c r="C80" s="116" t="s">
        <v>3932</v>
      </c>
      <c r="D80" s="116" t="s">
        <v>3933</v>
      </c>
      <c r="E80" s="116" t="s">
        <v>3934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</row>
    <row r="81" ht="13.5">
      <c r="A81" s="4" t="s">
        <v>3935</v>
      </c>
      <c r="B81" s="115" t="s">
        <v>3936</v>
      </c>
      <c r="C81" s="116" t="s">
        <v>3915</v>
      </c>
      <c r="D81" s="116" t="s">
        <v>3937</v>
      </c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</row>
    <row r="82" ht="13.5">
      <c r="A82" s="4" t="s">
        <v>3938</v>
      </c>
      <c r="B82" s="115" t="s">
        <v>3939</v>
      </c>
      <c r="C82" s="116"/>
      <c r="D82" s="116" t="s">
        <v>3940</v>
      </c>
      <c r="E82" s="116" t="s">
        <v>3941</v>
      </c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</row>
    <row r="83" ht="13.5">
      <c r="A83" s="4" t="s">
        <v>75</v>
      </c>
      <c r="B83" s="115" t="s">
        <v>3942</v>
      </c>
      <c r="C83" s="116" t="s">
        <v>3943</v>
      </c>
      <c r="D83" s="116" t="s">
        <v>3944</v>
      </c>
      <c r="E83" s="116" t="s">
        <v>3942</v>
      </c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</row>
    <row r="84" ht="13.5">
      <c r="A84" s="4" t="s">
        <v>3945</v>
      </c>
      <c r="B84" s="115" t="s">
        <v>3946</v>
      </c>
      <c r="C84" s="116" t="s">
        <v>3947</v>
      </c>
      <c r="D84" s="116" t="s">
        <v>3948</v>
      </c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</row>
    <row r="85" ht="13.5">
      <c r="A85" s="4" t="s">
        <v>3949</v>
      </c>
      <c r="B85" s="115" t="s">
        <v>3950</v>
      </c>
      <c r="C85" s="116" t="s">
        <v>3951</v>
      </c>
      <c r="D85" s="116" t="s">
        <v>3952</v>
      </c>
      <c r="E85" s="116" t="s">
        <v>3953</v>
      </c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</row>
    <row r="86" ht="13.5">
      <c r="A86" s="4" t="s">
        <v>3954</v>
      </c>
      <c r="B86" s="115" t="s">
        <v>3955</v>
      </c>
      <c r="C86" s="116" t="s">
        <v>3956</v>
      </c>
      <c r="D86" s="116" t="s">
        <v>3957</v>
      </c>
      <c r="E86" s="116" t="s">
        <v>3958</v>
      </c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</row>
    <row r="87" ht="13.5">
      <c r="A87" s="4" t="s">
        <v>3959</v>
      </c>
      <c r="B87" s="115" t="s">
        <v>3960</v>
      </c>
      <c r="C87" s="116"/>
      <c r="D87" s="116" t="s">
        <v>3961</v>
      </c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</row>
    <row r="88" ht="13.5">
      <c r="A88" s="4" t="s">
        <v>3962</v>
      </c>
      <c r="B88" s="118"/>
      <c r="C88" s="118"/>
      <c r="D88" s="116" t="s">
        <v>3963</v>
      </c>
      <c r="E88" s="116" t="s">
        <v>3964</v>
      </c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</row>
    <row r="89" ht="13.5">
      <c r="A89" s="4" t="s">
        <v>3965</v>
      </c>
      <c r="B89" s="115" t="s">
        <v>3966</v>
      </c>
      <c r="C89" s="116" t="s">
        <v>3967</v>
      </c>
      <c r="D89" s="116" t="s">
        <v>3968</v>
      </c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</row>
    <row r="90" ht="13.5">
      <c r="A90" s="4" t="s">
        <v>3969</v>
      </c>
      <c r="B90" s="115" t="s">
        <v>3970</v>
      </c>
      <c r="C90" s="116"/>
      <c r="D90" s="116" t="s">
        <v>3970</v>
      </c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</row>
    <row r="91" ht="13.5">
      <c r="A91" s="4" t="s">
        <v>3971</v>
      </c>
      <c r="B91" s="116"/>
      <c r="C91" s="116" t="s">
        <v>3972</v>
      </c>
      <c r="D91" s="116" t="s">
        <v>3973</v>
      </c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</row>
    <row r="92" ht="13.5">
      <c r="A92" s="4" t="s">
        <v>3974</v>
      </c>
      <c r="B92" s="115" t="s">
        <v>3975</v>
      </c>
      <c r="C92" s="116" t="s">
        <v>3976</v>
      </c>
      <c r="D92" s="116" t="s">
        <v>3977</v>
      </c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</row>
    <row r="93" ht="13.5">
      <c r="A93" s="4" t="s">
        <v>3978</v>
      </c>
      <c r="B93" s="115" t="s">
        <v>3979</v>
      </c>
      <c r="C93" s="118"/>
      <c r="D93" s="116" t="s">
        <v>3980</v>
      </c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</row>
    <row r="94" ht="13.5">
      <c r="A94" s="4" t="s">
        <v>3981</v>
      </c>
      <c r="B94" s="118"/>
      <c r="C94" s="118"/>
      <c r="D94" s="116" t="s">
        <v>3982</v>
      </c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</row>
    <row r="95" ht="13.5">
      <c r="A95" s="4" t="s">
        <v>3983</v>
      </c>
      <c r="B95" s="115" t="s">
        <v>3984</v>
      </c>
      <c r="C95" s="116" t="s">
        <v>3984</v>
      </c>
      <c r="D95" s="116" t="s">
        <v>3985</v>
      </c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</row>
    <row r="96" ht="13.5">
      <c r="A96" s="4" t="s">
        <v>3986</v>
      </c>
      <c r="B96" s="118"/>
      <c r="C96" s="118"/>
      <c r="D96" s="116" t="s">
        <v>3987</v>
      </c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</row>
    <row r="97" ht="13.5">
      <c r="A97" s="4" t="s">
        <v>3988</v>
      </c>
      <c r="B97" s="115" t="s">
        <v>3989</v>
      </c>
      <c r="C97" s="116"/>
      <c r="D97" s="116" t="s">
        <v>3990</v>
      </c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</row>
    <row r="98" ht="13.5">
      <c r="A98" s="4" t="s">
        <v>3991</v>
      </c>
      <c r="B98" s="115" t="s">
        <v>3992</v>
      </c>
      <c r="C98" s="118"/>
      <c r="D98" s="116" t="s">
        <v>3993</v>
      </c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</row>
    <row r="99" ht="13.5">
      <c r="A99" s="4" t="s">
        <v>3994</v>
      </c>
      <c r="B99" s="116"/>
      <c r="C99" s="116" t="s">
        <v>3995</v>
      </c>
      <c r="D99" s="116" t="s">
        <v>3996</v>
      </c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</row>
    <row r="100" ht="13.5">
      <c r="A100" s="4" t="s">
        <v>3997</v>
      </c>
      <c r="B100" s="115" t="s">
        <v>3998</v>
      </c>
      <c r="C100" s="116" t="s">
        <v>3998</v>
      </c>
      <c r="D100" s="116" t="s">
        <v>3999</v>
      </c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</row>
    <row r="101" ht="13.5">
      <c r="A101" s="4" t="s">
        <v>4000</v>
      </c>
      <c r="B101" s="118"/>
      <c r="C101" s="118"/>
      <c r="D101" s="116" t="s">
        <v>4001</v>
      </c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</row>
    <row r="102" ht="13.5">
      <c r="A102" s="4" t="s">
        <v>4002</v>
      </c>
      <c r="B102" s="115" t="s">
        <v>4003</v>
      </c>
      <c r="C102" s="116" t="s">
        <v>4003</v>
      </c>
      <c r="D102" s="116" t="s">
        <v>4004</v>
      </c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</row>
    <row r="103" ht="13.5">
      <c r="A103" s="4" t="s">
        <v>4005</v>
      </c>
      <c r="B103" s="115" t="s">
        <v>4006</v>
      </c>
      <c r="C103" s="116"/>
      <c r="D103" s="116" t="s">
        <v>4007</v>
      </c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</row>
    <row r="104" ht="13.5">
      <c r="A104" s="4" t="s">
        <v>4008</v>
      </c>
      <c r="B104" s="118"/>
      <c r="C104" s="118"/>
      <c r="D104" s="116" t="s">
        <v>4009</v>
      </c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</row>
    <row r="105" ht="13.5">
      <c r="A105" s="4" t="s">
        <v>4010</v>
      </c>
      <c r="B105" s="115" t="s">
        <v>4011</v>
      </c>
      <c r="C105" s="116" t="s">
        <v>4012</v>
      </c>
      <c r="D105" s="116" t="s">
        <v>4013</v>
      </c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</row>
    <row r="106" ht="13.5">
      <c r="A106" s="4" t="s">
        <v>4014</v>
      </c>
      <c r="B106" s="115" t="s">
        <v>4015</v>
      </c>
      <c r="C106" s="116" t="s">
        <v>4016</v>
      </c>
      <c r="D106" s="116" t="s">
        <v>4017</v>
      </c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</row>
    <row r="107" ht="13.5">
      <c r="A107" s="4" t="s">
        <v>4018</v>
      </c>
      <c r="B107" s="115" t="s">
        <v>4018</v>
      </c>
      <c r="C107" s="116" t="s">
        <v>4018</v>
      </c>
      <c r="D107" s="116" t="s">
        <v>4018</v>
      </c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</row>
    <row r="108" ht="13.5">
      <c r="A108" s="4" t="s">
        <v>4019</v>
      </c>
      <c r="B108" s="115" t="s">
        <v>4020</v>
      </c>
      <c r="C108" s="116" t="s">
        <v>4020</v>
      </c>
      <c r="D108" s="116" t="s">
        <v>4021</v>
      </c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</row>
    <row r="109" ht="13.5">
      <c r="A109" s="4" t="s">
        <v>4022</v>
      </c>
      <c r="B109" s="115" t="s">
        <v>4023</v>
      </c>
      <c r="C109" s="116"/>
      <c r="D109" s="116" t="s">
        <v>4024</v>
      </c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</row>
    <row r="110" ht="13.5">
      <c r="A110" s="4" t="s">
        <v>4025</v>
      </c>
      <c r="B110" s="115" t="s">
        <v>4026</v>
      </c>
      <c r="C110" s="118"/>
      <c r="D110" s="116" t="s">
        <v>4027</v>
      </c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</row>
    <row r="111" ht="13.5">
      <c r="A111" s="4" t="s">
        <v>4028</v>
      </c>
      <c r="B111" s="115" t="s">
        <v>4029</v>
      </c>
      <c r="C111" s="116" t="s">
        <v>4030</v>
      </c>
      <c r="D111" s="116" t="s">
        <v>4031</v>
      </c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</row>
    <row r="112" ht="13.5">
      <c r="A112" s="4" t="s">
        <v>4032</v>
      </c>
      <c r="B112" s="116"/>
      <c r="C112" s="116" t="s">
        <v>4033</v>
      </c>
      <c r="D112" s="116" t="s">
        <v>4034</v>
      </c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</row>
    <row r="113" ht="13.5">
      <c r="A113" s="4" t="s">
        <v>4035</v>
      </c>
      <c r="B113" s="115" t="s">
        <v>4036</v>
      </c>
      <c r="C113" s="116"/>
      <c r="D113" s="116" t="s">
        <v>4037</v>
      </c>
      <c r="E113" s="116" t="s">
        <v>4038</v>
      </c>
      <c r="F113" s="117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</row>
    <row r="114" ht="13.5">
      <c r="A114" s="4" t="s">
        <v>4039</v>
      </c>
      <c r="B114" s="115" t="s">
        <v>4040</v>
      </c>
      <c r="C114" s="116"/>
      <c r="D114" s="116" t="s">
        <v>4040</v>
      </c>
      <c r="E114" s="116" t="s">
        <v>4040</v>
      </c>
      <c r="F114" s="117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</row>
    <row r="115" ht="13.5">
      <c r="A115" s="4" t="s">
        <v>59</v>
      </c>
      <c r="B115" s="116"/>
      <c r="C115" s="116"/>
      <c r="D115" s="116" t="s">
        <v>4041</v>
      </c>
      <c r="E115" s="116" t="s">
        <v>4042</v>
      </c>
      <c r="F115" s="117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</row>
    <row r="116" ht="13.5">
      <c r="A116" s="4" t="s">
        <v>4043</v>
      </c>
      <c r="B116" s="115" t="s">
        <v>4044</v>
      </c>
      <c r="C116" s="116"/>
      <c r="D116" s="116" t="s">
        <v>4045</v>
      </c>
      <c r="E116" s="118"/>
      <c r="F116" s="117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</row>
    <row r="117" ht="13.5">
      <c r="A117" s="4" t="s">
        <v>4046</v>
      </c>
      <c r="B117" s="115" t="s">
        <v>4047</v>
      </c>
      <c r="C117" s="116"/>
      <c r="D117" s="116" t="s">
        <v>4047</v>
      </c>
      <c r="E117" s="116" t="s">
        <v>4048</v>
      </c>
      <c r="F117" s="117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</row>
    <row r="118" ht="13.5">
      <c r="A118" s="4" t="s">
        <v>4049</v>
      </c>
      <c r="B118" s="118"/>
      <c r="C118" s="118"/>
      <c r="D118" s="116" t="s">
        <v>4050</v>
      </c>
      <c r="E118" s="118"/>
      <c r="F118" s="117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</row>
    <row r="119" ht="13.5">
      <c r="A119" s="4" t="s">
        <v>4051</v>
      </c>
      <c r="B119" s="115" t="s">
        <v>4052</v>
      </c>
      <c r="C119" s="116"/>
      <c r="D119" s="116" t="s">
        <v>4053</v>
      </c>
      <c r="E119" s="118"/>
      <c r="F119" s="117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</row>
    <row r="120" ht="13.5">
      <c r="A120" s="4" t="s">
        <v>4054</v>
      </c>
      <c r="B120" s="115" t="s">
        <v>4055</v>
      </c>
      <c r="C120" s="116"/>
      <c r="D120" s="116" t="s">
        <v>4056</v>
      </c>
      <c r="E120" s="116" t="s">
        <v>4056</v>
      </c>
      <c r="F120" s="117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</row>
    <row r="121" ht="13.5">
      <c r="A121" s="4" t="s">
        <v>4057</v>
      </c>
      <c r="B121" s="115" t="s">
        <v>4058</v>
      </c>
      <c r="C121" s="116"/>
      <c r="D121" s="116" t="s">
        <v>4059</v>
      </c>
      <c r="E121" s="116" t="s">
        <v>4060</v>
      </c>
      <c r="F121" s="117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</row>
    <row r="122" ht="13.5">
      <c r="A122" s="4" t="s">
        <v>60</v>
      </c>
      <c r="B122" s="115" t="s">
        <v>4061</v>
      </c>
      <c r="C122" s="116" t="s">
        <v>4062</v>
      </c>
      <c r="D122" s="116" t="s">
        <v>4063</v>
      </c>
      <c r="E122" s="118"/>
      <c r="F122" s="117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</row>
    <row r="123" ht="13.5">
      <c r="A123" s="4" t="s">
        <v>4064</v>
      </c>
      <c r="B123" s="116"/>
      <c r="C123" s="116" t="s">
        <v>4065</v>
      </c>
      <c r="D123" s="116" t="s">
        <v>4066</v>
      </c>
      <c r="E123" s="116" t="s">
        <v>4066</v>
      </c>
      <c r="F123" s="117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</row>
    <row r="124" ht="13.5">
      <c r="A124" s="4" t="s">
        <v>4067</v>
      </c>
      <c r="B124" s="115" t="s">
        <v>4068</v>
      </c>
      <c r="C124" s="116"/>
      <c r="D124" s="116" t="s">
        <v>4069</v>
      </c>
      <c r="E124" s="116" t="s">
        <v>4070</v>
      </c>
      <c r="F124" s="117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</row>
    <row r="125" ht="13.5">
      <c r="A125" s="4" t="s">
        <v>4071</v>
      </c>
      <c r="B125" s="115" t="s">
        <v>4072</v>
      </c>
      <c r="C125" s="118"/>
      <c r="D125" s="116" t="s">
        <v>4073</v>
      </c>
      <c r="E125" s="118"/>
      <c r="F125" s="117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</row>
    <row r="126" ht="13.5">
      <c r="A126" s="4" t="s">
        <v>4074</v>
      </c>
      <c r="B126" s="116"/>
      <c r="C126" s="116" t="s">
        <v>4075</v>
      </c>
      <c r="D126" s="116" t="s">
        <v>4076</v>
      </c>
      <c r="E126" s="116" t="s">
        <v>4077</v>
      </c>
      <c r="F126" s="117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</row>
    <row r="127" ht="13.5">
      <c r="A127" s="4" t="s">
        <v>63</v>
      </c>
      <c r="B127" s="115" t="s">
        <v>4078</v>
      </c>
      <c r="C127" s="116"/>
      <c r="D127" s="116" t="s">
        <v>4079</v>
      </c>
      <c r="E127" s="116" t="s">
        <v>4080</v>
      </c>
      <c r="F127" s="117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</row>
    <row r="128" ht="13.5">
      <c r="A128" s="4" t="s">
        <v>4081</v>
      </c>
      <c r="B128" s="115" t="s">
        <v>4082</v>
      </c>
      <c r="C128" s="118"/>
      <c r="D128" s="116" t="s">
        <v>4083</v>
      </c>
      <c r="E128" s="118"/>
      <c r="F128" s="117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</row>
    <row r="129" ht="13.5">
      <c r="A129" s="4" t="s">
        <v>4084</v>
      </c>
      <c r="B129" s="115" t="s">
        <v>4085</v>
      </c>
      <c r="C129" s="116"/>
      <c r="D129" s="116" t="s">
        <v>4086</v>
      </c>
      <c r="E129" s="116" t="s">
        <v>4086</v>
      </c>
      <c r="F129" s="117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</row>
    <row r="130" ht="13.5">
      <c r="A130" s="4" t="s">
        <v>62</v>
      </c>
      <c r="B130" s="115" t="s">
        <v>4087</v>
      </c>
      <c r="C130" s="118"/>
      <c r="D130" s="116" t="s">
        <v>4088</v>
      </c>
      <c r="E130" s="116" t="s">
        <v>4089</v>
      </c>
      <c r="F130" s="117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</row>
    <row r="131" ht="13.5">
      <c r="A131" s="4" t="s">
        <v>4090</v>
      </c>
      <c r="B131" s="115" t="s">
        <v>4091</v>
      </c>
      <c r="C131" s="116"/>
      <c r="D131" s="116" t="s">
        <v>4092</v>
      </c>
      <c r="E131" s="116" t="s">
        <v>4091</v>
      </c>
      <c r="F131" s="117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</row>
    <row r="132" ht="13.5">
      <c r="A132" s="4" t="s">
        <v>4093</v>
      </c>
      <c r="B132" s="115" t="s">
        <v>4094</v>
      </c>
      <c r="C132" s="116"/>
      <c r="D132" s="116" t="s">
        <v>4095</v>
      </c>
      <c r="E132" s="116" t="s">
        <v>4096</v>
      </c>
      <c r="F132" s="117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</row>
    <row r="133" ht="13.5">
      <c r="A133" s="4" t="s">
        <v>4097</v>
      </c>
      <c r="B133" s="115" t="s">
        <v>4098</v>
      </c>
      <c r="C133" s="116"/>
      <c r="D133" s="116" t="s">
        <v>4099</v>
      </c>
      <c r="E133" s="116" t="s">
        <v>4100</v>
      </c>
      <c r="F133" s="117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</row>
    <row r="134" ht="13.5">
      <c r="A134" s="4" t="s">
        <v>4101</v>
      </c>
      <c r="B134" s="115" t="s">
        <v>4102</v>
      </c>
      <c r="C134" s="116" t="s">
        <v>4103</v>
      </c>
      <c r="D134" s="116" t="s">
        <v>4102</v>
      </c>
      <c r="E134" s="118"/>
      <c r="F134" s="117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</row>
    <row r="135" ht="13.5">
      <c r="A135" s="4" t="s">
        <v>4104</v>
      </c>
      <c r="B135" s="116"/>
      <c r="C135" s="116" t="s">
        <v>4105</v>
      </c>
      <c r="D135" s="116" t="s">
        <v>4106</v>
      </c>
      <c r="E135" s="116" t="s">
        <v>4105</v>
      </c>
      <c r="F135" s="117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</row>
    <row r="136" ht="13.5">
      <c r="A136" s="4" t="s">
        <v>4107</v>
      </c>
      <c r="B136" s="115" t="s">
        <v>4108</v>
      </c>
      <c r="C136" s="116" t="s">
        <v>4108</v>
      </c>
      <c r="D136" s="116" t="s">
        <v>4109</v>
      </c>
      <c r="E136" s="116" t="s">
        <v>4110</v>
      </c>
      <c r="F136" s="117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</row>
    <row r="137" ht="13.5">
      <c r="A137" s="4" t="s">
        <v>4111</v>
      </c>
      <c r="B137" s="115" t="s">
        <v>4112</v>
      </c>
      <c r="C137" s="116" t="s">
        <v>4113</v>
      </c>
      <c r="D137" s="116" t="s">
        <v>4112</v>
      </c>
      <c r="E137" s="118"/>
      <c r="F137" s="117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</row>
    <row r="138" ht="13.5">
      <c r="A138" s="4" t="s">
        <v>4114</v>
      </c>
      <c r="B138" s="116"/>
      <c r="C138" s="116" t="s">
        <v>4115</v>
      </c>
      <c r="D138" s="116" t="s">
        <v>4116</v>
      </c>
      <c r="E138" s="118"/>
      <c r="F138" s="117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</row>
    <row r="139" ht="13.5">
      <c r="A139" s="4" t="s">
        <v>4117</v>
      </c>
      <c r="B139" s="115" t="s">
        <v>4118</v>
      </c>
      <c r="C139" s="116" t="s">
        <v>4119</v>
      </c>
      <c r="D139" s="116" t="s">
        <v>4120</v>
      </c>
      <c r="E139" s="116" t="s">
        <v>4121</v>
      </c>
      <c r="F139" s="117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</row>
    <row r="140" ht="13.5">
      <c r="A140" s="4" t="s">
        <v>4122</v>
      </c>
      <c r="B140" s="115" t="s">
        <v>4123</v>
      </c>
      <c r="C140" s="116" t="s">
        <v>4124</v>
      </c>
      <c r="D140" s="116" t="s">
        <v>4123</v>
      </c>
      <c r="E140" s="116" t="s">
        <v>4125</v>
      </c>
      <c r="F140" s="117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</row>
    <row r="141" ht="13.5">
      <c r="A141" s="4" t="s">
        <v>4126</v>
      </c>
      <c r="B141" s="116"/>
      <c r="C141" s="116" t="s">
        <v>4127</v>
      </c>
      <c r="D141" s="116" t="s">
        <v>4128</v>
      </c>
      <c r="E141" s="116" t="s">
        <v>4129</v>
      </c>
      <c r="F141" s="117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</row>
    <row r="142" ht="13.5">
      <c r="A142" s="4" t="s">
        <v>4130</v>
      </c>
      <c r="B142" s="115" t="s">
        <v>4131</v>
      </c>
      <c r="C142" s="118"/>
      <c r="D142" s="116" t="s">
        <v>4132</v>
      </c>
      <c r="E142" s="116" t="s">
        <v>4133</v>
      </c>
      <c r="F142" s="117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</row>
    <row r="143" ht="13.5">
      <c r="A143" s="4" t="s">
        <v>4134</v>
      </c>
      <c r="B143" s="115" t="s">
        <v>4135</v>
      </c>
      <c r="C143" s="116"/>
      <c r="D143" s="116" t="s">
        <v>4136</v>
      </c>
      <c r="E143" s="116" t="s">
        <v>4135</v>
      </c>
      <c r="F143" s="117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</row>
    <row r="144" ht="13.5">
      <c r="A144" s="4" t="s">
        <v>4137</v>
      </c>
      <c r="B144" s="116"/>
      <c r="C144" s="116" t="s">
        <v>4138</v>
      </c>
      <c r="D144" s="116" t="s">
        <v>4139</v>
      </c>
      <c r="E144" s="116" t="s">
        <v>4140</v>
      </c>
      <c r="F144" s="117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</row>
    <row r="145" ht="13.5">
      <c r="A145" s="4" t="s">
        <v>4141</v>
      </c>
      <c r="B145" s="118"/>
      <c r="C145" s="118"/>
      <c r="D145" s="116" t="s">
        <v>4142</v>
      </c>
      <c r="E145" s="116" t="s">
        <v>4143</v>
      </c>
      <c r="F145" s="117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</row>
    <row r="146" ht="13.5">
      <c r="A146" s="4" t="s">
        <v>4144</v>
      </c>
      <c r="B146" s="115" t="s">
        <v>4145</v>
      </c>
      <c r="C146" s="116"/>
      <c r="D146" s="116" t="s">
        <v>4146</v>
      </c>
      <c r="E146" s="116" t="s">
        <v>4147</v>
      </c>
      <c r="F146" s="117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</row>
    <row r="147" ht="13.5">
      <c r="A147" s="4" t="s">
        <v>4148</v>
      </c>
      <c r="B147" s="115" t="s">
        <v>4149</v>
      </c>
      <c r="C147" s="116" t="s">
        <v>4149</v>
      </c>
      <c r="D147" s="116" t="s">
        <v>4149</v>
      </c>
      <c r="E147" s="116" t="s">
        <v>4150</v>
      </c>
      <c r="F147" s="117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</row>
    <row r="148" ht="13.5">
      <c r="A148" s="4" t="s">
        <v>4151</v>
      </c>
      <c r="B148" s="116"/>
      <c r="C148" s="116" t="s">
        <v>4152</v>
      </c>
      <c r="D148" s="116" t="s">
        <v>4153</v>
      </c>
      <c r="E148" s="116" t="s">
        <v>4154</v>
      </c>
      <c r="F148" s="117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</row>
    <row r="149" ht="13.5">
      <c r="A149" s="4" t="s">
        <v>4155</v>
      </c>
      <c r="B149" s="115" t="s">
        <v>4156</v>
      </c>
      <c r="C149" s="116" t="s">
        <v>4157</v>
      </c>
      <c r="D149" s="116" t="s">
        <v>4158</v>
      </c>
      <c r="E149" s="118"/>
      <c r="F149" s="117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</row>
    <row r="150" ht="13.5">
      <c r="A150" s="4" t="s">
        <v>4159</v>
      </c>
      <c r="B150" s="115" t="s">
        <v>4160</v>
      </c>
      <c r="C150" s="116" t="s">
        <v>4161</v>
      </c>
      <c r="D150" s="116" t="s">
        <v>4162</v>
      </c>
      <c r="E150" s="116" t="s">
        <v>4163</v>
      </c>
      <c r="F150" s="117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</row>
    <row r="151" ht="13.5">
      <c r="A151" s="4" t="s">
        <v>4164</v>
      </c>
      <c r="B151" s="116"/>
      <c r="C151" s="116" t="s">
        <v>4165</v>
      </c>
      <c r="D151" s="116" t="s">
        <v>4166</v>
      </c>
      <c r="E151" s="118"/>
      <c r="F151" s="117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</row>
    <row r="152" ht="13.5">
      <c r="A152" s="4" t="s">
        <v>4167</v>
      </c>
      <c r="B152" s="115" t="s">
        <v>4147</v>
      </c>
      <c r="C152" s="118"/>
      <c r="D152" s="116" t="s">
        <v>4168</v>
      </c>
      <c r="E152" s="118"/>
      <c r="F152" s="117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</row>
    <row r="153" ht="13.5">
      <c r="A153" s="4" t="s">
        <v>4169</v>
      </c>
      <c r="B153" s="116"/>
      <c r="C153" s="116" t="s">
        <v>4170</v>
      </c>
      <c r="D153" s="116" t="s">
        <v>4171</v>
      </c>
      <c r="E153" s="118"/>
      <c r="F153" s="117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</row>
    <row r="154" ht="13.5">
      <c r="A154" s="4" t="s">
        <v>4172</v>
      </c>
      <c r="B154" s="116"/>
      <c r="C154" s="116" t="s">
        <v>4173</v>
      </c>
      <c r="D154" s="116" t="s">
        <v>4174</v>
      </c>
      <c r="E154" s="116" t="s">
        <v>4175</v>
      </c>
      <c r="F154" s="117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</row>
    <row r="155" ht="13.5">
      <c r="A155" s="4" t="s">
        <v>4176</v>
      </c>
      <c r="B155" s="116"/>
      <c r="C155" s="116" t="s">
        <v>4177</v>
      </c>
      <c r="D155" s="116" t="s">
        <v>4178</v>
      </c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</row>
    <row r="156" ht="13.5">
      <c r="A156" s="4" t="s">
        <v>4179</v>
      </c>
      <c r="B156" s="116"/>
      <c r="C156" s="116" t="s">
        <v>4180</v>
      </c>
      <c r="D156" s="116" t="s">
        <v>4181</v>
      </c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</row>
    <row r="157" ht="13.5">
      <c r="A157" s="4" t="s">
        <v>4182</v>
      </c>
      <c r="B157" s="116"/>
      <c r="C157" s="116" t="s">
        <v>4183</v>
      </c>
      <c r="D157" s="116" t="s">
        <v>4184</v>
      </c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</row>
    <row r="158" ht="13.5">
      <c r="A158" s="4" t="s">
        <v>4185</v>
      </c>
      <c r="B158" s="116"/>
      <c r="C158" s="116" t="s">
        <v>4186</v>
      </c>
      <c r="D158" s="116" t="s">
        <v>4187</v>
      </c>
      <c r="E158" s="116" t="s">
        <v>4188</v>
      </c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</row>
    <row r="159" ht="13.5">
      <c r="A159" s="4" t="s">
        <v>4189</v>
      </c>
      <c r="B159" s="116"/>
      <c r="C159" s="116" t="s">
        <v>4190</v>
      </c>
      <c r="D159" s="116" t="s">
        <v>4191</v>
      </c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</row>
    <row r="160" ht="13.5">
      <c r="A160" s="4" t="s">
        <v>4192</v>
      </c>
      <c r="B160" s="115" t="s">
        <v>4193</v>
      </c>
      <c r="C160" s="116"/>
      <c r="D160" s="116" t="s">
        <v>4194</v>
      </c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</row>
    <row r="161" ht="13.5">
      <c r="A161" s="4" t="s">
        <v>4195</v>
      </c>
      <c r="B161" s="118"/>
      <c r="C161" s="118"/>
      <c r="D161" s="116" t="s">
        <v>4196</v>
      </c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</row>
    <row r="162" ht="13.5">
      <c r="A162" s="4" t="s">
        <v>4197</v>
      </c>
      <c r="B162" s="115" t="s">
        <v>4198</v>
      </c>
      <c r="C162" s="116"/>
      <c r="D162" s="116" t="s">
        <v>4199</v>
      </c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</row>
    <row r="163" ht="13.5">
      <c r="A163" s="4" t="s">
        <v>4200</v>
      </c>
      <c r="B163" s="116"/>
      <c r="C163" s="116" t="s">
        <v>4201</v>
      </c>
      <c r="D163" s="116" t="s">
        <v>4202</v>
      </c>
      <c r="E163" s="116" t="s">
        <v>4203</v>
      </c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</row>
    <row r="164" ht="13.5">
      <c r="A164" s="4" t="s">
        <v>4204</v>
      </c>
      <c r="B164" s="115" t="s">
        <v>4205</v>
      </c>
      <c r="C164" s="116"/>
      <c r="D164" s="116" t="s">
        <v>4206</v>
      </c>
      <c r="E164" s="116" t="s">
        <v>4207</v>
      </c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</row>
    <row r="165" ht="13.5">
      <c r="A165" s="4" t="s">
        <v>4208</v>
      </c>
      <c r="B165" s="115" t="s">
        <v>4209</v>
      </c>
      <c r="C165" s="116"/>
      <c r="D165" s="116" t="s">
        <v>4210</v>
      </c>
      <c r="E165" s="116" t="s">
        <v>4209</v>
      </c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</row>
    <row r="166" ht="13.5">
      <c r="A166" s="4" t="s">
        <v>4211</v>
      </c>
      <c r="B166" s="116"/>
      <c r="C166" s="116" t="s">
        <v>4212</v>
      </c>
      <c r="D166" s="116" t="s">
        <v>4213</v>
      </c>
      <c r="E166" s="116" t="s">
        <v>4214</v>
      </c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</row>
    <row r="167" ht="13.5">
      <c r="A167" s="4" t="s">
        <v>4215</v>
      </c>
      <c r="B167" s="118"/>
      <c r="C167" s="118"/>
      <c r="D167" s="116" t="s">
        <v>4216</v>
      </c>
      <c r="E167" s="116" t="s">
        <v>4217</v>
      </c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</row>
    <row r="168" ht="13.5">
      <c r="A168" s="4" t="s">
        <v>4218</v>
      </c>
      <c r="B168" s="115" t="s">
        <v>4219</v>
      </c>
      <c r="C168" s="118"/>
      <c r="D168" s="116" t="s">
        <v>4220</v>
      </c>
      <c r="E168" s="116" t="s">
        <v>4221</v>
      </c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</row>
    <row r="169" ht="13.5">
      <c r="A169" s="4" t="s">
        <v>4222</v>
      </c>
      <c r="B169" s="115" t="s">
        <v>4223</v>
      </c>
      <c r="C169" s="116"/>
      <c r="D169" s="116" t="s">
        <v>4224</v>
      </c>
      <c r="E169" s="116" t="s">
        <v>4225</v>
      </c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</row>
    <row r="170" ht="13.5">
      <c r="A170" s="4" t="s">
        <v>4226</v>
      </c>
      <c r="B170" s="115" t="s">
        <v>4227</v>
      </c>
      <c r="C170" s="118"/>
      <c r="D170" s="116" t="s">
        <v>4228</v>
      </c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</row>
    <row r="171" ht="13.5">
      <c r="A171" s="4" t="s">
        <v>4229</v>
      </c>
      <c r="B171" s="115" t="s">
        <v>4230</v>
      </c>
      <c r="C171" s="116"/>
      <c r="D171" s="116" t="s">
        <v>4231</v>
      </c>
      <c r="E171" s="116" t="s">
        <v>4232</v>
      </c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</row>
    <row r="172" ht="13.5">
      <c r="A172" s="4" t="s">
        <v>4233</v>
      </c>
      <c r="B172" s="116"/>
      <c r="C172" s="116" t="s">
        <v>4234</v>
      </c>
      <c r="D172" s="116" t="s">
        <v>4235</v>
      </c>
      <c r="E172" s="116" t="s">
        <v>4236</v>
      </c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</row>
    <row r="173" ht="13.5">
      <c r="A173" s="4" t="s">
        <v>4237</v>
      </c>
      <c r="B173" s="115" t="s">
        <v>4199</v>
      </c>
      <c r="C173" s="116"/>
      <c r="D173" s="116" t="s">
        <v>4238</v>
      </c>
      <c r="E173" s="116" t="s">
        <v>4239</v>
      </c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</row>
    <row r="174" ht="13.5">
      <c r="A174" s="4" t="s">
        <v>4240</v>
      </c>
      <c r="B174" s="116"/>
      <c r="C174" s="116" t="s">
        <v>4241</v>
      </c>
      <c r="D174" s="116" t="s">
        <v>4242</v>
      </c>
      <c r="E174" s="116" t="s">
        <v>4243</v>
      </c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</row>
    <row r="175" ht="13.5">
      <c r="A175" s="4" t="s">
        <v>4244</v>
      </c>
      <c r="B175" s="118"/>
      <c r="C175" s="118"/>
      <c r="D175" s="116" t="s">
        <v>4245</v>
      </c>
      <c r="E175" s="116" t="s">
        <v>4246</v>
      </c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</row>
    <row r="176" ht="13.5">
      <c r="A176" s="4" t="s">
        <v>4247</v>
      </c>
      <c r="B176" s="116"/>
      <c r="C176" s="116" t="s">
        <v>4248</v>
      </c>
      <c r="D176" s="116" t="s">
        <v>4249</v>
      </c>
      <c r="E176" s="116" t="s">
        <v>4250</v>
      </c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</row>
    <row r="177" ht="13.5">
      <c r="A177" s="4" t="s">
        <v>4251</v>
      </c>
      <c r="B177" s="115" t="s">
        <v>4252</v>
      </c>
      <c r="C177" s="118"/>
      <c r="D177" s="116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</row>
    <row r="178" ht="13.5">
      <c r="A178" s="4" t="s">
        <v>4253</v>
      </c>
      <c r="B178" s="115" t="s">
        <v>4254</v>
      </c>
      <c r="C178" s="118"/>
      <c r="D178" s="116" t="s">
        <v>4255</v>
      </c>
      <c r="E178" s="116" t="s">
        <v>4256</v>
      </c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</row>
    <row r="179" ht="13.5">
      <c r="A179" s="4" t="s">
        <v>4257</v>
      </c>
      <c r="B179" s="115" t="s">
        <v>4258</v>
      </c>
      <c r="C179" s="116"/>
      <c r="D179" s="116" t="s">
        <v>4258</v>
      </c>
      <c r="E179" s="116" t="s">
        <v>4259</v>
      </c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</row>
    <row r="180" ht="13.5">
      <c r="A180" s="4" t="s">
        <v>4260</v>
      </c>
      <c r="B180" s="115" t="s">
        <v>4261</v>
      </c>
      <c r="C180" s="116"/>
      <c r="D180" s="116" t="s">
        <v>4260</v>
      </c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</row>
    <row r="181" ht="13.5">
      <c r="A181" s="4" t="s">
        <v>4262</v>
      </c>
      <c r="B181" s="115" t="s">
        <v>4263</v>
      </c>
      <c r="C181" s="116"/>
      <c r="D181" s="116" t="s">
        <v>4264</v>
      </c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</row>
    <row r="182" ht="13.5">
      <c r="A182" s="4" t="s">
        <v>4265</v>
      </c>
      <c r="B182" s="118"/>
      <c r="C182" s="118"/>
      <c r="D182" s="116" t="s">
        <v>4266</v>
      </c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</row>
    <row r="183" ht="13.5">
      <c r="A183" s="4" t="s">
        <v>4267</v>
      </c>
      <c r="B183" s="115" t="s">
        <v>4268</v>
      </c>
      <c r="C183" s="116"/>
      <c r="D183" s="116" t="s">
        <v>4269</v>
      </c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</row>
    <row r="184" ht="13.5">
      <c r="A184" s="4" t="s">
        <v>4270</v>
      </c>
      <c r="B184" s="118"/>
      <c r="C184" s="118"/>
      <c r="D184" s="116" t="s">
        <v>4271</v>
      </c>
      <c r="E184" s="116" t="s">
        <v>4272</v>
      </c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</row>
    <row r="185" ht="13.5">
      <c r="A185" s="4" t="s">
        <v>4273</v>
      </c>
      <c r="B185" s="115" t="s">
        <v>4274</v>
      </c>
      <c r="C185" s="118"/>
      <c r="D185" s="116" t="s">
        <v>4275</v>
      </c>
      <c r="E185" s="116" t="s">
        <v>4276</v>
      </c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</row>
    <row r="186" ht="13.5">
      <c r="A186" s="4" t="s">
        <v>4277</v>
      </c>
      <c r="B186" s="115" t="s">
        <v>4278</v>
      </c>
      <c r="C186" s="116"/>
      <c r="D186" s="116" t="s">
        <v>4279</v>
      </c>
      <c r="E186" s="116" t="s">
        <v>4280</v>
      </c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</row>
    <row r="187" ht="13.5">
      <c r="A187" s="4" t="s">
        <v>4281</v>
      </c>
      <c r="B187" s="115" t="s">
        <v>4282</v>
      </c>
      <c r="C187" s="116"/>
      <c r="D187" s="116" t="s">
        <v>4282</v>
      </c>
      <c r="E187" s="116" t="s">
        <v>4282</v>
      </c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</row>
    <row r="188" ht="13.5">
      <c r="A188" s="4" t="s">
        <v>4283</v>
      </c>
      <c r="B188" s="115" t="s">
        <v>4284</v>
      </c>
      <c r="C188" s="118"/>
      <c r="D188" s="116" t="s">
        <v>4285</v>
      </c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</row>
    <row r="189" ht="13.5">
      <c r="A189" s="4" t="s">
        <v>4286</v>
      </c>
      <c r="B189" s="115" t="s">
        <v>4287</v>
      </c>
      <c r="C189" s="116"/>
      <c r="D189" s="116" t="s">
        <v>4287</v>
      </c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</row>
    <row r="190" ht="13.5">
      <c r="A190" s="4" t="s">
        <v>4288</v>
      </c>
      <c r="B190" s="116" t="s">
        <v>4289</v>
      </c>
      <c r="C190" s="116"/>
      <c r="D190" s="116" t="s">
        <v>4290</v>
      </c>
      <c r="E190" s="116" t="s">
        <v>4291</v>
      </c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</row>
    <row r="191" ht="13.5">
      <c r="A191" s="4" t="s">
        <v>4292</v>
      </c>
      <c r="B191" s="115" t="s">
        <v>4293</v>
      </c>
      <c r="C191" s="116"/>
      <c r="D191" s="116" t="s">
        <v>4294</v>
      </c>
      <c r="E191" s="116" t="s">
        <v>4295</v>
      </c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</row>
    <row r="192" ht="13.5">
      <c r="A192" s="4" t="s">
        <v>4296</v>
      </c>
      <c r="B192" s="116"/>
      <c r="C192" s="116" t="s">
        <v>4297</v>
      </c>
      <c r="D192" s="116" t="s">
        <v>4298</v>
      </c>
      <c r="E192" s="116" t="s">
        <v>4299</v>
      </c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</row>
    <row r="193" ht="13.5">
      <c r="A193" s="4" t="s">
        <v>4300</v>
      </c>
      <c r="B193" s="115" t="s">
        <v>4301</v>
      </c>
      <c r="C193" s="118"/>
      <c r="D193" s="116" t="s">
        <v>4302</v>
      </c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</row>
    <row r="194" ht="13.5">
      <c r="A194" s="4" t="s">
        <v>4303</v>
      </c>
      <c r="B194" s="118"/>
      <c r="C194" s="118"/>
      <c r="D194" s="116" t="s">
        <v>4304</v>
      </c>
      <c r="E194" s="116" t="s">
        <v>4305</v>
      </c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</row>
    <row r="195" ht="13.5">
      <c r="A195" s="4" t="s">
        <v>4306</v>
      </c>
      <c r="B195" s="118"/>
      <c r="C195" s="118"/>
      <c r="D195" s="116" t="s">
        <v>4307</v>
      </c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</row>
    <row r="196" ht="13.5">
      <c r="A196" s="4" t="s">
        <v>4308</v>
      </c>
      <c r="B196" s="115" t="s">
        <v>4309</v>
      </c>
      <c r="C196" s="116"/>
      <c r="D196" s="116" t="s">
        <v>4309</v>
      </c>
      <c r="E196" s="116" t="s">
        <v>4310</v>
      </c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</row>
    <row r="197" ht="13.5">
      <c r="A197" s="4" t="s">
        <v>4311</v>
      </c>
      <c r="B197" s="118"/>
      <c r="C197" s="118"/>
      <c r="D197" s="116" t="s">
        <v>4312</v>
      </c>
      <c r="E197" s="116" t="s">
        <v>4313</v>
      </c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</row>
    <row r="198" ht="13.5">
      <c r="A198" s="4" t="s">
        <v>4314</v>
      </c>
      <c r="B198" s="115" t="s">
        <v>4315</v>
      </c>
      <c r="C198" s="116" t="s">
        <v>4316</v>
      </c>
      <c r="D198" s="116" t="s">
        <v>4317</v>
      </c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</row>
    <row r="199" ht="13.5">
      <c r="A199" s="4" t="s">
        <v>4318</v>
      </c>
      <c r="B199" s="115" t="s">
        <v>4319</v>
      </c>
      <c r="C199" s="116"/>
      <c r="D199" s="116" t="s">
        <v>4320</v>
      </c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</row>
    <row r="200" ht="13.5">
      <c r="A200" s="4" t="s">
        <v>4321</v>
      </c>
      <c r="B200" s="115" t="s">
        <v>4320</v>
      </c>
      <c r="C200" s="118"/>
      <c r="D200" s="116" t="s">
        <v>4322</v>
      </c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</row>
    <row r="201" ht="13.5">
      <c r="A201" s="4" t="s">
        <v>4323</v>
      </c>
      <c r="B201" s="115" t="s">
        <v>4324</v>
      </c>
      <c r="C201" s="116" t="s">
        <v>4324</v>
      </c>
      <c r="D201" s="116" t="s">
        <v>4325</v>
      </c>
      <c r="E201" s="116" t="s">
        <v>4326</v>
      </c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</row>
    <row r="202" ht="13.5">
      <c r="A202" s="4" t="s">
        <v>4327</v>
      </c>
      <c r="B202" s="115" t="s">
        <v>4328</v>
      </c>
      <c r="C202" s="116"/>
      <c r="D202" s="116" t="s">
        <v>4329</v>
      </c>
      <c r="E202" s="116" t="s">
        <v>4330</v>
      </c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</row>
    <row r="203" ht="13.5">
      <c r="A203" s="4" t="s">
        <v>4331</v>
      </c>
      <c r="B203" s="115" t="s">
        <v>4332</v>
      </c>
      <c r="C203" s="118"/>
      <c r="D203" s="116" t="s">
        <v>4332</v>
      </c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</row>
    <row r="204" ht="13.5">
      <c r="A204" s="4" t="s">
        <v>4333</v>
      </c>
      <c r="B204" s="115" t="s">
        <v>4334</v>
      </c>
      <c r="C204" s="116"/>
      <c r="D204" s="116" t="s">
        <v>4335</v>
      </c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</row>
    <row r="205" ht="13.5">
      <c r="A205" s="4" t="s">
        <v>4336</v>
      </c>
      <c r="B205" s="115" t="s">
        <v>4337</v>
      </c>
      <c r="C205" s="116" t="s">
        <v>4337</v>
      </c>
      <c r="D205" s="116" t="s">
        <v>4338</v>
      </c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</row>
    <row r="206" ht="13.5">
      <c r="A206" s="4" t="s">
        <v>4339</v>
      </c>
      <c r="B206" s="115" t="s">
        <v>4340</v>
      </c>
      <c r="C206" s="116"/>
      <c r="D206" s="116" t="s">
        <v>4341</v>
      </c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</row>
    <row r="207" ht="13.5">
      <c r="A207" s="4" t="s">
        <v>4342</v>
      </c>
      <c r="B207" s="115" t="s">
        <v>4343</v>
      </c>
      <c r="C207" s="116"/>
      <c r="D207" s="116" t="s">
        <v>4344</v>
      </c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</row>
    <row r="208" ht="13.5">
      <c r="A208" s="4" t="s">
        <v>4345</v>
      </c>
      <c r="B208" s="115" t="s">
        <v>4346</v>
      </c>
      <c r="C208" s="116"/>
      <c r="D208" s="116" t="s">
        <v>4346</v>
      </c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</row>
    <row r="209" ht="13.5">
      <c r="A209" s="4" t="s">
        <v>4347</v>
      </c>
      <c r="B209" s="115" t="s">
        <v>4348</v>
      </c>
      <c r="C209" s="118"/>
      <c r="D209" s="116" t="s">
        <v>4349</v>
      </c>
      <c r="E209" s="116" t="s">
        <v>4350</v>
      </c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</row>
    <row r="210" ht="13.5">
      <c r="A210" s="4" t="s">
        <v>4351</v>
      </c>
      <c r="B210" s="115" t="s">
        <v>4352</v>
      </c>
      <c r="C210" s="118"/>
      <c r="D210" s="116" t="s">
        <v>183</v>
      </c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</row>
    <row r="211" ht="13.5">
      <c r="A211" s="4" t="s">
        <v>4353</v>
      </c>
      <c r="B211" s="118"/>
      <c r="C211" s="118"/>
      <c r="D211" s="116" t="s">
        <v>4354</v>
      </c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</row>
    <row r="212" ht="13.5">
      <c r="A212" s="4" t="s">
        <v>4355</v>
      </c>
      <c r="B212" s="115" t="s">
        <v>4356</v>
      </c>
      <c r="C212" s="118"/>
      <c r="D212" s="116" t="s">
        <v>4357</v>
      </c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</row>
    <row r="213" ht="13.5">
      <c r="A213" s="4" t="s">
        <v>4358</v>
      </c>
      <c r="B213" s="115" t="s">
        <v>4359</v>
      </c>
      <c r="C213" s="116" t="s">
        <v>4360</v>
      </c>
      <c r="D213" s="116" t="s">
        <v>4361</v>
      </c>
      <c r="E213" s="116" t="s">
        <v>4362</v>
      </c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</row>
    <row r="214" ht="13.5">
      <c r="A214" s="4" t="s">
        <v>4363</v>
      </c>
      <c r="B214" s="116"/>
      <c r="C214" s="116" t="s">
        <v>4364</v>
      </c>
      <c r="D214" s="116" t="s">
        <v>4365</v>
      </c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</row>
    <row r="215" ht="13.5">
      <c r="A215" s="4" t="s">
        <v>4366</v>
      </c>
      <c r="B215" s="118"/>
      <c r="C215" s="118"/>
      <c r="D215" s="116" t="s">
        <v>4367</v>
      </c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</row>
    <row r="216" ht="13.5">
      <c r="A216" s="4" t="s">
        <v>4368</v>
      </c>
      <c r="B216" s="118"/>
      <c r="C216" s="118"/>
      <c r="D216" s="116" t="s">
        <v>4369</v>
      </c>
      <c r="E216" s="116" t="s">
        <v>4370</v>
      </c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</row>
    <row r="217" ht="13.5">
      <c r="A217" s="4" t="s">
        <v>4371</v>
      </c>
      <c r="B217" s="116" t="s">
        <v>4372</v>
      </c>
      <c r="C217" s="116"/>
      <c r="D217" s="116" t="s">
        <v>4373</v>
      </c>
      <c r="E217" s="116" t="s">
        <v>4374</v>
      </c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</row>
    <row r="218" ht="13.5">
      <c r="A218" s="4" t="s">
        <v>4375</v>
      </c>
      <c r="B218" s="115" t="s">
        <v>4376</v>
      </c>
      <c r="C218" s="116"/>
      <c r="D218" s="116" t="s">
        <v>4377</v>
      </c>
      <c r="E218" s="116" t="s">
        <v>4378</v>
      </c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</row>
    <row r="219" ht="13.5">
      <c r="A219" s="4" t="s">
        <v>4379</v>
      </c>
      <c r="B219" s="115" t="s">
        <v>4380</v>
      </c>
      <c r="C219" s="118"/>
      <c r="D219" s="116" t="s">
        <v>4381</v>
      </c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</row>
    <row r="220" ht="13.5">
      <c r="A220" s="4" t="s">
        <v>4382</v>
      </c>
      <c r="B220" s="115" t="s">
        <v>4383</v>
      </c>
      <c r="C220" s="116"/>
      <c r="D220" s="116" t="s">
        <v>4384</v>
      </c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</row>
    <row r="221" ht="13.5">
      <c r="A221" s="4" t="s">
        <v>4385</v>
      </c>
      <c r="B221" s="115"/>
      <c r="C221" s="116" t="s">
        <v>4386</v>
      </c>
      <c r="D221" s="116" t="s">
        <v>4387</v>
      </c>
      <c r="E221" s="116" t="s">
        <v>4387</v>
      </c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</row>
    <row r="222" ht="13.5">
      <c r="A222" s="4" t="s">
        <v>4388</v>
      </c>
      <c r="B222" s="115" t="s">
        <v>4389</v>
      </c>
      <c r="C222" s="116"/>
      <c r="D222" s="116" t="s">
        <v>4390</v>
      </c>
      <c r="E222" s="116" t="s">
        <v>4391</v>
      </c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</row>
    <row r="223" ht="13.5">
      <c r="A223" s="4" t="s">
        <v>4392</v>
      </c>
      <c r="B223" s="115" t="s">
        <v>4393</v>
      </c>
      <c r="C223" s="118"/>
      <c r="D223" s="116" t="s">
        <v>4394</v>
      </c>
      <c r="E223" s="116" t="s">
        <v>4395</v>
      </c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</row>
    <row r="224" ht="13.5">
      <c r="A224" s="4" t="s">
        <v>4396</v>
      </c>
      <c r="B224" s="115" t="s">
        <v>4397</v>
      </c>
      <c r="C224" s="116"/>
      <c r="D224" s="116" t="s">
        <v>4397</v>
      </c>
      <c r="E224" s="116" t="s">
        <v>4398</v>
      </c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</row>
    <row r="225" ht="13.5">
      <c r="A225" s="4" t="s">
        <v>4399</v>
      </c>
      <c r="B225" s="115" t="s">
        <v>4400</v>
      </c>
      <c r="C225" s="118"/>
      <c r="D225" s="116" t="s">
        <v>4401</v>
      </c>
      <c r="E225" s="116" t="s">
        <v>4400</v>
      </c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</row>
    <row r="226" ht="13.5">
      <c r="A226" s="4" t="s">
        <v>4402</v>
      </c>
      <c r="B226" s="115" t="s">
        <v>4403</v>
      </c>
      <c r="C226" s="116"/>
      <c r="D226" s="116" t="s">
        <v>4403</v>
      </c>
      <c r="E226" s="116" t="s">
        <v>4404</v>
      </c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</row>
    <row r="227" ht="13.5">
      <c r="A227" s="4" t="s">
        <v>4405</v>
      </c>
      <c r="B227" s="115" t="s">
        <v>4406</v>
      </c>
      <c r="C227" s="116"/>
      <c r="D227" s="116" t="s">
        <v>4407</v>
      </c>
      <c r="E227" s="116" t="s">
        <v>4406</v>
      </c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</row>
    <row r="228" ht="13.5">
      <c r="A228" s="4" t="s">
        <v>4408</v>
      </c>
      <c r="B228" s="115" t="s">
        <v>4409</v>
      </c>
      <c r="C228" s="116"/>
      <c r="D228" s="116" t="s">
        <v>3880</v>
      </c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</row>
    <row r="229" ht="13.5">
      <c r="A229" s="4" t="s">
        <v>4410</v>
      </c>
      <c r="B229" s="115" t="s">
        <v>4411</v>
      </c>
      <c r="C229" s="116"/>
      <c r="D229" s="116" t="s">
        <v>4412</v>
      </c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</row>
    <row r="230" ht="13.5">
      <c r="A230" s="4" t="s">
        <v>4413</v>
      </c>
      <c r="B230" s="115" t="s">
        <v>4414</v>
      </c>
      <c r="C230" s="118"/>
      <c r="D230" s="116" t="s">
        <v>4415</v>
      </c>
      <c r="E230" s="116" t="s">
        <v>4416</v>
      </c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</row>
    <row r="231" ht="13.5">
      <c r="A231" s="4" t="s">
        <v>4417</v>
      </c>
      <c r="B231" s="115" t="s">
        <v>4418</v>
      </c>
      <c r="C231" s="116"/>
      <c r="D231" s="116" t="s">
        <v>4419</v>
      </c>
      <c r="E231" s="116" t="s">
        <v>4418</v>
      </c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</row>
    <row r="232" ht="13.5">
      <c r="A232" s="4" t="s">
        <v>4420</v>
      </c>
      <c r="B232" s="115" t="s">
        <v>4421</v>
      </c>
      <c r="C232" s="116"/>
      <c r="D232" s="116" t="s">
        <v>4422</v>
      </c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</row>
    <row r="233" ht="13.5">
      <c r="A233" s="4" t="s">
        <v>4423</v>
      </c>
      <c r="B233" s="115" t="s">
        <v>4424</v>
      </c>
      <c r="C233" s="116"/>
      <c r="D233" s="116" t="s">
        <v>4425</v>
      </c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</row>
    <row r="234" ht="13.5">
      <c r="A234" s="4" t="s">
        <v>4426</v>
      </c>
      <c r="B234" s="115" t="s">
        <v>4427</v>
      </c>
      <c r="C234" s="116"/>
      <c r="D234" s="116" t="s">
        <v>4428</v>
      </c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</row>
    <row r="235" ht="13.5">
      <c r="A235" s="4" t="s">
        <v>4429</v>
      </c>
      <c r="B235" s="115" t="s">
        <v>4430</v>
      </c>
      <c r="C235" s="116"/>
      <c r="D235" s="116" t="s">
        <v>4431</v>
      </c>
      <c r="E235" s="116" t="s">
        <v>4432</v>
      </c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</row>
    <row r="236" ht="13.5">
      <c r="A236" s="4" t="s">
        <v>4433</v>
      </c>
      <c r="B236" s="116"/>
      <c r="C236" s="116" t="s">
        <v>4434</v>
      </c>
      <c r="D236" s="116" t="s">
        <v>4435</v>
      </c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</row>
    <row r="237" ht="13.5">
      <c r="A237" s="4" t="s">
        <v>4436</v>
      </c>
      <c r="B237" s="115" t="s">
        <v>4437</v>
      </c>
      <c r="C237" s="116"/>
      <c r="D237" s="116" t="s">
        <v>4437</v>
      </c>
      <c r="E237" s="116" t="s">
        <v>4437</v>
      </c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</row>
    <row r="238" ht="13.5">
      <c r="A238" s="4" t="s">
        <v>4438</v>
      </c>
      <c r="B238" s="115" t="s">
        <v>4439</v>
      </c>
      <c r="C238" s="116"/>
      <c r="D238" s="116" t="s">
        <v>4440</v>
      </c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</row>
    <row r="239" ht="13.5">
      <c r="A239" s="4" t="s">
        <v>4441</v>
      </c>
      <c r="B239" s="115" t="s">
        <v>4442</v>
      </c>
      <c r="C239" s="118"/>
      <c r="D239" s="116" t="s">
        <v>4442</v>
      </c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</row>
    <row r="240" ht="13.5">
      <c r="A240" s="4" t="s">
        <v>4443</v>
      </c>
      <c r="B240" s="115" t="s">
        <v>4444</v>
      </c>
      <c r="C240" s="116"/>
      <c r="D240" s="116" t="s">
        <v>3894</v>
      </c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</row>
    <row r="241" ht="13.5">
      <c r="A241" s="4" t="s">
        <v>4445</v>
      </c>
      <c r="B241" s="115" t="s">
        <v>4446</v>
      </c>
      <c r="C241" s="116"/>
      <c r="D241" s="116" t="s">
        <v>4447</v>
      </c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</row>
    <row r="242" ht="13.5">
      <c r="A242" s="4" t="s">
        <v>4448</v>
      </c>
      <c r="B242" s="116"/>
      <c r="C242" s="116" t="s">
        <v>4449</v>
      </c>
      <c r="D242" s="116" t="s">
        <v>4450</v>
      </c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</row>
    <row r="243" ht="13.5">
      <c r="A243" s="4" t="s">
        <v>4451</v>
      </c>
      <c r="B243" s="115" t="s">
        <v>4452</v>
      </c>
      <c r="C243" s="116"/>
      <c r="D243" s="116" t="s">
        <v>4453</v>
      </c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</row>
    <row r="244" ht="13.5">
      <c r="A244" s="4" t="s">
        <v>56</v>
      </c>
      <c r="B244" s="115" t="s">
        <v>4454</v>
      </c>
      <c r="C244" s="116"/>
      <c r="D244" s="116" t="s">
        <v>4455</v>
      </c>
      <c r="E244" s="116" t="s">
        <v>4456</v>
      </c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</row>
    <row r="245" ht="13.5">
      <c r="A245" s="4" t="s">
        <v>4457</v>
      </c>
      <c r="B245" s="116"/>
      <c r="C245" s="116" t="s">
        <v>4458</v>
      </c>
      <c r="D245" s="116" t="s">
        <v>4459</v>
      </c>
      <c r="E245" s="116" t="s">
        <v>4460</v>
      </c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</row>
    <row r="246" ht="13.5">
      <c r="A246" s="4" t="s">
        <v>55</v>
      </c>
      <c r="B246" s="115" t="s">
        <v>4461</v>
      </c>
      <c r="C246" s="116"/>
      <c r="D246" s="116" t="s">
        <v>4462</v>
      </c>
      <c r="E246" s="116" t="s">
        <v>4463</v>
      </c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</row>
    <row r="247" ht="13.5">
      <c r="A247" s="4" t="s">
        <v>4464</v>
      </c>
      <c r="B247" s="115" t="s">
        <v>4465</v>
      </c>
      <c r="C247" s="116"/>
      <c r="D247" s="116" t="s">
        <v>4466</v>
      </c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</row>
    <row r="248" ht="13.5">
      <c r="A248" s="4" t="s">
        <v>58</v>
      </c>
      <c r="B248" s="115" t="s">
        <v>4467</v>
      </c>
      <c r="C248" s="116"/>
      <c r="D248" s="116" t="s">
        <v>4468</v>
      </c>
      <c r="E248" s="116" t="s">
        <v>4469</v>
      </c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</row>
    <row r="249" ht="13.5">
      <c r="A249" s="4" t="s">
        <v>4470</v>
      </c>
      <c r="B249" s="115" t="s">
        <v>4471</v>
      </c>
      <c r="C249" s="116"/>
      <c r="D249" s="116" t="s">
        <v>4472</v>
      </c>
      <c r="E249" s="116" t="s">
        <v>4473</v>
      </c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</row>
    <row r="250" ht="13.5">
      <c r="A250" s="4" t="s">
        <v>4474</v>
      </c>
      <c r="B250" s="115" t="s">
        <v>4475</v>
      </c>
      <c r="C250" s="116"/>
      <c r="D250" s="116" t="s">
        <v>4475</v>
      </c>
      <c r="E250" s="116" t="s">
        <v>4476</v>
      </c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</row>
    <row r="251" ht="13.5">
      <c r="A251" s="4" t="s">
        <v>4477</v>
      </c>
      <c r="B251" s="115" t="s">
        <v>4478</v>
      </c>
      <c r="C251" s="116"/>
      <c r="D251" s="116" t="s">
        <v>4479</v>
      </c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</row>
    <row r="252" ht="13.5">
      <c r="A252" s="4" t="s">
        <v>4480</v>
      </c>
      <c r="B252" s="115" t="s">
        <v>4481</v>
      </c>
      <c r="C252" s="118"/>
      <c r="D252" s="116" t="s">
        <v>4482</v>
      </c>
      <c r="E252" s="116" t="s">
        <v>4483</v>
      </c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</row>
    <row r="253" ht="13.5">
      <c r="A253" s="4" t="s">
        <v>4484</v>
      </c>
      <c r="B253" s="115" t="s">
        <v>4485</v>
      </c>
      <c r="C253" s="116"/>
      <c r="D253" s="116" t="s">
        <v>4486</v>
      </c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</row>
    <row r="254" ht="13.5">
      <c r="A254" s="4" t="s">
        <v>4487</v>
      </c>
      <c r="B254" s="115" t="s">
        <v>4488</v>
      </c>
      <c r="C254" s="116" t="s">
        <v>4489</v>
      </c>
      <c r="D254" s="116" t="s">
        <v>4490</v>
      </c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</row>
    <row r="255" ht="13.5">
      <c r="A255" s="4" t="s">
        <v>4491</v>
      </c>
      <c r="B255" s="115" t="s">
        <v>4492</v>
      </c>
      <c r="C255" s="116" t="s">
        <v>4493</v>
      </c>
      <c r="D255" s="116" t="s">
        <v>4494</v>
      </c>
      <c r="E255" s="116" t="s">
        <v>4495</v>
      </c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</row>
    <row r="256" ht="13.5">
      <c r="A256" s="4" t="s">
        <v>4496</v>
      </c>
      <c r="B256" s="115"/>
      <c r="C256" s="116"/>
      <c r="D256" s="116" t="s">
        <v>4497</v>
      </c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</row>
    <row r="257" ht="13.5">
      <c r="A257" s="4" t="s">
        <v>4498</v>
      </c>
      <c r="B257" s="116"/>
      <c r="C257" s="116" t="s">
        <v>4499</v>
      </c>
      <c r="D257" s="116" t="s">
        <v>4500</v>
      </c>
      <c r="E257" s="116" t="s">
        <v>4501</v>
      </c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</row>
    <row r="258" ht="13.5">
      <c r="A258" s="4" t="s">
        <v>4502</v>
      </c>
      <c r="B258" s="116"/>
      <c r="C258" s="116" t="s">
        <v>4503</v>
      </c>
      <c r="D258" s="116" t="s">
        <v>4504</v>
      </c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</row>
    <row r="259" ht="13.5">
      <c r="A259" s="4" t="s">
        <v>4505</v>
      </c>
      <c r="B259" s="115" t="s">
        <v>4506</v>
      </c>
      <c r="C259" s="116"/>
      <c r="D259" s="116" t="s">
        <v>4507</v>
      </c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</row>
    <row r="260" ht="13.5">
      <c r="A260" s="4" t="s">
        <v>4508</v>
      </c>
      <c r="B260" s="115" t="s">
        <v>4509</v>
      </c>
      <c r="C260" s="116"/>
      <c r="D260" s="116" t="s">
        <v>4510</v>
      </c>
      <c r="E260" s="116" t="s">
        <v>4511</v>
      </c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</row>
    <row r="261" ht="13.5">
      <c r="A261" s="4" t="s">
        <v>57</v>
      </c>
      <c r="B261" s="115" t="s">
        <v>4512</v>
      </c>
      <c r="C261" s="116"/>
      <c r="D261" s="116" t="s">
        <v>4512</v>
      </c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</row>
    <row r="262" ht="13.5">
      <c r="A262" s="4" t="s">
        <v>4513</v>
      </c>
      <c r="B262" s="115" t="s">
        <v>4514</v>
      </c>
      <c r="C262" s="116"/>
      <c r="D262" s="116" t="s">
        <v>4514</v>
      </c>
      <c r="E262" s="116" t="s">
        <v>4515</v>
      </c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</row>
    <row r="263" ht="13.5">
      <c r="A263" s="4" t="s">
        <v>4516</v>
      </c>
      <c r="B263" s="115" t="s">
        <v>4517</v>
      </c>
      <c r="C263" s="116"/>
      <c r="D263" s="116" t="s">
        <v>4518</v>
      </c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</row>
    <row r="264" ht="13.5">
      <c r="A264" s="4" t="s">
        <v>4519</v>
      </c>
      <c r="B264" s="115" t="s">
        <v>4520</v>
      </c>
      <c r="C264" s="116"/>
      <c r="D264" s="116" t="s">
        <v>4521</v>
      </c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</row>
    <row r="265" ht="13.5">
      <c r="A265" s="4" t="s">
        <v>4522</v>
      </c>
      <c r="B265" s="116"/>
      <c r="C265" s="116" t="s">
        <v>4523</v>
      </c>
      <c r="D265" s="116" t="s">
        <v>4524</v>
      </c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</row>
    <row r="266" ht="13.5">
      <c r="A266" s="4" t="s">
        <v>4525</v>
      </c>
      <c r="B266" s="118"/>
      <c r="C266" s="118"/>
      <c r="D266" s="116" t="s">
        <v>4526</v>
      </c>
      <c r="E266" s="116" t="s">
        <v>4527</v>
      </c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</row>
    <row r="267" ht="13.5">
      <c r="A267" s="4" t="s">
        <v>4528</v>
      </c>
      <c r="B267" s="118"/>
      <c r="C267" s="118"/>
      <c r="D267" s="116" t="s">
        <v>4529</v>
      </c>
      <c r="E267" s="116" t="s">
        <v>4530</v>
      </c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</row>
    <row r="268" ht="13.5">
      <c r="A268" s="4" t="s">
        <v>4531</v>
      </c>
      <c r="B268" s="116"/>
      <c r="C268" s="116" t="s">
        <v>4532</v>
      </c>
      <c r="D268" s="116" t="s">
        <v>4533</v>
      </c>
      <c r="E268" s="116" t="s">
        <v>4534</v>
      </c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</row>
    <row r="269" ht="13.5">
      <c r="A269" s="4" t="s">
        <v>4535</v>
      </c>
      <c r="B269" s="115" t="s">
        <v>4536</v>
      </c>
      <c r="C269" s="116"/>
      <c r="D269" s="116" t="s">
        <v>4537</v>
      </c>
      <c r="E269" s="116" t="s">
        <v>4538</v>
      </c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</row>
    <row r="270" ht="13.5">
      <c r="A270" s="4" t="s">
        <v>4539</v>
      </c>
      <c r="B270" s="115" t="s">
        <v>4540</v>
      </c>
      <c r="C270" s="116"/>
      <c r="D270" s="116" t="s">
        <v>4541</v>
      </c>
      <c r="E270" s="116" t="s">
        <v>4542</v>
      </c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</row>
    <row r="271" ht="13.5">
      <c r="A271" s="4" t="s">
        <v>4543</v>
      </c>
      <c r="B271" s="115" t="s">
        <v>4544</v>
      </c>
      <c r="C271" s="116"/>
      <c r="D271" s="116" t="s">
        <v>4545</v>
      </c>
      <c r="E271" s="116" t="s">
        <v>4546</v>
      </c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</row>
    <row r="272" ht="13.5">
      <c r="A272" s="4" t="s">
        <v>4547</v>
      </c>
      <c r="B272" s="115" t="s">
        <v>4548</v>
      </c>
      <c r="C272" s="118"/>
      <c r="D272" s="116" t="s">
        <v>4549</v>
      </c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</row>
    <row r="273" ht="13.5">
      <c r="A273" s="4" t="s">
        <v>4550</v>
      </c>
      <c r="B273" s="115" t="s">
        <v>4551</v>
      </c>
      <c r="C273" s="116"/>
      <c r="D273" s="116" t="s">
        <v>4552</v>
      </c>
      <c r="E273" s="116" t="s">
        <v>4553</v>
      </c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</row>
    <row r="274" ht="13.5">
      <c r="A274" s="4" t="s">
        <v>4554</v>
      </c>
      <c r="B274" s="115" t="s">
        <v>4555</v>
      </c>
      <c r="C274" s="116"/>
      <c r="D274" s="116" t="s">
        <v>4555</v>
      </c>
      <c r="E274" s="116" t="s">
        <v>4556</v>
      </c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</row>
    <row r="275" ht="13.5">
      <c r="A275" s="4" t="s">
        <v>4557</v>
      </c>
      <c r="B275" s="115" t="s">
        <v>4558</v>
      </c>
      <c r="C275" s="116"/>
      <c r="D275" s="116" t="s">
        <v>4558</v>
      </c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</row>
    <row r="276" ht="13.5">
      <c r="A276" s="4" t="s">
        <v>4559</v>
      </c>
      <c r="B276" s="116"/>
      <c r="C276" s="116" t="s">
        <v>4560</v>
      </c>
      <c r="D276" s="116" t="s">
        <v>4561</v>
      </c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</row>
    <row r="277" ht="13.5">
      <c r="A277" s="4" t="s">
        <v>4562</v>
      </c>
      <c r="B277" s="115" t="s">
        <v>4563</v>
      </c>
      <c r="C277" s="116"/>
      <c r="D277" s="116" t="s">
        <v>4564</v>
      </c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</row>
    <row r="278" ht="13.5">
      <c r="A278" s="4" t="s">
        <v>4565</v>
      </c>
      <c r="B278" s="115" t="s">
        <v>4050</v>
      </c>
      <c r="C278" s="116"/>
      <c r="D278" s="116" t="s">
        <v>4566</v>
      </c>
      <c r="E278" s="116" t="s">
        <v>4567</v>
      </c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</row>
    <row r="279" ht="13.5">
      <c r="A279" s="4" t="s">
        <v>4568</v>
      </c>
      <c r="B279" s="115" t="s">
        <v>4569</v>
      </c>
      <c r="C279" s="116"/>
      <c r="D279" s="116" t="s">
        <v>4570</v>
      </c>
      <c r="E279" s="116" t="s">
        <v>4571</v>
      </c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</row>
    <row r="280" ht="13.5">
      <c r="A280" s="4" t="s">
        <v>4572</v>
      </c>
      <c r="B280" s="115" t="s">
        <v>4573</v>
      </c>
      <c r="C280" s="116"/>
      <c r="D280" s="116" t="s">
        <v>4574</v>
      </c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</row>
    <row r="281" ht="13.5">
      <c r="A281" s="4" t="s">
        <v>4575</v>
      </c>
      <c r="B281" s="115" t="s">
        <v>4576</v>
      </c>
      <c r="C281" s="118"/>
      <c r="D281" s="116" t="s">
        <v>4577</v>
      </c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</row>
    <row r="282" ht="13.5">
      <c r="A282" s="4" t="s">
        <v>4578</v>
      </c>
      <c r="B282" s="115" t="s">
        <v>4579</v>
      </c>
      <c r="C282" s="116"/>
      <c r="D282" s="116" t="s">
        <v>4580</v>
      </c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</row>
    <row r="283" ht="13.5">
      <c r="A283" s="4" t="s">
        <v>4581</v>
      </c>
      <c r="B283" s="115" t="s">
        <v>4545</v>
      </c>
      <c r="C283" s="118"/>
      <c r="D283" s="116" t="s">
        <v>4582</v>
      </c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</row>
    <row r="284" ht="13.5">
      <c r="A284" s="4" t="s">
        <v>4583</v>
      </c>
      <c r="B284" s="115" t="s">
        <v>4584</v>
      </c>
      <c r="C284" s="116"/>
      <c r="D284" s="116" t="s">
        <v>4584</v>
      </c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</row>
    <row r="285" ht="13.5">
      <c r="A285" s="4" t="s">
        <v>4585</v>
      </c>
      <c r="B285" s="115" t="s">
        <v>4586</v>
      </c>
      <c r="C285" s="116"/>
      <c r="D285" s="116" t="s">
        <v>4587</v>
      </c>
      <c r="E285" s="116" t="s">
        <v>4588</v>
      </c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</row>
    <row r="286" ht="13.5">
      <c r="A286" s="4" t="s">
        <v>4589</v>
      </c>
      <c r="B286" s="115" t="s">
        <v>4590</v>
      </c>
      <c r="C286" s="116"/>
      <c r="D286" s="116" t="s">
        <v>4591</v>
      </c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</row>
    <row r="287" ht="13.5">
      <c r="A287" s="4" t="s">
        <v>4592</v>
      </c>
      <c r="B287" s="115" t="s">
        <v>4593</v>
      </c>
      <c r="C287" s="116"/>
      <c r="D287" s="116" t="s">
        <v>4594</v>
      </c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</row>
    <row r="288" ht="13.5">
      <c r="A288" s="4" t="s">
        <v>4595</v>
      </c>
      <c r="B288" s="115" t="s">
        <v>4596</v>
      </c>
      <c r="C288" s="116"/>
      <c r="D288" s="116" t="s">
        <v>4597</v>
      </c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</row>
    <row r="289" ht="13.5">
      <c r="A289" s="4" t="s">
        <v>4598</v>
      </c>
      <c r="B289" s="118"/>
      <c r="C289" s="118"/>
      <c r="D289" s="116" t="s">
        <v>4599</v>
      </c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</row>
    <row r="290" ht="13.5">
      <c r="A290" s="4" t="s">
        <v>4600</v>
      </c>
      <c r="B290" s="116"/>
      <c r="C290" s="116" t="s">
        <v>4601</v>
      </c>
      <c r="D290" s="116" t="s">
        <v>4602</v>
      </c>
      <c r="E290" s="116" t="s">
        <v>4603</v>
      </c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</row>
    <row r="291" ht="13.5">
      <c r="A291" s="4" t="s">
        <v>4604</v>
      </c>
      <c r="B291" s="118"/>
      <c r="C291" s="118"/>
      <c r="D291" s="116" t="s">
        <v>4605</v>
      </c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</row>
    <row r="292" ht="13.5">
      <c r="A292" s="4" t="s">
        <v>4606</v>
      </c>
      <c r="B292" s="118"/>
      <c r="C292" s="118"/>
      <c r="D292" s="116" t="s">
        <v>4607</v>
      </c>
      <c r="E292" s="116" t="s">
        <v>4608</v>
      </c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</row>
    <row r="293" ht="13.5">
      <c r="A293" s="4" t="s">
        <v>4609</v>
      </c>
      <c r="B293" s="115" t="s">
        <v>4610</v>
      </c>
      <c r="C293" s="118"/>
      <c r="D293" s="116" t="s">
        <v>4611</v>
      </c>
      <c r="E293" s="116" t="s">
        <v>4612</v>
      </c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</row>
    <row r="294" ht="13.5">
      <c r="A294" s="4" t="s">
        <v>4613</v>
      </c>
      <c r="B294" s="118"/>
      <c r="C294" s="118"/>
      <c r="D294" s="116" t="s">
        <v>4614</v>
      </c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</row>
    <row r="295" ht="13.5">
      <c r="A295" s="4" t="s">
        <v>4615</v>
      </c>
      <c r="B295" s="115" t="s">
        <v>4616</v>
      </c>
      <c r="C295" s="116"/>
      <c r="D295" s="116" t="s">
        <v>4617</v>
      </c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</row>
    <row r="296" ht="13.5">
      <c r="A296" s="4" t="s">
        <v>4618</v>
      </c>
      <c r="B296" s="115" t="s">
        <v>4619</v>
      </c>
      <c r="C296" s="118"/>
      <c r="D296" s="116" t="s">
        <v>4620</v>
      </c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</row>
    <row r="297" ht="13.5">
      <c r="A297" s="4" t="s">
        <v>4621</v>
      </c>
      <c r="B297" s="116"/>
      <c r="C297" s="116" t="s">
        <v>4622</v>
      </c>
      <c r="D297" s="116" t="s">
        <v>4623</v>
      </c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</row>
    <row r="298" ht="13.5">
      <c r="A298" s="4" t="s">
        <v>4624</v>
      </c>
      <c r="B298" s="118"/>
      <c r="C298" s="118"/>
      <c r="D298" s="116" t="s">
        <v>4625</v>
      </c>
      <c r="E298" s="116" t="s">
        <v>4626</v>
      </c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</row>
    <row r="299" ht="13.5">
      <c r="A299" s="4" t="s">
        <v>4627</v>
      </c>
      <c r="B299" s="118"/>
      <c r="C299" s="118"/>
      <c r="D299" s="116" t="s">
        <v>4628</v>
      </c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</row>
    <row r="300" ht="13.5">
      <c r="A300" s="4" t="s">
        <v>4629</v>
      </c>
      <c r="B300" s="115" t="s">
        <v>4630</v>
      </c>
      <c r="C300" s="116"/>
      <c r="D300" s="116" t="s">
        <v>4630</v>
      </c>
      <c r="E300" s="116" t="s">
        <v>4631</v>
      </c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</row>
    <row r="301" ht="13.5">
      <c r="A301" s="4" t="s">
        <v>4632</v>
      </c>
      <c r="B301" s="118"/>
      <c r="C301" s="118"/>
      <c r="D301" s="116" t="s">
        <v>4633</v>
      </c>
      <c r="E301" s="116" t="s">
        <v>4634</v>
      </c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</row>
    <row r="302" ht="13.5">
      <c r="A302" s="4" t="s">
        <v>4635</v>
      </c>
      <c r="B302" s="115" t="s">
        <v>4636</v>
      </c>
      <c r="C302" s="118"/>
      <c r="D302" s="116" t="s">
        <v>4637</v>
      </c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</row>
    <row r="303" ht="13.5">
      <c r="A303" s="4" t="s">
        <v>4638</v>
      </c>
      <c r="B303" s="116"/>
      <c r="C303" s="116" t="s">
        <v>4639</v>
      </c>
      <c r="D303" s="116" t="s">
        <v>4640</v>
      </c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</row>
    <row r="304" ht="13.5">
      <c r="A304" s="4" t="s">
        <v>4641</v>
      </c>
      <c r="B304" s="118"/>
      <c r="C304" s="118"/>
      <c r="D304" s="116" t="s">
        <v>4642</v>
      </c>
      <c r="E304" s="116" t="s">
        <v>4643</v>
      </c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</row>
    <row r="305" ht="13.5">
      <c r="A305" s="4" t="s">
        <v>4644</v>
      </c>
      <c r="B305" s="115" t="s">
        <v>4645</v>
      </c>
      <c r="C305" s="116"/>
      <c r="D305" s="116" t="s">
        <v>4646</v>
      </c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</row>
    <row r="306" ht="13.5">
      <c r="A306" s="4" t="s">
        <v>4647</v>
      </c>
      <c r="B306" s="118"/>
      <c r="C306" s="118"/>
      <c r="D306" s="116" t="s">
        <v>4648</v>
      </c>
      <c r="E306" s="116" t="s">
        <v>4649</v>
      </c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</row>
    <row r="307" ht="13.5">
      <c r="A307" s="4" t="s">
        <v>4650</v>
      </c>
      <c r="B307" s="118"/>
      <c r="C307" s="118"/>
      <c r="D307" s="116" t="s">
        <v>4651</v>
      </c>
      <c r="E307" s="116" t="s">
        <v>4652</v>
      </c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</row>
    <row r="308" ht="13.5">
      <c r="A308" s="4" t="s">
        <v>4653</v>
      </c>
      <c r="B308" s="115" t="s">
        <v>4654</v>
      </c>
      <c r="C308" s="116"/>
      <c r="D308" s="116" t="s">
        <v>4655</v>
      </c>
      <c r="E308" s="116" t="s">
        <v>4656</v>
      </c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</row>
    <row r="309" ht="13.5">
      <c r="A309" s="4" t="s">
        <v>4657</v>
      </c>
      <c r="B309" s="115" t="s">
        <v>4658</v>
      </c>
      <c r="C309" s="116"/>
      <c r="D309" s="116" t="s">
        <v>4659</v>
      </c>
      <c r="E309" s="116" t="s">
        <v>4660</v>
      </c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</row>
    <row r="310" ht="13.5">
      <c r="A310" s="4" t="s">
        <v>4661</v>
      </c>
      <c r="B310" s="115" t="s">
        <v>4662</v>
      </c>
      <c r="C310" s="118"/>
      <c r="D310" s="116" t="s">
        <v>4662</v>
      </c>
      <c r="E310" s="116" t="s">
        <v>4663</v>
      </c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</row>
    <row r="311" ht="13.5">
      <c r="A311" s="4" t="s">
        <v>4664</v>
      </c>
      <c r="B311" s="115" t="s">
        <v>4665</v>
      </c>
      <c r="C311" s="118"/>
      <c r="D311" s="116" t="s">
        <v>4666</v>
      </c>
      <c r="E311" s="116" t="s">
        <v>4667</v>
      </c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</row>
    <row r="312" ht="13.5">
      <c r="A312" s="4" t="s">
        <v>4668</v>
      </c>
      <c r="B312" s="115" t="s">
        <v>4669</v>
      </c>
      <c r="C312" s="116"/>
      <c r="D312" s="116" t="s">
        <v>4670</v>
      </c>
      <c r="E312" s="116" t="s">
        <v>4671</v>
      </c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</row>
    <row r="313" ht="13.5">
      <c r="A313" s="4" t="s">
        <v>4672</v>
      </c>
      <c r="B313" s="115" t="s">
        <v>4673</v>
      </c>
      <c r="C313" s="118"/>
      <c r="D313" s="116" t="s">
        <v>4674</v>
      </c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</row>
    <row r="314" ht="13.5">
      <c r="A314" s="4" t="s">
        <v>4675</v>
      </c>
      <c r="B314" s="115" t="s">
        <v>4676</v>
      </c>
      <c r="C314" s="118"/>
      <c r="D314" s="116" t="s">
        <v>4677</v>
      </c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</row>
    <row r="315" ht="13.5">
      <c r="A315" s="4" t="s">
        <v>4678</v>
      </c>
      <c r="B315" s="115" t="s">
        <v>4679</v>
      </c>
      <c r="C315" s="116"/>
      <c r="D315" s="116" t="s">
        <v>4680</v>
      </c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</row>
    <row r="316" ht="13.5">
      <c r="A316" s="4" t="s">
        <v>4681</v>
      </c>
      <c r="B316" s="115" t="s">
        <v>4682</v>
      </c>
      <c r="C316" s="118"/>
      <c r="D316" s="116" t="s">
        <v>4683</v>
      </c>
      <c r="E316" s="116" t="s">
        <v>4684</v>
      </c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</row>
    <row r="317" ht="13.5">
      <c r="A317" s="4" t="s">
        <v>4685</v>
      </c>
      <c r="B317" s="115" t="s">
        <v>4686</v>
      </c>
      <c r="C317" s="116"/>
      <c r="D317" s="116" t="s">
        <v>4687</v>
      </c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</row>
    <row r="318" ht="13.5">
      <c r="A318" s="4" t="s">
        <v>4688</v>
      </c>
      <c r="B318" s="115" t="s">
        <v>4689</v>
      </c>
      <c r="C318" s="118"/>
      <c r="D318" s="116" t="s">
        <v>4690</v>
      </c>
      <c r="E318" s="116" t="s">
        <v>4689</v>
      </c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</row>
    <row r="319" ht="13.5">
      <c r="A319" s="4" t="s">
        <v>4691</v>
      </c>
      <c r="B319" s="115" t="s">
        <v>4692</v>
      </c>
      <c r="C319" s="116"/>
      <c r="D319" s="116" t="s">
        <v>4691</v>
      </c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</row>
    <row r="320" ht="13.5">
      <c r="A320" s="4" t="s">
        <v>4693</v>
      </c>
      <c r="B320" s="115" t="s">
        <v>4694</v>
      </c>
      <c r="C320" s="116"/>
      <c r="D320" s="116" t="s">
        <v>4695</v>
      </c>
      <c r="E320" s="116" t="s">
        <v>4694</v>
      </c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</row>
    <row r="321" ht="13.5">
      <c r="A321" s="4" t="s">
        <v>4696</v>
      </c>
      <c r="B321" s="116"/>
      <c r="C321" s="116" t="s">
        <v>4697</v>
      </c>
      <c r="D321" s="116" t="s">
        <v>4698</v>
      </c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</row>
    <row r="322" ht="13.5">
      <c r="A322" s="4" t="s">
        <v>4699</v>
      </c>
      <c r="B322" s="115" t="s">
        <v>4700</v>
      </c>
      <c r="C322" s="116"/>
      <c r="D322" s="116" t="s">
        <v>4701</v>
      </c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</row>
    <row r="323" ht="13.5">
      <c r="A323" s="4" t="s">
        <v>4702</v>
      </c>
      <c r="B323" s="115" t="s">
        <v>4703</v>
      </c>
      <c r="C323" s="116"/>
      <c r="D323" s="116" t="s">
        <v>4704</v>
      </c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</row>
    <row r="324" ht="13.5">
      <c r="A324" s="4" t="s">
        <v>4705</v>
      </c>
      <c r="B324" s="116"/>
      <c r="C324" s="116" t="s">
        <v>4706</v>
      </c>
      <c r="D324" s="116" t="s">
        <v>4707</v>
      </c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</row>
    <row r="325" ht="13.5">
      <c r="A325" s="4" t="s">
        <v>4708</v>
      </c>
      <c r="B325" s="115" t="s">
        <v>4709</v>
      </c>
      <c r="C325" s="118"/>
      <c r="D325" s="116" t="s">
        <v>4710</v>
      </c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</row>
    <row r="326" ht="13.5">
      <c r="A326" s="4" t="s">
        <v>4711</v>
      </c>
      <c r="B326" s="115" t="s">
        <v>4712</v>
      </c>
      <c r="C326" s="118"/>
      <c r="D326" s="116" t="s">
        <v>4712</v>
      </c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</row>
    <row r="327" ht="13.5">
      <c r="A327" s="4" t="s">
        <v>4713</v>
      </c>
      <c r="B327" s="115" t="s">
        <v>4714</v>
      </c>
      <c r="C327" s="118"/>
      <c r="D327" s="116" t="s">
        <v>4715</v>
      </c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</row>
    <row r="328" ht="13.5">
      <c r="A328" s="4" t="s">
        <v>4716</v>
      </c>
      <c r="B328" s="115" t="s">
        <v>4717</v>
      </c>
      <c r="C328" s="118"/>
      <c r="D328" s="116" t="s">
        <v>4717</v>
      </c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</row>
    <row r="329" ht="13.5">
      <c r="A329" s="4" t="s">
        <v>4718</v>
      </c>
      <c r="B329" s="115" t="s">
        <v>4719</v>
      </c>
      <c r="C329" s="116"/>
      <c r="D329" s="116" t="s">
        <v>4720</v>
      </c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</row>
    <row r="330" ht="13.5">
      <c r="A330" s="4" t="s">
        <v>4721</v>
      </c>
      <c r="B330" s="115" t="s">
        <v>4722</v>
      </c>
      <c r="C330" s="116"/>
      <c r="D330" s="116" t="s">
        <v>4722</v>
      </c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</row>
    <row r="331" ht="13.5">
      <c r="A331" s="4" t="s">
        <v>4723</v>
      </c>
      <c r="B331" s="116"/>
      <c r="C331" s="116" t="s">
        <v>4724</v>
      </c>
      <c r="D331" s="116" t="s">
        <v>4725</v>
      </c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</row>
    <row r="332" ht="13.5">
      <c r="A332" s="4" t="s">
        <v>4726</v>
      </c>
      <c r="B332" s="115" t="s">
        <v>4727</v>
      </c>
      <c r="C332" s="118"/>
      <c r="D332" s="116" t="s">
        <v>4728</v>
      </c>
      <c r="E332" s="116" t="s">
        <v>4729</v>
      </c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</row>
    <row r="333" ht="13.5">
      <c r="A333" s="4" t="s">
        <v>4730</v>
      </c>
      <c r="B333" s="115" t="s">
        <v>4731</v>
      </c>
      <c r="C333" s="118"/>
      <c r="D333" s="116" t="s">
        <v>4732</v>
      </c>
      <c r="E333" s="116" t="s">
        <v>4731</v>
      </c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</row>
    <row r="334" ht="13.5">
      <c r="A334" s="4" t="s">
        <v>4733</v>
      </c>
      <c r="B334" s="118"/>
      <c r="C334" s="118"/>
      <c r="D334" s="116" t="s">
        <v>4734</v>
      </c>
      <c r="E334" s="116" t="s">
        <v>4735</v>
      </c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</row>
    <row r="335" ht="13.5">
      <c r="A335" s="4" t="s">
        <v>4736</v>
      </c>
      <c r="B335" s="115" t="s">
        <v>4737</v>
      </c>
      <c r="C335" s="116"/>
      <c r="D335" s="116" t="s">
        <v>4738</v>
      </c>
      <c r="E335" s="116" t="s">
        <v>4739</v>
      </c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</row>
    <row r="336" ht="13.5">
      <c r="A336" s="4" t="s">
        <v>4740</v>
      </c>
      <c r="B336" s="115" t="s">
        <v>4741</v>
      </c>
      <c r="C336" s="118"/>
      <c r="D336" s="116" t="s">
        <v>4742</v>
      </c>
      <c r="E336" s="116" t="s">
        <v>4743</v>
      </c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</row>
    <row r="337" ht="13.5">
      <c r="A337" s="4" t="s">
        <v>4744</v>
      </c>
      <c r="B337" s="115" t="s">
        <v>4745</v>
      </c>
      <c r="C337" s="116"/>
      <c r="D337" s="116" t="s">
        <v>4745</v>
      </c>
      <c r="E337" s="116" t="s">
        <v>4746</v>
      </c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</row>
    <row r="338" ht="13.5">
      <c r="A338" s="4" t="s">
        <v>4747</v>
      </c>
      <c r="B338" s="115" t="s">
        <v>4748</v>
      </c>
      <c r="C338" s="118"/>
      <c r="D338" s="116" t="s">
        <v>4749</v>
      </c>
      <c r="E338" s="116" t="s">
        <v>4750</v>
      </c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</row>
    <row r="339" ht="13.5">
      <c r="A339" s="4" t="s">
        <v>4751</v>
      </c>
      <c r="B339" s="115" t="s">
        <v>4752</v>
      </c>
      <c r="C339" s="116"/>
      <c r="D339" s="116" t="s">
        <v>4752</v>
      </c>
      <c r="E339" s="116" t="s">
        <v>4753</v>
      </c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</row>
    <row r="340" ht="13.5">
      <c r="A340" s="4" t="s">
        <v>4754</v>
      </c>
      <c r="B340" s="115" t="s">
        <v>4755</v>
      </c>
      <c r="C340" s="116"/>
      <c r="D340" s="116" t="s">
        <v>4756</v>
      </c>
      <c r="E340" s="116" t="s">
        <v>4755</v>
      </c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</row>
    <row r="341" ht="13.5">
      <c r="A341" s="4" t="s">
        <v>4757</v>
      </c>
      <c r="B341" s="115" t="s">
        <v>4758</v>
      </c>
      <c r="C341" s="116"/>
      <c r="D341" s="116" t="s">
        <v>4759</v>
      </c>
      <c r="E341" s="116" t="s">
        <v>4760</v>
      </c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</row>
    <row r="342" ht="13.5">
      <c r="A342" s="4" t="s">
        <v>4761</v>
      </c>
      <c r="B342" s="118"/>
      <c r="C342" s="118"/>
      <c r="D342" s="116" t="s">
        <v>4762</v>
      </c>
      <c r="E342" s="116" t="s">
        <v>4763</v>
      </c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</row>
    <row r="343" ht="13.5">
      <c r="A343" s="4" t="s">
        <v>4764</v>
      </c>
      <c r="B343" s="118"/>
      <c r="C343" s="118"/>
      <c r="D343" s="116" t="s">
        <v>4765</v>
      </c>
      <c r="E343" s="116" t="s">
        <v>4766</v>
      </c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</row>
    <row r="344" ht="13.5">
      <c r="A344" s="4" t="s">
        <v>4767</v>
      </c>
      <c r="B344" s="116"/>
      <c r="C344" s="116" t="s">
        <v>4768</v>
      </c>
      <c r="D344" s="116" t="s">
        <v>4769</v>
      </c>
      <c r="E344" s="116" t="s">
        <v>4770</v>
      </c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</row>
    <row r="345" ht="13.5">
      <c r="A345" s="4" t="s">
        <v>4771</v>
      </c>
      <c r="B345" s="115" t="s">
        <v>4772</v>
      </c>
      <c r="C345" s="116"/>
      <c r="D345" s="116" t="s">
        <v>4773</v>
      </c>
      <c r="E345" s="116" t="s">
        <v>4774</v>
      </c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</row>
    <row r="346" ht="13.5">
      <c r="A346" s="4" t="s">
        <v>4775</v>
      </c>
      <c r="B346" s="116"/>
      <c r="C346" s="116" t="s">
        <v>4776</v>
      </c>
      <c r="D346" s="116" t="s">
        <v>4777</v>
      </c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</row>
    <row r="347" ht="13.5">
      <c r="A347" s="4" t="s">
        <v>4778</v>
      </c>
      <c r="B347" s="115" t="s">
        <v>4779</v>
      </c>
      <c r="C347" s="116"/>
      <c r="D347" s="116" t="s">
        <v>4780</v>
      </c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</row>
    <row r="348" ht="13.5">
      <c r="A348" s="4" t="s">
        <v>4781</v>
      </c>
      <c r="B348" s="115" t="s">
        <v>4782</v>
      </c>
      <c r="C348" s="118"/>
      <c r="D348" s="116" t="s">
        <v>4783</v>
      </c>
      <c r="E348" s="116" t="s">
        <v>4784</v>
      </c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</row>
    <row r="349" ht="13.5">
      <c r="A349" s="4" t="s">
        <v>4785</v>
      </c>
      <c r="B349" s="115" t="s">
        <v>4786</v>
      </c>
      <c r="C349" s="118"/>
      <c r="D349" s="116" t="s">
        <v>4787</v>
      </c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</row>
    <row r="350" ht="13.5">
      <c r="A350" s="4" t="s">
        <v>4788</v>
      </c>
      <c r="B350" s="118"/>
      <c r="C350" s="118"/>
      <c r="D350" s="116" t="s">
        <v>4789</v>
      </c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</row>
    <row r="351" ht="13.5">
      <c r="A351" s="4" t="s">
        <v>4790</v>
      </c>
      <c r="B351" s="115" t="s">
        <v>4791</v>
      </c>
      <c r="C351" s="116"/>
      <c r="D351" s="116" t="s">
        <v>4792</v>
      </c>
      <c r="E351" s="116" t="s">
        <v>4793</v>
      </c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</row>
    <row r="352" ht="13.5">
      <c r="A352" s="4" t="s">
        <v>4794</v>
      </c>
      <c r="B352" s="115" t="s">
        <v>4795</v>
      </c>
      <c r="C352" s="118"/>
      <c r="D352" s="116" t="s">
        <v>4795</v>
      </c>
      <c r="E352" s="116" t="s">
        <v>4796</v>
      </c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</row>
    <row r="353" ht="13.5">
      <c r="A353" s="4" t="s">
        <v>4797</v>
      </c>
      <c r="B353" s="116"/>
      <c r="C353" s="116" t="s">
        <v>4798</v>
      </c>
      <c r="D353" s="116" t="s">
        <v>4799</v>
      </c>
      <c r="E353" s="116" t="s">
        <v>4800</v>
      </c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</row>
    <row r="354" ht="13.5">
      <c r="A354" s="4" t="s">
        <v>67</v>
      </c>
      <c r="B354" s="115" t="s">
        <v>4801</v>
      </c>
      <c r="C354" s="118"/>
      <c r="D354" s="116" t="s">
        <v>4802</v>
      </c>
      <c r="E354" s="116" t="s">
        <v>4803</v>
      </c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</row>
    <row r="355" ht="13.5">
      <c r="A355" s="4" t="s">
        <v>4804</v>
      </c>
      <c r="B355" s="118"/>
      <c r="C355" s="118"/>
      <c r="D355" s="116" t="s">
        <v>4805</v>
      </c>
      <c r="E355" s="116" t="s">
        <v>4806</v>
      </c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</row>
    <row r="356" ht="13.5">
      <c r="A356" s="4" t="s">
        <v>64</v>
      </c>
      <c r="B356" s="116"/>
      <c r="C356" s="116" t="s">
        <v>4807</v>
      </c>
      <c r="D356" s="116" t="s">
        <v>4808</v>
      </c>
      <c r="E356" s="116" t="s">
        <v>4809</v>
      </c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</row>
    <row r="357" ht="13.5">
      <c r="A357" s="4" t="s">
        <v>4810</v>
      </c>
      <c r="B357" s="115" t="s">
        <v>4811</v>
      </c>
      <c r="C357" s="116" t="s">
        <v>4812</v>
      </c>
      <c r="D357" s="116" t="s">
        <v>4813</v>
      </c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</row>
    <row r="358" ht="13.5">
      <c r="A358" s="4" t="s">
        <v>65</v>
      </c>
      <c r="B358" s="118"/>
      <c r="C358" s="118"/>
      <c r="D358" s="116" t="s">
        <v>4814</v>
      </c>
      <c r="E358" s="116" t="s">
        <v>4815</v>
      </c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</row>
    <row r="359" ht="13.5">
      <c r="A359" s="4" t="s">
        <v>4816</v>
      </c>
      <c r="B359" s="116"/>
      <c r="C359" s="116" t="s">
        <v>4817</v>
      </c>
      <c r="D359" s="116" t="s">
        <v>4818</v>
      </c>
      <c r="E359" s="116" t="s">
        <v>4819</v>
      </c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</row>
    <row r="360" ht="13.5">
      <c r="A360" s="4" t="s">
        <v>4820</v>
      </c>
      <c r="B360" s="118"/>
      <c r="C360" s="118"/>
      <c r="D360" s="116" t="s">
        <v>4821</v>
      </c>
      <c r="E360" s="116" t="s">
        <v>4822</v>
      </c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</row>
    <row r="361" ht="13.5">
      <c r="A361" s="4" t="s">
        <v>4823</v>
      </c>
      <c r="B361" s="118"/>
      <c r="C361" s="118"/>
      <c r="D361" s="116" t="s">
        <v>4824</v>
      </c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</row>
    <row r="362" ht="13.5">
      <c r="A362" s="4" t="s">
        <v>4825</v>
      </c>
      <c r="B362" s="115" t="s">
        <v>4826</v>
      </c>
      <c r="C362" s="118"/>
      <c r="D362" s="116" t="s">
        <v>4827</v>
      </c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</row>
    <row r="363" ht="13.5">
      <c r="A363" s="4" t="s">
        <v>4828</v>
      </c>
      <c r="B363" s="115" t="s">
        <v>4829</v>
      </c>
      <c r="C363" s="116"/>
      <c r="D363" s="116" t="s">
        <v>4829</v>
      </c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</row>
    <row r="364" ht="13.5">
      <c r="A364" s="4" t="s">
        <v>4830</v>
      </c>
      <c r="B364" s="116"/>
      <c r="C364" s="116" t="s">
        <v>4831</v>
      </c>
      <c r="D364" s="116" t="s">
        <v>4832</v>
      </c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</row>
    <row r="365" ht="13.5">
      <c r="A365" s="4" t="s">
        <v>4833</v>
      </c>
      <c r="B365" s="115" t="s">
        <v>4834</v>
      </c>
      <c r="C365" s="118"/>
      <c r="D365" s="116" t="s">
        <v>4835</v>
      </c>
      <c r="E365" s="116" t="s">
        <v>4835</v>
      </c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</row>
    <row r="366" ht="13.5">
      <c r="A366" s="4" t="s">
        <v>4836</v>
      </c>
      <c r="B366" s="115" t="s">
        <v>4837</v>
      </c>
      <c r="C366" s="116"/>
      <c r="D366" s="116" t="s">
        <v>4837</v>
      </c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</row>
    <row r="367" ht="13.5">
      <c r="A367" s="4" t="s">
        <v>4838</v>
      </c>
      <c r="B367" s="115" t="s">
        <v>4839</v>
      </c>
      <c r="C367" s="116"/>
      <c r="D367" s="116" t="s">
        <v>4840</v>
      </c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</row>
    <row r="368" ht="13.5">
      <c r="A368" s="4" t="s">
        <v>4841</v>
      </c>
      <c r="B368" s="115" t="s">
        <v>4842</v>
      </c>
      <c r="C368" s="116"/>
      <c r="D368" s="116" t="s">
        <v>4843</v>
      </c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</row>
    <row r="369" ht="13.5">
      <c r="A369" s="4" t="s">
        <v>4844</v>
      </c>
      <c r="B369" s="115" t="s">
        <v>4845</v>
      </c>
      <c r="C369" s="116"/>
      <c r="D369" s="116" t="s">
        <v>4846</v>
      </c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</row>
    <row r="370" ht="13.5">
      <c r="A370" s="4" t="s">
        <v>4847</v>
      </c>
      <c r="B370" s="115" t="s">
        <v>4848</v>
      </c>
      <c r="C370" s="116"/>
      <c r="D370" s="116" t="s">
        <v>4848</v>
      </c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</row>
    <row r="371" ht="13.5">
      <c r="A371" s="4" t="s">
        <v>66</v>
      </c>
      <c r="B371" s="115" t="s">
        <v>4849</v>
      </c>
      <c r="C371" s="116"/>
      <c r="D371" s="116" t="s">
        <v>4849</v>
      </c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</row>
    <row r="372" ht="13.5">
      <c r="A372" s="4" t="s">
        <v>4850</v>
      </c>
      <c r="B372" s="115" t="s">
        <v>4851</v>
      </c>
      <c r="C372" s="116" t="s">
        <v>4852</v>
      </c>
      <c r="D372" s="116" t="s">
        <v>4853</v>
      </c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</row>
    <row r="373" ht="13.5">
      <c r="A373" s="4" t="s">
        <v>4854</v>
      </c>
      <c r="B373" s="115" t="s">
        <v>4855</v>
      </c>
      <c r="C373" s="116"/>
      <c r="D373" s="116" t="s">
        <v>4856</v>
      </c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</row>
    <row r="374" ht="13.5">
      <c r="A374" s="4" t="s">
        <v>4857</v>
      </c>
      <c r="B374" s="115" t="s">
        <v>4858</v>
      </c>
      <c r="C374" s="116"/>
      <c r="D374" s="116" t="s">
        <v>4859</v>
      </c>
      <c r="E374" s="116" t="s">
        <v>4859</v>
      </c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</row>
    <row r="375" ht="13.5">
      <c r="A375" s="4" t="s">
        <v>4860</v>
      </c>
      <c r="B375" s="115" t="s">
        <v>4861</v>
      </c>
      <c r="C375" s="118"/>
      <c r="D375" s="116" t="s">
        <v>4862</v>
      </c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</row>
    <row r="376" ht="13.5">
      <c r="A376" s="4" t="s">
        <v>4863</v>
      </c>
      <c r="B376" s="115" t="s">
        <v>4864</v>
      </c>
      <c r="C376" s="118"/>
      <c r="D376" s="116" t="s">
        <v>4865</v>
      </c>
      <c r="E376" s="116" t="s">
        <v>4866</v>
      </c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</row>
    <row r="377" ht="13.5">
      <c r="A377" s="4" t="s">
        <v>4867</v>
      </c>
      <c r="B377" s="115" t="s">
        <v>4868</v>
      </c>
      <c r="C377" s="116"/>
      <c r="D377" s="116" t="s">
        <v>4869</v>
      </c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</row>
    <row r="378" ht="13.5">
      <c r="A378" s="4" t="s">
        <v>4870</v>
      </c>
      <c r="B378" s="115" t="s">
        <v>4871</v>
      </c>
      <c r="C378" s="118"/>
      <c r="D378" s="116" t="s">
        <v>4871</v>
      </c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</row>
    <row r="379" ht="13.5">
      <c r="A379" s="4" t="s">
        <v>4872</v>
      </c>
      <c r="B379" s="115" t="s">
        <v>4873</v>
      </c>
      <c r="C379" s="118"/>
      <c r="D379" s="116" t="s">
        <v>4874</v>
      </c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</row>
    <row r="380" ht="13.5">
      <c r="A380" s="4" t="s">
        <v>4875</v>
      </c>
      <c r="B380" s="115" t="s">
        <v>4876</v>
      </c>
      <c r="C380" s="118"/>
      <c r="D380" s="116" t="s">
        <v>4877</v>
      </c>
      <c r="E380" s="116" t="s">
        <v>4876</v>
      </c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</row>
    <row r="381" ht="13.5">
      <c r="A381" s="4" t="s">
        <v>4878</v>
      </c>
      <c r="B381" s="115" t="s">
        <v>4879</v>
      </c>
      <c r="C381" s="116"/>
      <c r="D381" s="116" t="s">
        <v>4880</v>
      </c>
      <c r="E381" s="116" t="s">
        <v>4881</v>
      </c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</row>
    <row r="382" ht="13.5">
      <c r="A382" s="4" t="s">
        <v>4882</v>
      </c>
      <c r="B382" s="115" t="s">
        <v>4883</v>
      </c>
      <c r="C382" s="116"/>
      <c r="D382" s="116" t="s">
        <v>4884</v>
      </c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</row>
    <row r="383" ht="13.5">
      <c r="A383" s="4" t="s">
        <v>4885</v>
      </c>
      <c r="B383" s="115" t="s">
        <v>4886</v>
      </c>
      <c r="C383" s="116"/>
      <c r="D383" s="116" t="s">
        <v>4887</v>
      </c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</row>
    <row r="384" ht="13.5">
      <c r="A384" s="4" t="s">
        <v>4888</v>
      </c>
      <c r="B384" s="115" t="s">
        <v>4889</v>
      </c>
      <c r="C384" s="116"/>
      <c r="D384" s="116" t="s">
        <v>4890</v>
      </c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</row>
    <row r="385" ht="13.5">
      <c r="A385" s="4" t="s">
        <v>4891</v>
      </c>
      <c r="B385" s="115" t="s">
        <v>4892</v>
      </c>
      <c r="C385" s="116"/>
      <c r="D385" s="116" t="s">
        <v>4893</v>
      </c>
      <c r="E385" s="116" t="s">
        <v>4893</v>
      </c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</row>
    <row r="386" ht="13.5">
      <c r="A386" s="4" t="s">
        <v>4894</v>
      </c>
      <c r="B386" s="115" t="s">
        <v>4895</v>
      </c>
      <c r="C386" s="118"/>
      <c r="D386" s="116" t="s">
        <v>4896</v>
      </c>
      <c r="E386" s="116" t="s">
        <v>4897</v>
      </c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</row>
    <row r="387" ht="13.5">
      <c r="A387" s="4" t="s">
        <v>4898</v>
      </c>
      <c r="B387" s="115" t="s">
        <v>4899</v>
      </c>
      <c r="C387" s="118"/>
      <c r="D387" s="116" t="s">
        <v>4900</v>
      </c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</row>
    <row r="388" ht="13.5">
      <c r="A388" s="4" t="s">
        <v>4901</v>
      </c>
      <c r="B388" s="115" t="s">
        <v>4902</v>
      </c>
      <c r="C388" s="116"/>
      <c r="D388" s="116" t="s">
        <v>4902</v>
      </c>
      <c r="E388" s="116" t="s">
        <v>4902</v>
      </c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</row>
    <row r="389" ht="13.5">
      <c r="A389" s="4" t="s">
        <v>4903</v>
      </c>
      <c r="B389" s="115" t="s">
        <v>4904</v>
      </c>
      <c r="C389" s="116"/>
      <c r="D389" s="116" t="s">
        <v>4904</v>
      </c>
      <c r="E389" s="116" t="s">
        <v>4905</v>
      </c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</row>
    <row r="390" ht="13.5">
      <c r="A390" s="4" t="s">
        <v>4906</v>
      </c>
      <c r="B390" s="115" t="s">
        <v>4907</v>
      </c>
      <c r="C390" s="118"/>
      <c r="D390" s="116" t="s">
        <v>4908</v>
      </c>
      <c r="E390" s="116" t="s">
        <v>4909</v>
      </c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</row>
    <row r="391" ht="13.5">
      <c r="A391" s="4" t="s">
        <v>4910</v>
      </c>
      <c r="B391" s="115" t="s">
        <v>4911</v>
      </c>
      <c r="C391" s="118"/>
      <c r="D391" s="116" t="s">
        <v>4912</v>
      </c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</row>
    <row r="392" ht="13.5">
      <c r="A392" s="4" t="s">
        <v>4913</v>
      </c>
      <c r="B392" s="115" t="s">
        <v>4914</v>
      </c>
      <c r="C392" s="118"/>
      <c r="D392" s="116" t="s">
        <v>4915</v>
      </c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</row>
    <row r="393" ht="13.5">
      <c r="A393" s="4" t="s">
        <v>4916</v>
      </c>
      <c r="B393" s="115" t="s">
        <v>4917</v>
      </c>
      <c r="C393" s="118"/>
      <c r="D393" s="116" t="s">
        <v>4918</v>
      </c>
      <c r="E393" s="116" t="s">
        <v>4919</v>
      </c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</row>
    <row r="394" ht="13.5">
      <c r="A394" s="4" t="s">
        <v>4920</v>
      </c>
      <c r="B394" s="115" t="s">
        <v>4921</v>
      </c>
      <c r="C394" s="116"/>
      <c r="D394" s="116" t="s">
        <v>4922</v>
      </c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</row>
    <row r="395" ht="13.5">
      <c r="A395" s="4" t="s">
        <v>4923</v>
      </c>
      <c r="B395" s="115" t="s">
        <v>4924</v>
      </c>
      <c r="C395" s="116"/>
      <c r="D395" s="116" t="s">
        <v>4925</v>
      </c>
      <c r="E395" s="116" t="s">
        <v>4926</v>
      </c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</row>
    <row r="396" ht="13.5">
      <c r="A396" s="4" t="s">
        <v>4927</v>
      </c>
      <c r="B396" s="115" t="s">
        <v>4928</v>
      </c>
      <c r="C396" s="118"/>
      <c r="D396" s="116" t="s">
        <v>4929</v>
      </c>
      <c r="E396" s="116" t="s">
        <v>4929</v>
      </c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</row>
    <row r="397" ht="13.5">
      <c r="A397" s="4" t="s">
        <v>4930</v>
      </c>
      <c r="B397" s="115" t="s">
        <v>4931</v>
      </c>
      <c r="C397" s="118"/>
      <c r="D397" s="116" t="s">
        <v>4932</v>
      </c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</row>
    <row r="398" ht="13.5">
      <c r="A398" s="4" t="s">
        <v>4933</v>
      </c>
      <c r="B398" s="115" t="s">
        <v>4934</v>
      </c>
      <c r="C398" s="118"/>
      <c r="D398" s="116" t="s">
        <v>4935</v>
      </c>
      <c r="E398" s="116" t="s">
        <v>4936</v>
      </c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</row>
    <row r="399" ht="13.5">
      <c r="A399" s="4" t="s">
        <v>4937</v>
      </c>
      <c r="B399" s="115" t="s">
        <v>4938</v>
      </c>
      <c r="C399" s="116"/>
      <c r="D399" s="116" t="s">
        <v>4938</v>
      </c>
      <c r="E399" s="116" t="s">
        <v>4939</v>
      </c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</row>
    <row r="400" ht="13.5">
      <c r="A400" s="4" t="s">
        <v>4940</v>
      </c>
      <c r="B400" s="115" t="s">
        <v>4941</v>
      </c>
      <c r="C400" s="118"/>
      <c r="D400" s="116" t="s">
        <v>4942</v>
      </c>
      <c r="E400" s="116" t="s">
        <v>4943</v>
      </c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</row>
    <row r="401" ht="13.5">
      <c r="A401" s="4" t="s">
        <v>4944</v>
      </c>
      <c r="B401" s="115" t="s">
        <v>4945</v>
      </c>
      <c r="C401" s="116"/>
      <c r="D401" s="116" t="s">
        <v>4946</v>
      </c>
      <c r="E401" s="116" t="s">
        <v>4946</v>
      </c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</row>
    <row r="402" ht="13.5">
      <c r="A402" s="4" t="s">
        <v>4947</v>
      </c>
      <c r="B402" s="115" t="s">
        <v>4948</v>
      </c>
      <c r="C402" s="116"/>
      <c r="D402" s="116" t="s">
        <v>4949</v>
      </c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</row>
    <row r="403" ht="13.5">
      <c r="A403" s="4" t="s">
        <v>4950</v>
      </c>
      <c r="B403" s="115" t="s">
        <v>4951</v>
      </c>
      <c r="C403" s="118"/>
      <c r="D403" s="116" t="s">
        <v>4952</v>
      </c>
      <c r="E403" s="116" t="s">
        <v>4953</v>
      </c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</row>
    <row r="404" ht="13.5">
      <c r="A404" s="4" t="s">
        <v>4954</v>
      </c>
      <c r="B404" s="115" t="s">
        <v>4955</v>
      </c>
      <c r="C404" s="116"/>
      <c r="D404" s="116" t="s">
        <v>4956</v>
      </c>
      <c r="E404" s="116" t="s">
        <v>4957</v>
      </c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</row>
    <row r="405" ht="13.5">
      <c r="A405" s="4" t="s">
        <v>4958</v>
      </c>
      <c r="B405" s="115" t="s">
        <v>4959</v>
      </c>
      <c r="C405" s="116"/>
      <c r="D405" s="116" t="s">
        <v>4960</v>
      </c>
      <c r="E405" s="116" t="s">
        <v>4959</v>
      </c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</row>
    <row r="406" ht="13.5">
      <c r="A406" s="4" t="s">
        <v>4961</v>
      </c>
      <c r="B406" s="115" t="s">
        <v>4962</v>
      </c>
      <c r="C406" s="118"/>
      <c r="D406" s="116" t="s">
        <v>4963</v>
      </c>
      <c r="E406" s="116" t="s">
        <v>4964</v>
      </c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</row>
    <row r="407" ht="13.5">
      <c r="A407" s="4" t="s">
        <v>4965</v>
      </c>
      <c r="B407" s="115" t="s">
        <v>4966</v>
      </c>
      <c r="C407" s="118"/>
      <c r="D407" s="116" t="s">
        <v>4967</v>
      </c>
      <c r="E407" s="116" t="s">
        <v>4968</v>
      </c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</row>
    <row r="408" ht="13.5">
      <c r="A408" s="4" t="s">
        <v>4969</v>
      </c>
      <c r="B408" s="116"/>
      <c r="C408" s="116"/>
      <c r="D408" s="116" t="s">
        <v>4970</v>
      </c>
      <c r="E408" s="116" t="s">
        <v>4971</v>
      </c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</row>
    <row r="409" ht="13.5">
      <c r="A409" s="4" t="s">
        <v>4972</v>
      </c>
      <c r="B409" s="118"/>
      <c r="C409" s="118"/>
      <c r="D409" s="116" t="s">
        <v>4973</v>
      </c>
      <c r="E409" s="116" t="s">
        <v>4974</v>
      </c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</row>
    <row r="410" ht="13.5">
      <c r="A410" s="4" t="s">
        <v>4975</v>
      </c>
      <c r="B410" s="115" t="s">
        <v>4976</v>
      </c>
      <c r="C410" s="118"/>
      <c r="D410" s="116" t="s">
        <v>4977</v>
      </c>
      <c r="E410" s="116" t="s">
        <v>4978</v>
      </c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</row>
    <row r="411" ht="13.5">
      <c r="A411" s="4" t="s">
        <v>4979</v>
      </c>
      <c r="B411" s="115" t="s">
        <v>4980</v>
      </c>
      <c r="C411" s="118"/>
      <c r="D411" s="116" t="s">
        <v>4980</v>
      </c>
      <c r="E411" s="116" t="s">
        <v>4981</v>
      </c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</row>
    <row r="412" ht="13.5">
      <c r="A412" s="4" t="s">
        <v>4982</v>
      </c>
      <c r="B412" s="115" t="s">
        <v>4983</v>
      </c>
      <c r="C412" s="118"/>
      <c r="D412" s="116" t="s">
        <v>4984</v>
      </c>
      <c r="E412" s="116" t="s">
        <v>4985</v>
      </c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</row>
    <row r="413" ht="13.5">
      <c r="A413" s="4" t="s">
        <v>4986</v>
      </c>
      <c r="B413" s="115" t="s">
        <v>4987</v>
      </c>
      <c r="C413" s="116"/>
      <c r="D413" s="116" t="s">
        <v>4988</v>
      </c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</row>
    <row r="414" ht="13.5">
      <c r="A414" s="4" t="s">
        <v>4989</v>
      </c>
      <c r="B414" s="115" t="s">
        <v>4990</v>
      </c>
      <c r="C414" s="118"/>
      <c r="D414" s="116" t="s">
        <v>4991</v>
      </c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</row>
    <row r="415" ht="13.5">
      <c r="A415" s="4" t="s">
        <v>4992</v>
      </c>
      <c r="B415" s="115" t="s">
        <v>4993</v>
      </c>
      <c r="C415" s="116"/>
      <c r="D415" s="116" t="s">
        <v>4994</v>
      </c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</row>
    <row r="416" ht="13.5">
      <c r="A416" s="4" t="s">
        <v>4995</v>
      </c>
      <c r="B416" s="115" t="s">
        <v>4995</v>
      </c>
      <c r="C416" s="116"/>
      <c r="D416" s="116" t="s">
        <v>4995</v>
      </c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</row>
    <row r="417" ht="13.5">
      <c r="A417" s="4" t="s">
        <v>4996</v>
      </c>
      <c r="B417" s="115" t="s">
        <v>4997</v>
      </c>
      <c r="C417" s="116"/>
      <c r="D417" s="116" t="s">
        <v>4998</v>
      </c>
      <c r="E417" s="116" t="s">
        <v>4999</v>
      </c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</row>
    <row r="418" ht="13.5">
      <c r="A418" s="4" t="s">
        <v>5000</v>
      </c>
      <c r="B418" s="115" t="s">
        <v>5001</v>
      </c>
      <c r="C418" s="118"/>
      <c r="D418" s="116" t="s">
        <v>5002</v>
      </c>
      <c r="E418" s="116" t="s">
        <v>5003</v>
      </c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</row>
    <row r="419" ht="13.5">
      <c r="A419" s="4" t="s">
        <v>5004</v>
      </c>
      <c r="B419" s="118"/>
      <c r="C419" s="118"/>
      <c r="D419" s="116" t="s">
        <v>5005</v>
      </c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</row>
    <row r="420" ht="13.5">
      <c r="A420" s="4" t="s">
        <v>53</v>
      </c>
      <c r="B420" s="115" t="s">
        <v>5006</v>
      </c>
      <c r="C420" s="118"/>
      <c r="D420" s="116" t="s">
        <v>5007</v>
      </c>
      <c r="E420" s="116" t="s">
        <v>5008</v>
      </c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</row>
    <row r="421" ht="13.5">
      <c r="A421" s="4" t="s">
        <v>5009</v>
      </c>
      <c r="B421" s="115" t="s">
        <v>5010</v>
      </c>
      <c r="C421" s="118"/>
      <c r="D421" s="116" t="s">
        <v>5011</v>
      </c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</row>
    <row r="422" ht="13.5">
      <c r="A422" s="4" t="s">
        <v>5012</v>
      </c>
      <c r="B422" s="116"/>
      <c r="C422" s="116" t="s">
        <v>5013</v>
      </c>
      <c r="D422" s="116" t="s">
        <v>5014</v>
      </c>
      <c r="E422" s="116" t="s">
        <v>5014</v>
      </c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</row>
    <row r="423" ht="13.5">
      <c r="A423" s="4" t="s">
        <v>5015</v>
      </c>
      <c r="B423" s="115" t="s">
        <v>5016</v>
      </c>
      <c r="C423" s="118"/>
      <c r="D423" s="116" t="s">
        <v>5017</v>
      </c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</row>
    <row r="424" ht="13.5">
      <c r="A424" s="4" t="s">
        <v>50</v>
      </c>
      <c r="B424" s="115" t="s">
        <v>4063</v>
      </c>
      <c r="C424" s="118"/>
      <c r="D424" s="116" t="s">
        <v>5018</v>
      </c>
      <c r="E424" s="116" t="s">
        <v>5019</v>
      </c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</row>
    <row r="425" ht="13.5">
      <c r="A425" s="4" t="s">
        <v>5020</v>
      </c>
      <c r="B425" s="115" t="s">
        <v>5021</v>
      </c>
      <c r="C425" s="116"/>
      <c r="D425" s="116" t="s">
        <v>5022</v>
      </c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</row>
    <row r="426" ht="13.5">
      <c r="A426" s="4" t="s">
        <v>5023</v>
      </c>
      <c r="B426" s="118"/>
      <c r="C426" s="118"/>
      <c r="D426" s="116" t="s">
        <v>5024</v>
      </c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</row>
    <row r="427" ht="13.5">
      <c r="A427" s="4" t="s">
        <v>5025</v>
      </c>
      <c r="B427" s="115" t="s">
        <v>5026</v>
      </c>
      <c r="C427" s="118"/>
      <c r="D427" s="116" t="s">
        <v>5027</v>
      </c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</row>
    <row r="428" ht="13.5">
      <c r="A428" s="4" t="s">
        <v>5028</v>
      </c>
      <c r="B428" s="118"/>
      <c r="C428" s="118"/>
      <c r="D428" s="116" t="s">
        <v>5029</v>
      </c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</row>
    <row r="429" ht="13.5">
      <c r="A429" s="4" t="s">
        <v>5030</v>
      </c>
      <c r="B429" s="115" t="s">
        <v>5031</v>
      </c>
      <c r="C429" s="118"/>
      <c r="D429" s="116" t="s">
        <v>5032</v>
      </c>
      <c r="E429" s="116" t="s">
        <v>5033</v>
      </c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</row>
    <row r="430" ht="13.5">
      <c r="A430" s="4" t="s">
        <v>52</v>
      </c>
      <c r="B430" s="115" t="s">
        <v>5034</v>
      </c>
      <c r="C430" s="118"/>
      <c r="D430" s="116" t="s">
        <v>5035</v>
      </c>
      <c r="E430" s="116" t="s">
        <v>5036</v>
      </c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</row>
    <row r="431" ht="13.5">
      <c r="A431" s="4" t="s">
        <v>5037</v>
      </c>
      <c r="B431" s="115" t="s">
        <v>5038</v>
      </c>
      <c r="C431" s="118"/>
      <c r="D431" s="116" t="s">
        <v>5038</v>
      </c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</row>
    <row r="432" ht="13.5">
      <c r="A432" s="4" t="s">
        <v>5039</v>
      </c>
      <c r="B432" s="115" t="s">
        <v>5040</v>
      </c>
      <c r="C432" s="118"/>
      <c r="D432" s="116" t="s">
        <v>5041</v>
      </c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</row>
    <row r="433" ht="13.5">
      <c r="A433" s="4" t="s">
        <v>5042</v>
      </c>
      <c r="B433" s="115" t="s">
        <v>5043</v>
      </c>
      <c r="C433" s="118"/>
      <c r="D433" s="116" t="s">
        <v>5044</v>
      </c>
      <c r="E433" s="116" t="s">
        <v>5045</v>
      </c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</row>
    <row r="434" ht="13.5">
      <c r="A434" s="4" t="s">
        <v>5046</v>
      </c>
      <c r="B434" s="115" t="s">
        <v>5047</v>
      </c>
      <c r="C434" s="118"/>
      <c r="D434" s="116" t="s">
        <v>5048</v>
      </c>
      <c r="E434" s="116" t="s">
        <v>5049</v>
      </c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</row>
    <row r="435" ht="13.5">
      <c r="A435" s="4" t="s">
        <v>54</v>
      </c>
      <c r="B435" s="116"/>
      <c r="C435" s="116" t="s">
        <v>5050</v>
      </c>
      <c r="D435" s="116" t="s">
        <v>5051</v>
      </c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</row>
    <row r="436" ht="13.5">
      <c r="A436" s="4" t="s">
        <v>5052</v>
      </c>
      <c r="B436" s="115" t="s">
        <v>5053</v>
      </c>
      <c r="C436" s="116"/>
      <c r="D436" s="116" t="s">
        <v>5054</v>
      </c>
      <c r="E436" s="116" t="s">
        <v>5055</v>
      </c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</row>
    <row r="437" ht="13.5">
      <c r="A437" s="4" t="s">
        <v>5056</v>
      </c>
      <c r="B437" s="118"/>
      <c r="C437" s="118"/>
      <c r="D437" s="116" t="s">
        <v>5057</v>
      </c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</row>
    <row r="438" ht="13.5">
      <c r="A438" s="4" t="s">
        <v>5058</v>
      </c>
      <c r="B438" s="115" t="s">
        <v>5059</v>
      </c>
      <c r="C438" s="118"/>
      <c r="D438" s="116" t="s">
        <v>5060</v>
      </c>
      <c r="E438" s="116" t="s">
        <v>5061</v>
      </c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</row>
    <row r="439" ht="13.5">
      <c r="A439" s="4" t="s">
        <v>5062</v>
      </c>
      <c r="B439" s="118"/>
      <c r="C439" s="118"/>
      <c r="D439" s="116" t="s">
        <v>5063</v>
      </c>
      <c r="E439" s="116" t="s">
        <v>5064</v>
      </c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</row>
    <row r="440" ht="13.5">
      <c r="A440" s="4" t="s">
        <v>5065</v>
      </c>
      <c r="B440" s="118"/>
      <c r="C440" s="118"/>
      <c r="D440" s="116" t="s">
        <v>5066</v>
      </c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</row>
    <row r="441" ht="13.5">
      <c r="A441" s="4" t="s">
        <v>5067</v>
      </c>
      <c r="B441" s="115" t="s">
        <v>5068</v>
      </c>
      <c r="C441" s="116"/>
      <c r="D441" s="116" t="s">
        <v>5069</v>
      </c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</row>
    <row r="442" ht="13.5">
      <c r="A442" s="4" t="s">
        <v>5070</v>
      </c>
      <c r="B442" s="115" t="s">
        <v>5071</v>
      </c>
      <c r="C442" s="116"/>
      <c r="D442" s="116" t="s">
        <v>5072</v>
      </c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</row>
    <row r="443" ht="13.5">
      <c r="A443" s="4" t="s">
        <v>5073</v>
      </c>
      <c r="B443" s="115" t="s">
        <v>5074</v>
      </c>
      <c r="C443" s="118"/>
      <c r="D443" s="116" t="s">
        <v>5075</v>
      </c>
      <c r="E443" s="116" t="s">
        <v>5076</v>
      </c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</row>
    <row r="444" ht="13.5">
      <c r="A444" s="4" t="s">
        <v>5077</v>
      </c>
      <c r="B444" s="115" t="s">
        <v>5078</v>
      </c>
      <c r="C444" s="118"/>
      <c r="D444" s="116" t="s">
        <v>5079</v>
      </c>
      <c r="E444" s="116" t="s">
        <v>5080</v>
      </c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</row>
    <row r="445" ht="13.5">
      <c r="A445" s="4" t="s">
        <v>5081</v>
      </c>
      <c r="B445" s="115" t="s">
        <v>5082</v>
      </c>
      <c r="C445" s="116"/>
      <c r="D445" s="116" t="s">
        <v>5083</v>
      </c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</row>
    <row r="446" ht="13.5">
      <c r="A446" s="4" t="s">
        <v>5084</v>
      </c>
      <c r="B446" s="115" t="s">
        <v>5085</v>
      </c>
      <c r="C446" s="118"/>
      <c r="D446" s="116" t="s">
        <v>5085</v>
      </c>
      <c r="E446" s="116" t="s">
        <v>5086</v>
      </c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</row>
    <row r="447" ht="13.5">
      <c r="A447" s="4" t="s">
        <v>5087</v>
      </c>
      <c r="B447" s="115" t="s">
        <v>5088</v>
      </c>
      <c r="C447" s="116"/>
      <c r="D447" s="116" t="s">
        <v>5088</v>
      </c>
      <c r="E447" s="116" t="s">
        <v>5089</v>
      </c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</row>
    <row r="448" ht="13.5">
      <c r="A448" s="4" t="s">
        <v>5090</v>
      </c>
      <c r="B448" s="115" t="s">
        <v>5091</v>
      </c>
      <c r="C448" s="118"/>
      <c r="D448" s="116" t="s">
        <v>5092</v>
      </c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</row>
    <row r="449" ht="13.5">
      <c r="A449" s="4" t="s">
        <v>5093</v>
      </c>
      <c r="B449" s="115" t="s">
        <v>5094</v>
      </c>
      <c r="C449" s="116"/>
      <c r="D449" s="116" t="s">
        <v>5095</v>
      </c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</row>
    <row r="450" ht="13.5">
      <c r="A450" s="4" t="s">
        <v>5096</v>
      </c>
      <c r="B450" s="115" t="s">
        <v>5097</v>
      </c>
      <c r="C450" s="118"/>
      <c r="D450" s="116" t="s">
        <v>5098</v>
      </c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</row>
    <row r="451" ht="13.5">
      <c r="A451" s="4" t="s">
        <v>5099</v>
      </c>
      <c r="B451" s="115" t="s">
        <v>5100</v>
      </c>
      <c r="C451" s="116"/>
      <c r="D451" s="116" t="s">
        <v>5101</v>
      </c>
      <c r="E451" s="116" t="s">
        <v>5100</v>
      </c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</row>
    <row r="452" ht="13.5">
      <c r="A452" s="4" t="s">
        <v>5102</v>
      </c>
      <c r="B452" s="116"/>
      <c r="C452" s="116" t="s">
        <v>5103</v>
      </c>
      <c r="D452" s="116" t="s">
        <v>5104</v>
      </c>
      <c r="E452" s="116" t="s">
        <v>5105</v>
      </c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</row>
    <row r="453" ht="13.5">
      <c r="A453" s="4" t="s">
        <v>5106</v>
      </c>
      <c r="B453" s="118"/>
      <c r="C453" s="118"/>
      <c r="D453" s="116" t="s">
        <v>5107</v>
      </c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</row>
    <row r="454" ht="13.5">
      <c r="A454" s="4" t="s">
        <v>5108</v>
      </c>
      <c r="B454" s="115" t="s">
        <v>5109</v>
      </c>
      <c r="C454" s="118"/>
      <c r="D454" s="116" t="s">
        <v>5110</v>
      </c>
      <c r="E454" s="116" t="s">
        <v>5111</v>
      </c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</row>
    <row r="455" ht="13.5">
      <c r="A455" s="4" t="s">
        <v>5112</v>
      </c>
      <c r="B455" s="116"/>
      <c r="C455" s="116" t="s">
        <v>5113</v>
      </c>
      <c r="D455" s="116" t="s">
        <v>5114</v>
      </c>
      <c r="E455" s="116" t="s">
        <v>5115</v>
      </c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</row>
    <row r="456" ht="13.5">
      <c r="A456" s="4" t="s">
        <v>5116</v>
      </c>
      <c r="B456" s="118"/>
      <c r="C456" s="118"/>
      <c r="D456" s="116" t="s">
        <v>5117</v>
      </c>
      <c r="E456" s="116" t="s">
        <v>5118</v>
      </c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</row>
    <row r="457" ht="13.5">
      <c r="A457" s="4" t="s">
        <v>5119</v>
      </c>
      <c r="B457" s="115" t="s">
        <v>5120</v>
      </c>
      <c r="C457" s="116"/>
      <c r="D457" s="116" t="s">
        <v>5121</v>
      </c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</row>
    <row r="458" ht="13.5">
      <c r="A458" s="4" t="s">
        <v>5122</v>
      </c>
      <c r="B458" s="115" t="s">
        <v>5123</v>
      </c>
      <c r="C458" s="118"/>
      <c r="D458" s="116" t="s">
        <v>5123</v>
      </c>
      <c r="E458" s="116" t="s">
        <v>5124</v>
      </c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</row>
    <row r="459" ht="13.5">
      <c r="A459" s="4" t="s">
        <v>5125</v>
      </c>
      <c r="B459" s="115" t="s">
        <v>5126</v>
      </c>
      <c r="C459" s="118"/>
      <c r="D459" s="116" t="s">
        <v>5127</v>
      </c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</row>
    <row r="460" ht="13.5">
      <c r="A460" s="4" t="s">
        <v>5128</v>
      </c>
      <c r="B460" s="118"/>
      <c r="C460" s="118"/>
      <c r="D460" s="116" t="s">
        <v>5129</v>
      </c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</row>
    <row r="461" ht="13.5">
      <c r="A461" s="4" t="s">
        <v>5130</v>
      </c>
      <c r="B461" s="115" t="s">
        <v>5131</v>
      </c>
      <c r="C461" s="118"/>
      <c r="D461" s="116" t="s">
        <v>5132</v>
      </c>
      <c r="E461" s="116" t="s">
        <v>5133</v>
      </c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</row>
    <row r="462" ht="13.5">
      <c r="A462" s="4" t="s">
        <v>5134</v>
      </c>
      <c r="B462" s="115" t="s">
        <v>5135</v>
      </c>
      <c r="C462" s="118"/>
      <c r="D462" s="116" t="s">
        <v>5135</v>
      </c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</row>
    <row r="463" ht="13.5">
      <c r="A463" s="4" t="s">
        <v>5136</v>
      </c>
      <c r="B463" s="116"/>
      <c r="C463" s="116" t="s">
        <v>5137</v>
      </c>
      <c r="D463" s="116" t="s">
        <v>5138</v>
      </c>
      <c r="E463" s="116" t="s">
        <v>5138</v>
      </c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</row>
    <row r="464" ht="13.5">
      <c r="A464" s="4" t="s">
        <v>5139</v>
      </c>
      <c r="B464" s="118"/>
      <c r="C464" s="118"/>
      <c r="D464" s="116" t="s">
        <v>5140</v>
      </c>
      <c r="E464" s="116" t="s">
        <v>5141</v>
      </c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</row>
    <row r="465" ht="13.5">
      <c r="A465" s="4" t="s">
        <v>5142</v>
      </c>
      <c r="B465" s="115" t="s">
        <v>5143</v>
      </c>
      <c r="C465" s="116"/>
      <c r="D465" s="116" t="s">
        <v>5143</v>
      </c>
      <c r="E465" s="116" t="s">
        <v>5143</v>
      </c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</row>
    <row r="466" ht="13.5">
      <c r="A466" s="4" t="s">
        <v>5144</v>
      </c>
      <c r="B466" s="115" t="s">
        <v>5145</v>
      </c>
      <c r="C466" s="118"/>
      <c r="D466" s="116" t="s">
        <v>5146</v>
      </c>
      <c r="E466" s="116" t="s">
        <v>5147</v>
      </c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</row>
    <row r="467" ht="13.5">
      <c r="A467" s="4" t="s">
        <v>5148</v>
      </c>
      <c r="B467" s="116"/>
      <c r="C467" s="116" t="s">
        <v>5149</v>
      </c>
      <c r="D467" s="116" t="s">
        <v>5150</v>
      </c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</row>
    <row r="468" ht="13.5">
      <c r="A468" s="4" t="s">
        <v>5151</v>
      </c>
      <c r="B468" s="118"/>
      <c r="C468" s="118"/>
      <c r="D468" s="116" t="s">
        <v>5152</v>
      </c>
      <c r="E468" s="116" t="s">
        <v>5153</v>
      </c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</row>
    <row r="469" ht="13.5">
      <c r="A469" s="4" t="s">
        <v>5154</v>
      </c>
      <c r="B469" s="115" t="s">
        <v>5155</v>
      </c>
      <c r="C469" s="118"/>
      <c r="D469" s="116" t="s">
        <v>5156</v>
      </c>
      <c r="E469" s="116" t="s">
        <v>5156</v>
      </c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</row>
    <row r="470" ht="13.5">
      <c r="A470" s="4" t="s">
        <v>5157</v>
      </c>
      <c r="B470" s="115" t="s">
        <v>5158</v>
      </c>
      <c r="C470" s="118"/>
      <c r="D470" s="116" t="s">
        <v>5159</v>
      </c>
      <c r="E470" s="116" t="s">
        <v>5158</v>
      </c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</row>
    <row r="471" ht="13.5">
      <c r="A471" s="4" t="s">
        <v>5160</v>
      </c>
      <c r="B471" s="115" t="s">
        <v>5161</v>
      </c>
      <c r="C471" s="118"/>
      <c r="D471" s="116" t="s">
        <v>5162</v>
      </c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</row>
    <row r="472" ht="13.5">
      <c r="A472" s="4" t="s">
        <v>5163</v>
      </c>
      <c r="B472" s="118"/>
      <c r="C472" s="118"/>
      <c r="D472" s="116" t="s">
        <v>5164</v>
      </c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</row>
    <row r="473" ht="13.5">
      <c r="A473" s="4" t="s">
        <v>5165</v>
      </c>
      <c r="B473" s="115" t="s">
        <v>5166</v>
      </c>
      <c r="C473" s="118"/>
      <c r="D473" s="116" t="s">
        <v>5167</v>
      </c>
      <c r="E473" s="116" t="s">
        <v>5168</v>
      </c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</row>
    <row r="474" ht="13.5">
      <c r="A474" s="4" t="s">
        <v>5169</v>
      </c>
      <c r="B474" s="115" t="s">
        <v>5170</v>
      </c>
      <c r="C474" s="118"/>
      <c r="D474" s="116" t="s">
        <v>5171</v>
      </c>
      <c r="E474" s="116" t="s">
        <v>5172</v>
      </c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</row>
    <row r="475" ht="13.5">
      <c r="A475" s="4" t="s">
        <v>5173</v>
      </c>
      <c r="B475" s="115" t="s">
        <v>5174</v>
      </c>
      <c r="C475" s="118"/>
      <c r="D475" s="116" t="s">
        <v>5175</v>
      </c>
      <c r="E475" s="116" t="s">
        <v>5176</v>
      </c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</row>
    <row r="476" ht="13.5">
      <c r="A476" s="4" t="s">
        <v>5177</v>
      </c>
      <c r="B476" s="115" t="s">
        <v>4750</v>
      </c>
      <c r="C476" s="118"/>
      <c r="D476" s="116" t="s">
        <v>5178</v>
      </c>
      <c r="E476" s="116" t="s">
        <v>5179</v>
      </c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</row>
    <row r="477" ht="13.5">
      <c r="A477" s="4" t="s">
        <v>5180</v>
      </c>
      <c r="B477" s="115" t="s">
        <v>5181</v>
      </c>
      <c r="C477" s="118"/>
      <c r="D477" s="116" t="s">
        <v>5182</v>
      </c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</row>
    <row r="478" ht="13.5">
      <c r="A478" s="4" t="s">
        <v>5183</v>
      </c>
      <c r="B478" s="115" t="s">
        <v>5184</v>
      </c>
      <c r="C478" s="118"/>
      <c r="D478" s="116" t="s">
        <v>5184</v>
      </c>
      <c r="E478" s="116" t="s">
        <v>5185</v>
      </c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</row>
    <row r="479" ht="13.5">
      <c r="A479" s="4" t="s">
        <v>5186</v>
      </c>
      <c r="B479" s="115" t="s">
        <v>5187</v>
      </c>
      <c r="C479" s="118"/>
      <c r="D479" s="116" t="s">
        <v>5188</v>
      </c>
      <c r="E479" s="116" t="s">
        <v>5189</v>
      </c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</row>
    <row r="480" ht="13.5">
      <c r="A480" s="4" t="s">
        <v>5190</v>
      </c>
      <c r="B480" s="115" t="s">
        <v>5191</v>
      </c>
      <c r="C480" s="118"/>
      <c r="D480" s="116" t="s">
        <v>5191</v>
      </c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</row>
    <row r="481" ht="13.5">
      <c r="A481" s="4" t="s">
        <v>5192</v>
      </c>
      <c r="B481" s="115" t="s">
        <v>5193</v>
      </c>
      <c r="C481" s="118"/>
      <c r="D481" s="116" t="s">
        <v>5194</v>
      </c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</row>
    <row r="482" ht="13.5">
      <c r="A482" s="4" t="s">
        <v>5195</v>
      </c>
      <c r="B482" s="115" t="s">
        <v>5196</v>
      </c>
      <c r="C482" s="116"/>
      <c r="D482" s="116" t="s">
        <v>5197</v>
      </c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</row>
    <row r="483" ht="13.5">
      <c r="A483" s="4" t="s">
        <v>5198</v>
      </c>
      <c r="B483" s="115" t="s">
        <v>5199</v>
      </c>
      <c r="C483" s="118"/>
      <c r="D483" s="116" t="s">
        <v>5200</v>
      </c>
      <c r="E483" s="116" t="s">
        <v>5201</v>
      </c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</row>
    <row r="484" ht="13.5">
      <c r="A484" s="4" t="s">
        <v>5202</v>
      </c>
      <c r="B484" s="115" t="s">
        <v>5203</v>
      </c>
      <c r="C484" s="118"/>
      <c r="D484" s="116" t="s">
        <v>5204</v>
      </c>
      <c r="E484" s="116" t="s">
        <v>5203</v>
      </c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</row>
    <row r="485" ht="13.5">
      <c r="A485" s="4" t="s">
        <v>5205</v>
      </c>
      <c r="B485" s="115" t="s">
        <v>3878</v>
      </c>
      <c r="C485" s="118"/>
      <c r="D485" s="116" t="s">
        <v>5206</v>
      </c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</row>
    <row r="486" ht="13.5">
      <c r="A486" s="4" t="s">
        <v>5207</v>
      </c>
      <c r="B486" s="115" t="s">
        <v>5208</v>
      </c>
      <c r="C486" s="118"/>
      <c r="D486" s="116" t="s">
        <v>5209</v>
      </c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</row>
    <row r="487" ht="13.5">
      <c r="A487" s="4" t="s">
        <v>5210</v>
      </c>
      <c r="B487" s="115" t="s">
        <v>3842</v>
      </c>
      <c r="C487" s="116"/>
      <c r="D487" s="116" t="s">
        <v>5211</v>
      </c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</row>
    <row r="488" ht="13.5">
      <c r="A488" s="4" t="s">
        <v>5212</v>
      </c>
      <c r="B488" s="115" t="s">
        <v>5213</v>
      </c>
      <c r="C488" s="116"/>
      <c r="D488" s="116" t="s">
        <v>5214</v>
      </c>
      <c r="E488" s="116" t="s">
        <v>5215</v>
      </c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</row>
    <row r="489" ht="13.5">
      <c r="A489" s="4" t="s">
        <v>5216</v>
      </c>
      <c r="B489" s="115" t="s">
        <v>5217</v>
      </c>
      <c r="C489" s="115"/>
      <c r="D489" s="116" t="s">
        <v>5218</v>
      </c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</row>
    <row r="490" ht="13.5">
      <c r="A490" s="4" t="s">
        <v>5219</v>
      </c>
      <c r="B490" s="115" t="s">
        <v>5220</v>
      </c>
      <c r="C490" s="118"/>
      <c r="D490" s="116" t="s">
        <v>5221</v>
      </c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</row>
    <row r="491" ht="13.5">
      <c r="A491" s="4" t="s">
        <v>5222</v>
      </c>
      <c r="B491" s="115" t="s">
        <v>5223</v>
      </c>
      <c r="C491" s="118"/>
      <c r="D491" s="116" t="s">
        <v>5224</v>
      </c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</row>
    <row r="492" ht="13.5">
      <c r="A492" s="4" t="s">
        <v>5225</v>
      </c>
      <c r="B492" s="115" t="s">
        <v>5226</v>
      </c>
      <c r="C492" s="115"/>
      <c r="D492" s="116" t="s">
        <v>5227</v>
      </c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</row>
    <row r="493" ht="13.5">
      <c r="A493" s="4" t="s">
        <v>5228</v>
      </c>
      <c r="B493" s="115" t="s">
        <v>5229</v>
      </c>
      <c r="C493" s="118"/>
      <c r="D493" s="116" t="s">
        <v>5230</v>
      </c>
      <c r="E493" s="116" t="s">
        <v>5231</v>
      </c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</row>
    <row r="494" ht="13.5">
      <c r="A494" s="4" t="s">
        <v>5232</v>
      </c>
      <c r="B494" s="116" t="s">
        <v>3843</v>
      </c>
      <c r="C494" s="116"/>
      <c r="D494" s="116" t="s">
        <v>5233</v>
      </c>
      <c r="E494" s="116" t="s">
        <v>5234</v>
      </c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</row>
    <row r="495" ht="13.5">
      <c r="A495" s="4" t="s">
        <v>5235</v>
      </c>
      <c r="B495" s="115" t="s">
        <v>5236</v>
      </c>
      <c r="C495" s="115"/>
      <c r="D495" s="116" t="s">
        <v>5237</v>
      </c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</row>
    <row r="496" ht="13.5">
      <c r="A496" s="4" t="s">
        <v>5238</v>
      </c>
      <c r="B496" s="115" t="s">
        <v>5239</v>
      </c>
      <c r="C496" s="115"/>
      <c r="D496" s="116" t="s">
        <v>5239</v>
      </c>
      <c r="E496" s="116" t="s">
        <v>5240</v>
      </c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</row>
    <row r="497" ht="13.5">
      <c r="A497" s="4" t="s">
        <v>5241</v>
      </c>
      <c r="B497" s="115" t="s">
        <v>5242</v>
      </c>
      <c r="C497" s="118"/>
      <c r="D497" s="116" t="s">
        <v>5243</v>
      </c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</row>
    <row r="498" ht="13.5">
      <c r="A498" s="4" t="s">
        <v>5244</v>
      </c>
      <c r="B498" s="115" t="s">
        <v>5245</v>
      </c>
      <c r="C498" s="116"/>
      <c r="D498" s="116" t="s">
        <v>5246</v>
      </c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</row>
    <row r="499" ht="13.5">
      <c r="A499" s="4" t="s">
        <v>5247</v>
      </c>
      <c r="B499" s="115" t="s">
        <v>5248</v>
      </c>
      <c r="C499" s="116"/>
      <c r="D499" s="116" t="s">
        <v>5249</v>
      </c>
      <c r="E499" s="116" t="s">
        <v>5250</v>
      </c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</row>
    <row r="500" ht="13.5">
      <c r="A500" s="4" t="s">
        <v>5251</v>
      </c>
      <c r="B500" s="115" t="s">
        <v>5252</v>
      </c>
      <c r="C500" s="118"/>
      <c r="D500" s="116" t="s">
        <v>5253</v>
      </c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</row>
    <row r="501" ht="13.5">
      <c r="A501" s="4" t="s">
        <v>5254</v>
      </c>
      <c r="B501" s="115" t="s">
        <v>3899</v>
      </c>
      <c r="C501" s="118"/>
      <c r="D501" s="116" t="s">
        <v>5255</v>
      </c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</row>
    <row r="502" ht="13.5">
      <c r="A502" s="4" t="s">
        <v>5256</v>
      </c>
      <c r="B502" s="115" t="s">
        <v>5257</v>
      </c>
      <c r="C502" s="115"/>
      <c r="D502" s="116" t="s">
        <v>5257</v>
      </c>
      <c r="E502" s="116" t="s">
        <v>5258</v>
      </c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</row>
    <row r="503" ht="13.5">
      <c r="A503" s="4" t="s">
        <v>5259</v>
      </c>
      <c r="B503" s="115" t="s">
        <v>5260</v>
      </c>
      <c r="C503" s="118"/>
      <c r="D503" s="116" t="s">
        <v>5261</v>
      </c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</row>
    <row r="504" ht="13.5">
      <c r="A504" s="4" t="s">
        <v>5262</v>
      </c>
      <c r="B504" s="116" t="s">
        <v>5263</v>
      </c>
      <c r="C504" s="116"/>
      <c r="D504" s="116" t="s">
        <v>5264</v>
      </c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</row>
    <row r="505" ht="13.5">
      <c r="A505" s="4" t="s">
        <v>5265</v>
      </c>
      <c r="B505" s="116" t="s">
        <v>5266</v>
      </c>
      <c r="C505" s="116"/>
      <c r="D505" s="116" t="s">
        <v>5267</v>
      </c>
      <c r="E505" s="116" t="s">
        <v>5268</v>
      </c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</row>
    <row r="506" ht="13.5">
      <c r="A506" s="4" t="s">
        <v>5269</v>
      </c>
      <c r="B506" s="116" t="s">
        <v>5270</v>
      </c>
      <c r="C506" s="116"/>
      <c r="D506" s="116" t="s">
        <v>5271</v>
      </c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</row>
  </sheetData>
  <drawing r:id="rId1"/>
</worksheet>
</file>