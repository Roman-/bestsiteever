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cheme" sheetId="1" r:id="rId3"/>
    <sheet state="visible" name="c UFR" sheetId="2" r:id="rId4"/>
    <sheet state="visible" name="e UF" sheetId="3" r:id="rId5"/>
    <sheet state="visible" name="m UF" sheetId="4" r:id="rId6"/>
    <sheet state="visible" name="w UFr" sheetId="5" r:id="rId7"/>
    <sheet state="visible" name="x Ufr" sheetId="6" r:id="rId8"/>
    <sheet state="visible" name="+ Uf" sheetId="7" r:id="rId9"/>
    <sheet state="visible" name="twists" sheetId="8" r:id="rId10"/>
    <sheet state="visible" name="flips" sheetId="9" r:id="rId11"/>
    <sheet state="visible" name="parity" sheetId="10" r:id="rId12"/>
    <sheet state="visible" name="P" sheetId="11" r:id="rId13"/>
    <sheet state="visible" name="A" sheetId="12" r:id="rId14"/>
    <sheet state="visible" name="O" sheetId="13" r:id="rId15"/>
    <sheet state="visible" name="Sounds" sheetId="14" r:id="rId16"/>
    <sheet state="visible" name="c UBR" sheetId="15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6">
      <text>
        <t xml:space="preserve">regrip only left hand</t>
      </text>
    </comment>
    <comment authorId="0" ref="H6">
      <text>
        <t xml:space="preserve">can be &lt;R,U,L&gt;</t>
      </text>
    </comment>
    <comment authorId="0" ref="P6">
      <text>
        <t xml:space="preserve">can be &lt;R,U,L&gt;</t>
      </text>
    </comment>
    <comment authorId="0" ref="S6">
      <text>
        <t xml:space="preserve">regrip only left hand</t>
      </text>
    </comment>
    <comment authorId="0" ref="T6">
      <text>
        <t xml:space="preserve">[F: [D', R U R']]
regrip only right hand</t>
      </text>
    </comment>
    <comment authorId="0" ref="D12">
      <text>
        <t xml:space="preserve">regrip only left hand</t>
      </text>
    </comment>
    <comment authorId="0" ref="D14">
      <text>
        <t xml:space="preserve">can be &lt;R,U,L&gt;</t>
      </text>
    </comment>
    <comment authorId="0" ref="N14">
      <text>
        <t xml:space="preserve">can be &lt;R,U,L&gt;</t>
      </text>
    </comment>
    <comment authorId="0" ref="H26">
      <text>
        <t xml:space="preserve">can be &lt;R,U,L&gt;</t>
      </text>
    </comment>
    <comment authorId="0" ref="T26">
      <text>
        <t xml:space="preserve">should learn how to do D2</t>
      </text>
    </comment>
    <comment authorId="0" ref="Y28">
      <text>
        <t xml:space="preserve">R (U D) R' U'</t>
      </text>
    </comment>
    <comment authorId="0" ref="D30">
      <text>
        <t xml:space="preserve">can be &lt;R,U,L&gt;</t>
      </text>
    </comment>
    <comment authorId="0" ref="X30">
      <text>
        <t xml:space="preserve">[U D R D' : [U', R' D R]] ?</t>
      </text>
    </comment>
    <comment authorId="0" ref="D36">
      <text>
        <t xml:space="preserve">regrip only left hand</t>
      </text>
    </comment>
    <comment authorId="0" ref="D38">
      <text>
        <t xml:space="preserve">[F: [D', R U R']]
regrip only right hand</t>
      </text>
    </comment>
    <comment authorId="0" ref="N38">
      <text>
        <t xml:space="preserve">should learn how to do D2</t>
      </text>
    </comment>
    <comment authorId="0" ref="X42">
      <text>
        <t xml:space="preserve">[R (U' D') R': [R' D R, U2!]] ?</t>
      </text>
    </comment>
    <comment authorId="0" ref="Y42">
      <text>
        <t xml:space="preserve">[U': [R' U' R, D]] ?</t>
      </text>
    </comment>
    <comment authorId="0" ref="P46">
      <text>
        <t xml:space="preserve">[U D R D' : [U', R' D R]] ?</t>
      </text>
    </comment>
    <comment authorId="0" ref="V46">
      <text>
        <t xml:space="preserve">[R (U' D') R': [U2!, R' D R]] ?</t>
      </text>
    </comment>
    <comment authorId="0" ref="O48">
      <text>
        <t xml:space="preserve">R (U D) R' U' ?
4-move insert ?</t>
      </text>
    </comment>
    <comment authorId="0" ref="V48">
      <text>
        <t xml:space="preserve">[U': [D, R' U' R]] 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4">
      <text>
        <t xml:space="preserve">U' R' E R U' R' E' R U2</t>
      </text>
    </comment>
    <comment authorId="0" ref="G4">
      <text>
        <t xml:space="preserve">u L' E L U' L' E' L E</t>
      </text>
    </comment>
    <comment authorId="0" ref="H4">
      <text>
        <t xml:space="preserve">l U L' U' M'  U L U' L'</t>
      </text>
    </comment>
    <comment authorId="0" ref="N4">
      <text>
        <t xml:space="preserve">U E L E' L' U' L E L' E</t>
      </text>
    </comment>
    <comment authorId="0" ref="O4">
      <text>
        <t xml:space="preserve">R' F' R S R' F2 R S' R' F' R</t>
      </text>
    </comment>
    <comment authorId="0" ref="Q4">
      <text>
        <t xml:space="preserve">U' R E' R' U' R E R' U2</t>
      </text>
    </comment>
    <comment authorId="0" ref="R4">
      <text>
        <t xml:space="preserve">D R' F' R S R' F2 R S' R' F' R D'</t>
      </text>
    </comment>
    <comment authorId="0" ref="S4">
      <text>
        <t xml:space="preserve">U2 r' U R U' M' U R' U' R U2</t>
      </text>
    </comment>
    <comment authorId="0" ref="U4">
      <text>
        <t xml:space="preserve">L' l2 U L' U' L (L' M2') U L U' L'</t>
      </text>
    </comment>
    <comment authorId="0" ref="V4">
      <text>
        <t xml:space="preserve">U' R E R' U' R E' R' U2</t>
      </text>
    </comment>
    <comment authorId="0" ref="Y4">
      <text>
        <t xml:space="preserve">l' U L U' M U L' U' L</t>
      </text>
    </comment>
    <comment authorId="0" ref="C6">
      <text>
        <t xml:space="preserve">U2 R' E R U R' E' R U</t>
      </text>
    </comment>
    <comment authorId="0" ref="G6">
      <text>
        <t xml:space="preserve">regrip!</t>
      </text>
    </comment>
    <comment authorId="0" ref="K6">
      <text>
        <t xml:space="preserve">exec??</t>
      </text>
    </comment>
    <comment authorId="0" ref="M6">
      <text>
        <t xml:space="preserve">regrip!</t>
      </text>
    </comment>
    <comment authorId="0" ref="O6">
      <text>
        <t xml:space="preserve">U R' F2 R S R' F R S' R' F R U'</t>
      </text>
    </comment>
    <comment authorId="0" ref="P6">
      <text>
        <t xml:space="preserve">Ss left</t>
      </text>
    </comment>
    <comment authorId="0" ref="Q6">
      <text>
        <t xml:space="preserve">regrip!</t>
      </text>
    </comment>
    <comment authorId="0" ref="R6">
      <text>
        <t xml:space="preserve">R' F R' S' R F R' S R F2 R</t>
      </text>
    </comment>
    <comment authorId="0" ref="S6">
      <text>
        <t xml:space="preserve">U' M U R' E R U' R' E' r U</t>
      </text>
    </comment>
    <comment authorId="0" ref="X6">
      <text>
        <t xml:space="preserve">R' F R S R' F R S' R' F2 R</t>
      </text>
    </comment>
    <comment authorId="0" ref="H8">
      <text>
        <t xml:space="preserve">L' U' L U M' U' L' U l</t>
      </text>
    </comment>
    <comment authorId="0" ref="J8">
      <text>
        <t xml:space="preserve">regrip</t>
      </text>
    </comment>
    <comment authorId="0" ref="O8">
      <text>
        <t xml:space="preserve">Fs left, Ss right</t>
      </text>
    </comment>
    <comment authorId="0" ref="S8">
      <text>
        <t xml:space="preserve">U' r U R' U' M2' U R U' (M' R') U</t>
      </text>
    </comment>
    <comment authorId="0" ref="U8">
      <text>
        <t xml:space="preserve">l L2' U' L U L (L' M2') U' L' U l</t>
      </text>
    </comment>
    <comment authorId="0" ref="V8">
      <text>
        <t xml:space="preserve">R' F R S R2' S' R F' R</t>
      </text>
    </comment>
    <comment authorId="0" ref="C12">
      <text>
        <t xml:space="preserve">E' L' E L U L' E' L u'</t>
      </text>
    </comment>
    <comment authorId="0" ref="D12">
      <text>
        <t xml:space="preserve">regrip!</t>
      </text>
    </comment>
    <comment authorId="0" ref="J12">
      <text>
        <t xml:space="preserve">regrip!</t>
      </text>
    </comment>
    <comment authorId="0" ref="M12">
      <text>
        <t xml:space="preserve">R' U' R E' R2' E R U R</t>
      </text>
    </comment>
    <comment authorId="0" ref="N12">
      <text>
        <t xml:space="preserve">exec??</t>
      </text>
    </comment>
    <comment authorId="0" ref="O12">
      <text>
        <t xml:space="preserve">U' L U' M' U2 M U' L' U</t>
      </text>
    </comment>
    <comment authorId="0" ref="S12">
      <text>
        <t xml:space="preserve">U2 M U' L U M' U' L' U'</t>
      </text>
    </comment>
    <comment authorId="0" ref="C14">
      <text>
        <t xml:space="preserve">L U L' U' M U L U' l'</t>
      </text>
    </comment>
    <comment authorId="0" ref="E14">
      <text>
        <t xml:space="preserve">l' U' L U M U' L' U L</t>
      </text>
    </comment>
    <comment authorId="0" ref="I14">
      <text>
        <t xml:space="preserve">R' U' R U M U' R' U r</t>
      </text>
    </comment>
    <comment authorId="0" ref="K14">
      <text>
        <t xml:space="preserve">r U R' U' M U R U' R'</t>
      </text>
    </comment>
    <comment authorId="0" ref="P14">
      <text>
        <t xml:space="preserve">both Ss left</t>
      </text>
    </comment>
    <comment authorId="0" ref="V14">
      <text>
        <t xml:space="preserve">both Ss left</t>
      </text>
    </comment>
    <comment authorId="0" ref="X14">
      <text>
        <t xml:space="preserve">(U D') S R' F' R S' R' F R (U' D)</t>
      </text>
    </comment>
    <comment authorId="0" ref="H16">
      <text>
        <t xml:space="preserve">r' U' R U M' U' R' U R</t>
      </text>
    </comment>
    <comment authorId="0" ref="J16">
      <text>
        <t xml:space="preserve">U L' E L U L' E' L U2'
Ls can be ls</t>
      </text>
    </comment>
    <comment authorId="0" ref="M16">
      <text>
        <t xml:space="preserve">(U' E') R' E R U R' E' R E</t>
      </text>
    </comment>
    <comment authorId="0" ref="P16">
      <text>
        <t xml:space="preserve">U L' E' L U L' E L U2' (or U2?)</t>
      </text>
    </comment>
    <comment authorId="0" ref="S16">
      <text>
        <t xml:space="preserve">U' R' U R U' M U R' U' r U</t>
      </text>
    </comment>
    <comment authorId="0" ref="T16">
      <text>
        <t xml:space="preserve">u' R E' R' U R E R' E'</t>
      </text>
    </comment>
    <comment authorId="0" ref="U16">
      <text>
        <t xml:space="preserve">r M' U' R' U r (M' R') U' R U R'</t>
      </text>
    </comment>
    <comment authorId="0" ref="X16">
      <text>
        <t xml:space="preserve">R' U R' S R2 S' R' U' R
Ss left</t>
      </text>
    </comment>
    <comment authorId="0" ref="Y16">
      <text>
        <t xml:space="preserve">r U' R' U M U' R U R'</t>
      </text>
    </comment>
    <comment authorId="0" ref="E18">
      <text>
        <t xml:space="preserve">regrip</t>
      </text>
    </comment>
    <comment authorId="0" ref="G18">
      <text>
        <t xml:space="preserve">regrip!</t>
      </text>
    </comment>
    <comment authorId="0" ref="I18">
      <text>
        <t xml:space="preserve">U2' L' E L U' L' E' L U'
Ls can be ls</t>
      </text>
    </comment>
    <comment authorId="0" ref="M18">
      <text>
        <t xml:space="preserve">regrip!</t>
      </text>
    </comment>
    <comment authorId="0" ref="O18">
      <text>
        <t xml:space="preserve">regrip!</t>
      </text>
    </comment>
    <comment authorId="0" ref="Y18">
      <text>
        <t xml:space="preserve">U M' U L' E L U' L' E' l U'</t>
      </text>
    </comment>
    <comment authorId="0" ref="D20">
      <text>
        <t xml:space="preserve">exec??</t>
      </text>
    </comment>
    <comment authorId="0" ref="H20">
      <text>
        <t xml:space="preserve">R U R' U' M' U R U' r'</t>
      </text>
    </comment>
    <comment authorId="0" ref="P20">
      <text>
        <t xml:space="preserve">L F' L' S' L2 S L' F L'
right only does S</t>
      </text>
    </comment>
    <comment authorId="0" ref="S20">
      <text>
        <t xml:space="preserve">U l' U' L U M2' U' L' U (M' L) U'</t>
      </text>
    </comment>
    <comment authorId="0" ref="T20">
      <text>
        <t xml:space="preserve">regrip!</t>
      </text>
    </comment>
    <comment authorId="0" ref="U20">
      <text>
        <t xml:space="preserve">r' R2 U R' U' r (M' R2') U R U' r'</t>
      </text>
    </comment>
    <comment authorId="0" ref="D24">
      <text>
        <t xml:space="preserve">regrip!</t>
      </text>
    </comment>
    <comment authorId="0" ref="G24">
      <text>
        <t xml:space="preserve">R' U' R' E' R2 E R' U R</t>
      </text>
    </comment>
    <comment authorId="0" ref="I24">
      <text>
        <t xml:space="preserve">E' R' E R U' R' E' R (U E)</t>
      </text>
    </comment>
    <comment authorId="0" ref="J24">
      <text>
        <t xml:space="preserve">regrip!</t>
      </text>
    </comment>
    <comment authorId="0" ref="K24">
      <text>
        <t xml:space="preserve">l F l' S' l F l' S l F2 l'</t>
      </text>
    </comment>
    <comment authorId="0" ref="N24">
      <text>
        <t xml:space="preserve">regrip</t>
      </text>
    </comment>
    <comment authorId="0" ref="Q24">
      <text>
        <t xml:space="preserve">regrip</t>
      </text>
    </comment>
    <comment authorId="0" ref="S24">
      <text>
        <t xml:space="preserve">U2 M U R U' M' U R' U</t>
      </text>
    </comment>
    <comment authorId="0" ref="T24">
      <text>
        <t xml:space="preserve">Ss with middle right</t>
      </text>
    </comment>
    <comment authorId="0" ref="V24">
      <text>
        <t xml:space="preserve">R' f R' S R2 S' R' f' R</t>
      </text>
    </comment>
    <comment authorId="0" ref="C26">
      <text>
        <t xml:space="preserve">E L E' L' U L E L' (U' E')</t>
      </text>
    </comment>
    <comment authorId="0" ref="G26">
      <text>
        <t xml:space="preserve">Ss middle left</t>
      </text>
    </comment>
    <comment authorId="0" ref="M26">
      <text>
        <t xml:space="preserve">regrip</t>
      </text>
    </comment>
    <comment authorId="0" ref="P26">
      <text>
        <t xml:space="preserve">push both Ss</t>
      </text>
    </comment>
    <comment authorId="0" ref="Q26">
      <text>
        <t xml:space="preserve">regrip!</t>
      </text>
    </comment>
    <comment authorId="0" ref="S26">
      <text>
        <t xml:space="preserve">U2 M U' L' U M' U' L U'</t>
      </text>
    </comment>
    <comment authorId="0" ref="W26">
      <text>
        <t xml:space="preserve">regrip!</t>
      </text>
    </comment>
    <comment authorId="0" ref="C28">
      <text>
        <t xml:space="preserve">R' F R S R' F2 R' S' R F R</t>
      </text>
    </comment>
    <comment authorId="0" ref="D28">
      <text>
        <t xml:space="preserve">U R' F' R S R' F' R S' R' F2 R U'</t>
      </text>
    </comment>
    <comment authorId="0" ref="E28">
      <text>
        <t xml:space="preserve">Ss right, Fs left</t>
      </text>
    </comment>
    <comment authorId="0" ref="G28">
      <text>
        <t xml:space="preserve">U' L' U M' U2 M U L U</t>
      </text>
    </comment>
    <comment authorId="0" ref="J28">
      <text>
        <t xml:space="preserve">regrip</t>
      </text>
    </comment>
    <comment authorId="0" ref="Q28">
      <text>
        <t xml:space="preserve">regrip</t>
      </text>
    </comment>
    <comment authorId="0" ref="D30">
      <text>
        <t xml:space="preserve">Ss pull</t>
      </text>
    </comment>
    <comment authorId="0" ref="H30">
      <text>
        <t xml:space="preserve">both Ss pull</t>
      </text>
    </comment>
    <comment authorId="0" ref="I30">
      <text>
        <t xml:space="preserve">U2' L' E' L U' L' E L U'</t>
      </text>
    </comment>
    <comment authorId="0" ref="K30">
      <text>
        <t xml:space="preserve">L F' L S' L2' S L F L'
Ss with right
Fs with left</t>
      </text>
    </comment>
    <comment authorId="0" ref="N30">
      <text>
        <t xml:space="preserve">push both Ss</t>
      </text>
    </comment>
    <comment authorId="0" ref="C32">
      <text>
        <t xml:space="preserve">U2 R E' R' U R E R' U</t>
      </text>
    </comment>
    <comment authorId="0" ref="D32">
      <text>
        <t xml:space="preserve">regrip!</t>
      </text>
    </comment>
    <comment authorId="0" ref="M32">
      <text>
        <t xml:space="preserve">regrip</t>
      </text>
    </comment>
    <comment authorId="0" ref="N32">
      <text>
        <t xml:space="preserve">regrip!</t>
      </text>
    </comment>
    <comment authorId="0" ref="O32">
      <text>
        <t xml:space="preserve">regrip</t>
      </text>
    </comment>
    <comment authorId="0" ref="T32">
      <text>
        <t xml:space="preserve">regrip!</t>
      </text>
    </comment>
    <comment authorId="0" ref="Y32">
      <text>
        <t xml:space="preserve">U' M' U' R E' R' U R E r' U</t>
      </text>
    </comment>
    <comment authorId="0" ref="C34">
      <text>
        <t xml:space="preserve">D R' F R S R' F2 R S' R' F R D'</t>
      </text>
    </comment>
    <comment authorId="0" ref="H34">
      <text>
        <t xml:space="preserve">l U L U' M' U L' U' L'</t>
      </text>
    </comment>
    <comment authorId="0" ref="W34">
      <text>
        <t xml:space="preserve">regrip</t>
      </text>
    </comment>
    <comment authorId="0" ref="X34">
      <text>
        <t xml:space="preserve">Ss left, Us right</t>
      </text>
    </comment>
    <comment authorId="0" ref="Y34">
      <text>
        <t xml:space="preserve">U' L F L' S' L2 S L' F' L' U</t>
      </text>
    </comment>
    <comment authorId="0" ref="C36">
      <text>
        <t xml:space="preserve">U2 R' U R U' M U R' U' r U2</t>
      </text>
    </comment>
    <comment authorId="0" ref="D36">
      <text>
        <t xml:space="preserve">U' r' E R U R' E' R U' M' U</t>
      </text>
    </comment>
    <comment authorId="0" ref="E36">
      <text>
        <t xml:space="preserve">U' r' R2 U R' U' M2' U R U' r' U</t>
      </text>
    </comment>
    <comment authorId="0" ref="G36">
      <text>
        <t xml:space="preserve">U L U M U' L' U M' U2</t>
      </text>
    </comment>
    <comment authorId="0" ref="I36">
      <text>
        <t xml:space="preserve">U' r' U R U' M' U R' U' R U</t>
      </text>
    </comment>
    <comment authorId="0" ref="K36">
      <text>
        <t xml:space="preserve">U l L2' U' L U M2' U' L' U l U'</t>
      </text>
    </comment>
    <comment authorId="0" ref="M36">
      <text>
        <t xml:space="preserve">U' R U' M U R' U' M' U2</t>
      </text>
    </comment>
    <comment authorId="0" ref="N36">
      <text>
        <t xml:space="preserve">U L' U M U' L U M' U2</t>
      </text>
    </comment>
    <comment authorId="0" ref="T36">
      <text>
        <t xml:space="preserve">U' R' U' M U R U' M' U2</t>
      </text>
    </comment>
    <comment authorId="0" ref="V36">
      <text>
        <t xml:space="preserve">regrip left hand</t>
      </text>
    </comment>
    <comment authorId="0" ref="W36">
      <text>
        <t xml:space="preserve">U l E' L' U' L E L' U M' U'</t>
      </text>
    </comment>
    <comment authorId="0" ref="I38">
      <text>
        <t xml:space="preserve">E R E' R' U' R E R' u</t>
      </text>
    </comment>
    <comment authorId="0" ref="M38">
      <text>
        <t xml:space="preserve">exec??</t>
      </text>
    </comment>
    <comment authorId="0" ref="Q38">
      <text>
        <t xml:space="preserve">regrip!</t>
      </text>
    </comment>
    <comment authorId="0" ref="S38">
      <text>
        <t xml:space="preserve">U2 M U R' U' M' U R U</t>
      </text>
    </comment>
    <comment authorId="0" ref="W38">
      <text>
        <t xml:space="preserve">regrip!</t>
      </text>
    </comment>
    <comment authorId="0" ref="C40">
      <text>
        <t xml:space="preserve">L U L' U' L (L' M2') U L U' L l2'</t>
      </text>
    </comment>
    <comment authorId="0" ref="E40">
      <text>
        <t xml:space="preserve">l' U' L U L (L' M2') U' L' U L2 l</t>
      </text>
    </comment>
    <comment authorId="0" ref="I40">
      <text>
        <t xml:space="preserve">R U' R' U r (M' R') U' R U R r2'</t>
      </text>
    </comment>
    <comment authorId="0" ref="K40">
      <text>
        <t xml:space="preserve">r U R' U' r (M' R') U R U' (M' R2')</t>
      </text>
    </comment>
    <comment authorId="0" ref="O40">
      <text>
        <t xml:space="preserve">M' U2 M' U2 M2'</t>
      </text>
    </comment>
    <comment authorId="0" ref="C42">
      <text>
        <t xml:space="preserve">U2 R E R' U R E' R' U</t>
      </text>
    </comment>
    <comment authorId="0" ref="E42">
      <text>
        <t xml:space="preserve">R' F R' S R2 S' R' F' R</t>
      </text>
    </comment>
    <comment authorId="0" ref="H42">
      <text>
        <t xml:space="preserve">both Ss pull</t>
      </text>
    </comment>
    <comment authorId="0" ref="M42">
      <text>
        <t xml:space="preserve">R' f R S R2' S' R f' R</t>
      </text>
    </comment>
    <comment authorId="0" ref="S42">
      <text>
        <t xml:space="preserve">regrip left hand</t>
      </text>
    </comment>
    <comment authorId="0" ref="W42">
      <text>
        <t xml:space="preserve">right index Ms</t>
      </text>
    </comment>
    <comment authorId="0" ref="Y42">
      <text>
        <t xml:space="preserve">R' D R D' M D R' D' r</t>
      </text>
    </comment>
    <comment authorId="0" ref="N44">
      <text>
        <t xml:space="preserve">regrip!</t>
      </text>
    </comment>
    <comment authorId="0" ref="R44">
      <text>
        <t xml:space="preserve">regrip</t>
      </text>
    </comment>
    <comment authorId="0" ref="S44">
      <text>
        <t xml:space="preserve">U M U' L E' L' U L E l' U'</t>
      </text>
    </comment>
    <comment authorId="0" ref="T44">
      <text>
        <t xml:space="preserve">regrip!</t>
      </text>
    </comment>
    <comment authorId="0" ref="V44">
      <text>
        <t xml:space="preserve">right index Ms</t>
      </text>
    </comment>
    <comment authorId="0" ref="Y44">
      <text>
        <t xml:space="preserve">regrip!</t>
      </text>
    </comment>
    <comment authorId="0" ref="H46">
      <text>
        <t xml:space="preserve">r' U' R' U M' U' R U R</t>
      </text>
    </comment>
    <comment authorId="0" ref="I46">
      <text>
        <t xml:space="preserve">R' U R S R2' S' R U R</t>
      </text>
    </comment>
    <comment authorId="0" ref="R46">
      <text>
        <t xml:space="preserve">Ss left, Us right</t>
      </text>
    </comment>
    <comment authorId="0" ref="C48">
      <text>
        <t xml:space="preserve">L' U L U' M' U L' U' l</t>
      </text>
    </comment>
    <comment authorId="0" ref="D48">
      <text>
        <t xml:space="preserve">M' U' L' U M' U' L U M2'
? [R' F: [r U r', E]]</t>
      </text>
    </comment>
    <comment authorId="0" ref="I48">
      <text>
        <t xml:space="preserve">R U' R' U M' U' R U r'</t>
      </text>
    </comment>
    <comment authorId="0" ref="J48">
      <text>
        <t xml:space="preserve">M' U R' U' M' U R U' M2'</t>
      </text>
    </comment>
    <comment authorId="0" ref="Q48">
      <text>
        <t xml:space="preserve">M' U' L U M' U' L' U M2'</t>
      </text>
    </comment>
    <comment authorId="0" ref="R48">
      <text>
        <t xml:space="preserve">U' L F L S'  L2' S L F' L' U</t>
      </text>
    </comment>
    <comment authorId="0" ref="V48">
      <text>
        <t xml:space="preserve">r' D R D' M' D R' D R
right index push M'</t>
      </text>
    </comment>
    <comment authorId="0" ref="W48">
      <text>
        <t xml:space="preserve">M' U R U' M' U R' U' M2'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timed on 5x5x5</t>
      </text>
    </comment>
    <comment authorId="0" ref="G4">
      <text>
        <t xml:space="preserve">no regrip at start; 4Rw'</t>
      </text>
    </comment>
    <comment authorId="0" ref="C12">
      <text>
        <t xml:space="preserve">regrip left hand</t>
      </text>
    </comment>
    <comment authorId="0" ref="B14">
      <text>
        <t xml:space="preserve">[Rw D: [U2!, r D' r']]?</t>
      </text>
    </comment>
    <comment authorId="0" ref="Y40">
      <text>
        <t xml:space="preserve">U' Rw U' R' U r U' R U Rw2' R U</t>
      </text>
    </comment>
    <comment authorId="0" ref="D48">
      <text>
        <t xml:space="preserve">r U' L' U r U' L U r2</t>
      </text>
    </comment>
    <comment authorId="0" ref="E48">
      <text>
        <t xml:space="preserve">4Lw' U' L U r U' L' U 4Lw2 3Lw'</t>
      </text>
    </comment>
    <comment authorId="0" ref="J48">
      <text>
        <t xml:space="preserve">r U R' U' r U R U' r2</t>
      </text>
    </comment>
    <comment authorId="0" ref="K48">
      <text>
        <t xml:space="preserve">Rw U R' U' r U R U' Rw2' R</t>
      </text>
    </comment>
    <comment authorId="0" ref="Q48">
      <text>
        <t xml:space="preserve">r U' L U r U' L' U r2</t>
      </text>
    </comment>
    <comment authorId="0" ref="W48">
      <text>
        <t xml:space="preserve">r U R U' r U R' U' r2</t>
      </text>
    </comment>
    <comment authorId="0" ref="Z50">
      <text>
        <t xml:space="preserve">timed on 5x5x5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timed on 5x5x5</t>
      </text>
    </comment>
    <comment authorId="0" ref="Z50">
      <text>
        <t xml:space="preserve">timed on 5x5x5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[y: [M u' M', U]]
[U Lw': [M', U' l U]]</t>
      </text>
    </comment>
    <comment authorId="0" ref="B4">
      <text>
        <t xml:space="preserve">[y: [U, M u' M']]
[U Lw': [U' l U, M']]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2">
      <text>
        <t xml:space="preserve">private (madagascar)? &lt;- best
private (ryan)?
pryde (x-men)?
pryce (the handmaid's tale)</t>
      </text>
    </comment>
    <comment authorId="0" ref="T2">
      <text>
        <t xml:space="preserve">prescott?</t>
      </text>
    </comment>
    <comment authorId="0" ref="M3">
      <text>
        <t xml:space="preserve">baloo</t>
      </text>
    </comment>
    <comment authorId="0" ref="N3">
      <text>
        <t xml:space="preserve">bomb voyage (incredibles)?</t>
      </text>
    </comment>
    <comment authorId="0" ref="J5">
      <text>
        <t xml:space="preserve">diana (royalty)</t>
      </text>
    </comment>
    <comment authorId="0" ref="H6">
      <text>
        <t xml:space="preserve">flagg (kim possible S01E15)</t>
      </text>
    </comment>
    <comment authorId="0" ref="W7">
      <text>
        <t xml:space="preserve">favaro (kuffs) ?</t>
      </text>
    </comment>
    <comment authorId="0" ref="M9">
      <text>
        <t xml:space="preserve">helen (primeval)
helga (atlantis 2001)
hell boy &lt;--</t>
      </text>
    </comment>
    <comment authorId="0" ref="N9">
      <text>
        <t xml:space="preserve">ham (simpsons)?</t>
      </text>
    </comment>
    <comment authorId="0" ref="Q9">
      <text>
        <t xml:space="preserve">hopper (a bug's life)</t>
      </text>
    </comment>
    <comment authorId="0" ref="J10">
      <text>
        <t xml:space="preserve">childs (the thing (1982)) ?</t>
      </text>
    </comment>
    <comment authorId="0" ref="T10">
      <text>
        <t xml:space="preserve">chess (one piece) ?</t>
      </text>
    </comment>
    <comment authorId="0" ref="C12">
      <text>
        <t xml:space="preserve">firefly</t>
      </text>
    </comment>
    <comment authorId="0" ref="X12">
      <text>
        <t xml:space="preserve">simon cowell</t>
      </text>
    </comment>
    <comment authorId="0" ref="F13">
      <text>
        <t xml:space="preserve">lee (battlestar galatica)</t>
      </text>
    </comment>
    <comment authorId="0" ref="U14">
      <text>
        <t xml:space="preserve">matt (van soccer)</t>
      </text>
    </comment>
    <comment authorId="0" ref="D15">
      <text>
        <t xml:space="preserve">nish? (black mirror)</t>
      </text>
    </comment>
    <comment authorId="0" ref="F15">
      <text>
        <t xml:space="preserve">neo (matrix)?</t>
      </text>
    </comment>
    <comment authorId="0" ref="I15">
      <text>
        <t xml:space="preserve">nathaniel??</t>
      </text>
    </comment>
    <comment authorId="0" ref="V15">
      <text>
        <t xml:space="preserve">neutron</t>
      </text>
    </comment>
    <comment authorId="0" ref="K17">
      <text>
        <t xml:space="preserve">pidge (voltron)?</t>
      </text>
    </comment>
    <comment authorId="0" ref="C18">
      <text>
        <t xml:space="preserve">stubbs (westworld)</t>
      </text>
    </comment>
    <comment authorId="0" ref="F19">
      <text>
        <t xml:space="preserve">reek (got)</t>
      </text>
    </comment>
    <comment authorId="0" ref="R19">
      <text>
        <t xml:space="preserve">rasta (tintin)?</t>
      </text>
    </comment>
    <comment authorId="0" ref="V19">
      <text>
        <t xml:space="preserve">ruby (jumanji)?
reuben (ocean's 11)?</t>
      </text>
    </comment>
    <comment authorId="0" ref="X19">
      <text>
        <t xml:space="preserve">rowling</t>
      </text>
    </comment>
    <comment authorId="0" ref="D21">
      <text>
        <t xml:space="preserve">tish (the weekenders)?</t>
      </text>
    </comment>
    <comment authorId="0" ref="G21">
      <text>
        <t xml:space="preserve">tiffany (independence day)?</t>
      </text>
    </comment>
    <comment authorId="0" ref="D22">
      <text>
        <t xml:space="preserve">rick and morty</t>
      </text>
    </comment>
    <comment authorId="0" ref="M22">
      <text>
        <t xml:space="preserve">trillian (hgg)</t>
      </text>
    </comment>
    <comment authorId="0" ref="M24">
      <text>
        <t xml:space="preserve">wallace (the wire)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Q12">
      <text>
        <t xml:space="preserve">with pokemon ball?</t>
      </text>
    </comment>
    <comment authorId="0" ref="M20">
      <text>
        <t xml:space="preserve">sell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2">
      <text>
        <t xml:space="preserve">primate</t>
      </text>
    </comment>
    <comment authorId="0" ref="R14">
      <text>
        <t xml:space="preserve">mastermind (game)</t>
      </text>
    </comment>
    <comment authorId="0" ref="D15">
      <text>
        <t xml:space="preserve">nish (black mirror)
nash</t>
      </text>
    </comment>
    <comment authorId="0" ref="J15">
      <text>
        <t xml:space="preserve">knife</t>
      </text>
    </comment>
    <comment authorId="0" ref="B16">
      <text>
        <t xml:space="preserve">cradle</t>
      </text>
    </comment>
    <comment authorId="0" ref="C16">
      <text>
        <t xml:space="preserve">crib(age)</t>
      </text>
    </comment>
    <comment authorId="0" ref="F17">
      <text>
        <t xml:space="preserve">pizza?</t>
      </text>
    </comment>
    <comment authorId="0" ref="Q17">
      <text>
        <t xml:space="preserve">pepper (bell pepper)</t>
      </text>
    </comment>
    <comment authorId="0" ref="J19">
      <text>
        <t xml:space="preserve">rhino</t>
      </text>
    </comment>
    <comment authorId="0" ref="G20">
      <text>
        <t xml:space="preserve">sapphire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">
      <text>
        <t xml:space="preserve">bushwack</t>
      </text>
    </comment>
    <comment authorId="0" ref="K3">
      <text>
        <t xml:space="preserve">badger
(replace bother by bath)</t>
      </text>
    </comment>
    <comment authorId="0" ref="M3">
      <text>
        <t xml:space="preserve">bulbasaur
bawl, ball</t>
      </text>
    </comment>
    <comment authorId="0" ref="O3">
      <text>
        <t xml:space="preserve">bannon</t>
      </text>
    </comment>
    <comment authorId="0" ref="D5">
      <text>
        <t xml:space="preserve">disher (monk)</t>
      </text>
    </comment>
    <comment authorId="0" ref="K5">
      <text>
        <t xml:space="preserve">digitize?</t>
      </text>
    </comment>
    <comment authorId="0" ref="O5">
      <text>
        <t xml:space="preserve">dance dance revolution
dandelion</t>
      </text>
    </comment>
    <comment authorId="0" ref="H7">
      <text>
        <t xml:space="preserve">figment (of imagination)</t>
      </text>
    </comment>
    <comment authorId="0" ref="C9">
      <text>
        <t xml:space="preserve">hobbes (calvin and hobbes)? similar to tigger)</t>
      </text>
    </comment>
    <comment authorId="0" ref="E9">
      <text>
        <t xml:space="preserve">headmaster?</t>
      </text>
    </comment>
    <comment authorId="0" ref="T9">
      <text>
        <t xml:space="preserve">hustle (steal wallet from obj)</t>
      </text>
    </comment>
    <comment authorId="0" ref="N11">
      <text>
        <t xml:space="preserve">jammer (bsg)?</t>
      </text>
    </comment>
    <comment authorId="0" ref="N12">
      <text>
        <t xml:space="preserve">comm (walkie-talkie)
compost</t>
      </text>
    </comment>
    <comment authorId="0" ref="Q13">
      <text>
        <t xml:space="preserve">lapis (steven universe)</t>
      </text>
    </comment>
    <comment authorId="0" ref="O14">
      <text>
        <t xml:space="preserve">monocle
monster
monument</t>
      </text>
    </comment>
    <comment authorId="0" ref="T14">
      <text>
        <t xml:space="preserve">mask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0">
      <text>
        <t xml:space="preserve">U’ R’ D’</t>
      </text>
    </comment>
    <comment authorId="0" ref="G26">
      <text>
        <t xml:space="preserve">(U D’) R’ F’ R^</t>
      </text>
    </comment>
    <comment authorId="0" ref="F28">
      <text>
        <t xml:space="preserve">R D R'^</t>
      </text>
    </comment>
    <comment authorId="0" ref="K28">
      <text>
        <t xml:space="preserve">R' (U D) R D'</t>
      </text>
    </comment>
    <comment authorId="0" ref="B30">
      <text>
        <t xml:space="preserve">R U2 R'^</t>
      </text>
    </comment>
    <comment authorId="0" ref="D30">
      <text>
        <t xml:space="preserve">U R2 U R'^
D R' U' D' R</t>
      </text>
    </comment>
    <comment authorId="0" ref="G30">
      <text>
        <t xml:space="preserve">R' D</t>
      </text>
    </comment>
    <comment authorId="0" ref="E32">
      <text>
        <t xml:space="preserve">R U</t>
      </text>
    </comment>
    <comment authorId="0" ref="G32">
      <text>
        <t xml:space="preserve">U2 R^</t>
      </text>
    </comment>
    <comment authorId="0" ref="D34">
      <text>
        <t xml:space="preserve">D R'^</t>
      </text>
    </comment>
    <comment authorId="0" ref="K34">
      <text>
        <t xml:space="preserve">U' R^</t>
      </text>
    </comment>
    <comment authorId="0" ref="M34">
      <text>
        <t xml:space="preserve">(U' D) R U R'^
(U' D') R U</t>
      </text>
    </comment>
    <comment authorId="0" ref="M36">
      <text>
        <t xml:space="preserve">D' R U'</t>
      </text>
    </comment>
    <comment authorId="0" ref="N36">
      <text>
        <t xml:space="preserve">D R’ F</t>
      </text>
    </comment>
    <comment authorId="0" ref="B38">
      <text>
        <t xml:space="preserve">R' F R D
R2' F</t>
      </text>
    </comment>
    <comment authorId="0" ref="D38">
      <text>
        <t xml:space="preserve">(U' D') R^</t>
      </text>
    </comment>
    <comment authorId="0" ref="G38">
      <text>
        <t xml:space="preserve">(U D) R' F' R^</t>
      </text>
    </comment>
    <comment authorId="0" ref="N38">
      <text>
        <t xml:space="preserve">D R U’</t>
      </text>
    </comment>
    <comment authorId="0" ref="O38">
      <text>
        <t xml:space="preserve">R2’ U</t>
      </text>
    </comment>
    <comment authorId="0" ref="D40">
      <text>
        <t xml:space="preserve">R2' F' R U*
U2 R' F R^</t>
      </text>
    </comment>
    <comment authorId="0" ref="E40">
      <text>
        <t xml:space="preserve">(U D) R U'</t>
      </text>
    </comment>
    <comment authorId="0" ref="M40">
      <text>
        <t xml:space="preserve">U' R U</t>
      </text>
    </comment>
    <comment authorId="0" ref="B42">
      <text>
        <t xml:space="preserve">l</t>
      </text>
    </comment>
    <comment authorId="0" ref="D42">
      <text>
        <t xml:space="preserve">U' R U^</t>
      </text>
    </comment>
    <comment authorId="0" ref="B44">
      <text>
        <t xml:space="preserve">R U’ R’^</t>
      </text>
    </comment>
    <comment authorId="0" ref="D44">
      <text>
        <t xml:space="preserve">R' (U' D') R^</t>
      </text>
    </comment>
    <comment authorId="0" ref="G44">
      <text>
        <t xml:space="preserve">R' (D U*)</t>
      </text>
    </comment>
    <comment authorId="0" ref="K44">
      <text>
        <t xml:space="preserve">R' D' R D</t>
      </text>
    </comment>
    <comment authorId="0" ref="M44">
      <text>
        <t xml:space="preserve">U R' U'</t>
      </text>
    </comment>
    <comment authorId="0" ref="S44">
      <text>
        <t xml:space="preserve">l U^</t>
      </text>
    </comment>
    <comment authorId="0" ref="E46">
      <text>
        <t xml:space="preserve">R' U R^
U2 R' U</t>
      </text>
    </comment>
    <comment authorId="0" ref="M46">
      <text>
        <t xml:space="preserve">U R U’ R’^</t>
      </text>
    </comment>
    <comment authorId="0" ref="Q46">
      <text>
        <t xml:space="preserve">D’ R D R’</t>
      </text>
    </comment>
    <comment authorId="0" ref="R46">
      <text>
        <t xml:space="preserve">D(') R' U R U*</t>
      </text>
    </comment>
    <comment authorId="0" ref="E48">
      <text>
        <t xml:space="preserve">R' (U D') R U'^
(U' D) R' F R^
R B2 R' U^</t>
      </text>
    </comment>
  </commentList>
</comments>
</file>

<file path=xl/sharedStrings.xml><?xml version="1.0" encoding="utf-8"?>
<sst xmlns="http://schemas.openxmlformats.org/spreadsheetml/2006/main" count="4075" uniqueCount="3100">
  <si>
    <t>UFR</t>
  </si>
  <si>
    <t>A (FUL)</t>
  </si>
  <si>
    <t>B (ULF)</t>
  </si>
  <si>
    <t>sh (LFU)</t>
  </si>
  <si>
    <t>UF</t>
  </si>
  <si>
    <t>D (LUB)</t>
  </si>
  <si>
    <t>E (UBL)</t>
  </si>
  <si>
    <t>F (BLU)</t>
  </si>
  <si>
    <t>G (BUR)</t>
  </si>
  <si>
    <t>K (URB)</t>
  </si>
  <si>
    <t>I (RBU)</t>
  </si>
  <si>
    <t>J (RUF)</t>
  </si>
  <si>
    <t>(UFR)</t>
  </si>
  <si>
    <t>L (FRU)</t>
  </si>
  <si>
    <t>M (FLD)</t>
  </si>
  <si>
    <t>N (DFL)</t>
  </si>
  <si>
    <t>O (LDF)</t>
  </si>
  <si>
    <t>P (LBD)</t>
  </si>
  <si>
    <t>st (DLB)</t>
  </si>
  <si>
    <t>R (BDL)</t>
  </si>
  <si>
    <t>S (BRD)</t>
  </si>
  <si>
    <t>T (DBR)</t>
  </si>
  <si>
    <t>U (RDB)</t>
  </si>
  <si>
    <t>V (RFD)</t>
  </si>
  <si>
    <t>ow (DRF)</t>
  </si>
  <si>
    <t>th (FDR)</t>
  </si>
  <si>
    <t>A (FU)</t>
  </si>
  <si>
    <t>B (UL)</t>
  </si>
  <si>
    <t>sh (LF)</t>
  </si>
  <si>
    <t>pr (FUL)</t>
  </si>
  <si>
    <t>D (LU)</t>
  </si>
  <si>
    <t>E (UB)</t>
  </si>
  <si>
    <t>F (BL)</t>
  </si>
  <si>
    <t>[l' U': [R D' R', U2]]</t>
  </si>
  <si>
    <t>[l' (D' U'): [R D R', U2]]</t>
  </si>
  <si>
    <t>[R U R' D': [U2!, R' D R]]</t>
  </si>
  <si>
    <t>[R D: [R D' R', U2!]]</t>
  </si>
  <si>
    <t>[R: [R D R', U2!]]</t>
  </si>
  <si>
    <t>[R' F' R (U' D): [R' D' R, U2]]</t>
  </si>
  <si>
    <t>[R U: [R' D R, U2]]</t>
  </si>
  <si>
    <t>[R (D U): [R' D' R, U2]]</t>
  </si>
  <si>
    <t>[R' D: [F2, D' R D R']]</t>
  </si>
  <si>
    <t>[l': [R' D R, U2!]]</t>
  </si>
  <si>
    <t>[R: [R D' R', U2!]]</t>
  </si>
  <si>
    <t>[D' R (D' U): [R' D R, U2]]</t>
  </si>
  <si>
    <t>[R U: [R' D' R, U2]]</t>
  </si>
  <si>
    <t>[D R: [R D' R', U2!]]</t>
  </si>
  <si>
    <t>[R (D' U): [R' D R, U2]]</t>
  </si>
  <si>
    <t>[D R U: [R' D' R, U2]]</t>
  </si>
  <si>
    <t>[R U' R' D': [R' D R, U2!]]</t>
  </si>
  <si>
    <t>[D R (D' U): [R' D R, U2]]</t>
  </si>
  <si>
    <t>fl/E</t>
  </si>
  <si>
    <t>[U' R: [R D R', U2!]]</t>
  </si>
  <si>
    <t>[R' D R U': [R' D' R, U']]</t>
  </si>
  <si>
    <t>[U' R': [U', R' D' R]]</t>
  </si>
  <si>
    <t>[U' R: [R D R', U]]</t>
  </si>
  <si>
    <t>[R' D R U': [R' D' R, U2]]</t>
  </si>
  <si>
    <t>[R' F' R U': [R' D R, U2]]</t>
  </si>
  <si>
    <t>[D: [R' D' R, U']]</t>
  </si>
  <si>
    <t>[D2'! R D' R': [R' D R, U']]</t>
  </si>
  <si>
    <t>[R' D R, U']</t>
  </si>
  <si>
    <t>[U': [R D' R', U']]</t>
  </si>
  <si>
    <t>[R' D' R: [R U' R', D]]</t>
  </si>
  <si>
    <t>[(D' U'): [R D R', U']]</t>
  </si>
  <si>
    <t>[(D U'): [R D' R', U']]</t>
  </si>
  <si>
    <t>[R D' R': [R' D R, U']]</t>
  </si>
  <si>
    <t>[U': [R D R', U']]</t>
  </si>
  <si>
    <t>[R' D' R, U']</t>
  </si>
  <si>
    <t>[D R D' R': [R' D R, U']]</t>
  </si>
  <si>
    <t>[D': [R' D R, U']]</t>
  </si>
  <si>
    <t>G (BU)</t>
  </si>
  <si>
    <t>K (UR)</t>
  </si>
  <si>
    <t>I (RB)</t>
  </si>
  <si>
    <t>J (RU)</t>
  </si>
  <si>
    <t>(UF)</t>
  </si>
  <si>
    <t>L (FR)</t>
  </si>
  <si>
    <t>M (FL)</t>
  </si>
  <si>
    <t>[U' R' U, L]</t>
  </si>
  <si>
    <t>[U' R D: [R D' R', U2!]]</t>
  </si>
  <si>
    <t>N (DF)</t>
  </si>
  <si>
    <t>[x': [R U' R', D]]</t>
  </si>
  <si>
    <t>[R' F: [R U R', D]]</t>
  </si>
  <si>
    <t>[R': [U', R' D' R]]</t>
  </si>
  <si>
    <t>K</t>
  </si>
  <si>
    <t>[R' D' R (U' D): [R' D' R, U2]]</t>
  </si>
  <si>
    <t>O (LD)</t>
  </si>
  <si>
    <t>[D R' U': [D', R U R']]</t>
  </si>
  <si>
    <t>P (LB)</t>
  </si>
  <si>
    <t>[U' R' U: [R U' R', D]]</t>
  </si>
  <si>
    <t>st (DL)</t>
  </si>
  <si>
    <t>R (BD)</t>
  </si>
  <si>
    <t>[R' U': [D, R U R']]</t>
  </si>
  <si>
    <t>S (BR)</t>
  </si>
  <si>
    <t>[U' R U': [D', R' U R]]</t>
  </si>
  <si>
    <t>T (DB)</t>
  </si>
  <si>
    <t>[(U' D) R U: [R U' R', D]]</t>
  </si>
  <si>
    <t>U (RD)</t>
  </si>
  <si>
    <t>[x': [R U2! R', D]]</t>
  </si>
  <si>
    <t>V (RF)</t>
  </si>
  <si>
    <t>[(U' D) R U': [D', R' U R]]</t>
  </si>
  <si>
    <t>ow (DR)</t>
  </si>
  <si>
    <t>[R U' R': [D, R' U R]]</t>
  </si>
  <si>
    <t>[R' U': [R' D' R, U2]]</t>
  </si>
  <si>
    <t>[R' U': [D', R U R']]</t>
  </si>
  <si>
    <t>[R U' R': [R' D' R, U2!]]</t>
  </si>
  <si>
    <t>[R, U L U']</t>
  </si>
  <si>
    <t>th (FD)</t>
  </si>
  <si>
    <t>pr (FU)</t>
  </si>
  <si>
    <t>[l' U: [R D' R', U2]]</t>
  </si>
  <si>
    <t>[U' R: [U2!, R D R']]</t>
  </si>
  <si>
    <t>[L, U' R' U]</t>
  </si>
  <si>
    <t>[U R': [U', R' D' R]]</t>
  </si>
  <si>
    <t>[R: [R D R', U]]</t>
  </si>
  <si>
    <t>[R B R' (D' U'): [R D R', U2]]</t>
  </si>
  <si>
    <t>[R U: [R' D R, U]]</t>
  </si>
  <si>
    <t>[R (D U): [R' D' R, U]]</t>
  </si>
  <si>
    <t>[U R': [U', R' D R]]</t>
  </si>
  <si>
    <t>[R D': [R D R', U]]</t>
  </si>
  <si>
    <t>[R: [R D' R', U]]</t>
  </si>
  <si>
    <t>[(U D) R': [U', R' D R]]</t>
  </si>
  <si>
    <t>[R U: [R' D' R, U]]</t>
  </si>
  <si>
    <t>[D R: [R D' R', U]]</t>
  </si>
  <si>
    <t>[R (D' U): [R' D R, U]]</t>
  </si>
  <si>
    <t>[D R U: [R' D' R, U]]</t>
  </si>
  <si>
    <t>[(U' D') R' F': [D, R U' R']]</t>
  </si>
  <si>
    <t>[R U R': [R' D' R, U']]</t>
  </si>
  <si>
    <t>B</t>
  </si>
  <si>
    <t>fl (UBL)</t>
  </si>
  <si>
    <t>[l' (D' U): [R D R', U2]]</t>
  </si>
  <si>
    <t>[R' D R U2: [R' D' R, U]]</t>
  </si>
  <si>
    <t>[U' R D: [U2!, R D' R']]</t>
  </si>
  <si>
    <t>[R' D': [U2!, R' D R]]</t>
  </si>
  <si>
    <t>[R' D R U2: [R' D' R, U']]</t>
  </si>
  <si>
    <t>[U R D: [R D' R', U2!]]</t>
  </si>
  <si>
    <t>[D: [R' D' R, U2!]]</t>
  </si>
  <si>
    <t>[R F' R' U': [R D R', U2]]</t>
  </si>
  <si>
    <t>[R' D R, U2!]</t>
  </si>
  <si>
    <t>[U': [R D' R', U2]]</t>
  </si>
  <si>
    <t>[R' (U' D') R: [R U' R', D]]</t>
  </si>
  <si>
    <t>[(D' U'): [R D R', U2]]</t>
  </si>
  <si>
    <t>[(D U'): [R D' R', U2]]</t>
  </si>
  <si>
    <t>[R D' R': [R' D R, U2!]]</t>
  </si>
  <si>
    <t>[U': [R D R', U2]]</t>
  </si>
  <si>
    <t>[R' D' R, U2!]</t>
  </si>
  <si>
    <t>[D R D' R': [R' D R, U2!]]</t>
  </si>
  <si>
    <t>[D': [R' D R, U2!]]</t>
  </si>
  <si>
    <t>[R U R' D': [R' D R, U2]]</t>
  </si>
  <si>
    <t>[U' R': [R' D' R, U']]</t>
  </si>
  <si>
    <t>[x': [D, R U' R']]</t>
  </si>
  <si>
    <t>[U' L' U, R]</t>
  </si>
  <si>
    <t>[R': [U2!, R' D' R]]</t>
  </si>
  <si>
    <t>[U R: [R D R', U2!]]</t>
  </si>
  <si>
    <t>[U R' F': [R U' R', D]]</t>
  </si>
  <si>
    <t>[U' R': [R' D R, U']]</t>
  </si>
  <si>
    <t>[R B' R': [U, R' D R]]</t>
  </si>
  <si>
    <t>[U2! R: [U, R D' R']]</t>
  </si>
  <si>
    <t>[R B: [D', R' U R]]</t>
  </si>
  <si>
    <t>[D' R B': [D, R' U' R]]</t>
  </si>
  <si>
    <t>[R2! U: [R D R', U2]]</t>
  </si>
  <si>
    <t>[U R: [D', R U' R']]</t>
  </si>
  <si>
    <t>[R B': [D, R' U' R]]</t>
  </si>
  <si>
    <t>[R': [R' U R, D]]</t>
  </si>
  <si>
    <t>[(U' D') R': [R' D R, U']]</t>
  </si>
  <si>
    <t>[l D': [R' D R, U']]</t>
  </si>
  <si>
    <t>[R D: [U2!, R D' R']]</t>
  </si>
  <si>
    <t>[U' R: [U, R D R']]</t>
  </si>
  <si>
    <t>[R' F: [D, R U R']]</t>
  </si>
  <si>
    <t>[U R': [R' D' R, U']]</t>
  </si>
  <si>
    <t>[R' D': [R' D R, U2!]]</t>
  </si>
  <si>
    <t>[R, U' L' U]</t>
  </si>
  <si>
    <t>[R' F: [D, R U' R']]</t>
  </si>
  <si>
    <t>[(U D) R' U': [R U R', D']]</t>
  </si>
  <si>
    <t>[R' U: [D, R U' R']]</t>
  </si>
  <si>
    <t>[R, U' L U]</t>
  </si>
  <si>
    <t>[R U': [R' U R, D']]</t>
  </si>
  <si>
    <t>[(U' D') R U: [D, R' U' R]]</t>
  </si>
  <si>
    <t>[R U': [R' U R, D]]</t>
  </si>
  <si>
    <t>[D R U': [R' U R, D']]</t>
  </si>
  <si>
    <t>[U' R U: [D, R' U' R]]</t>
  </si>
  <si>
    <t>[R' U: [D', R U' R']]</t>
  </si>
  <si>
    <t>[U R' U': [R U R', D']]</t>
  </si>
  <si>
    <t>[D' R' U: [D, R U' R']]</t>
  </si>
  <si>
    <t>[R: [U2!, R D R’]]</t>
  </si>
  <si>
    <t>[R' D R U: [R' D' R, U2]]</t>
  </si>
  <si>
    <t>[R': [R' D' R, U']]</t>
  </si>
  <si>
    <t>[R: [U, R D R']]</t>
  </si>
  <si>
    <t>[R' D R U: [R' D' R U]]</t>
  </si>
  <si>
    <t>[R': [R' D' R, U2!]]</t>
  </si>
  <si>
    <t>[D: [R' D' R, U]]</t>
  </si>
  <si>
    <t>[R F': [R' U' R, D]]</t>
  </si>
  <si>
    <t>[R' D R, U]</t>
  </si>
  <si>
    <t>[U', R D' R']</t>
  </si>
  <si>
    <t>[(U D') R D' R': [U', R' D R]]</t>
  </si>
  <si>
    <t>[D': [U', R D R']]</t>
  </si>
  <si>
    <t>[D: [U', R D' R']]</t>
  </si>
  <si>
    <t>[U R D' R': [U', R' D R]]</t>
  </si>
  <si>
    <t>[U', R D R']</t>
  </si>
  <si>
    <t>[R' D' R, U]</t>
  </si>
  <si>
    <t>[U' R' D R: [R D' R', U]]</t>
  </si>
  <si>
    <t>[D': [R' D R, U]]</t>
  </si>
  <si>
    <t>ch (RBU)</t>
  </si>
  <si>
    <t>[R' F' R (U D): [R' D' R, U2]]</t>
  </si>
  <si>
    <t>[R' F' R U: [R' D R, U2]]</t>
  </si>
  <si>
    <t>[R' D' R (U D): [R' D' R, U2]]</t>
  </si>
  <si>
    <t>[R B R' (D' U): [R D R', U2]]</t>
  </si>
  <si>
    <t>[U R D: [U2!, R D' R']]</t>
  </si>
  <si>
    <t>[U R: [U2!, R D R']]</t>
  </si>
  <si>
    <t>[U R (D U'): [R' D' R, U2]]</t>
  </si>
  <si>
    <t>[U' R': [R' D R, U2!]]</t>
  </si>
  <si>
    <t>[U R U': [R' D R, U2]]</t>
  </si>
  <si>
    <t>[U R: [U2!, R D' R']]</t>
  </si>
  <si>
    <t>[U' R' (D' U'): [R D R', U2]]</t>
  </si>
  <si>
    <t>[U' R' U': [R D' R', U2]]</t>
  </si>
  <si>
    <t>[(U D) R: [U2!, R D' R']]</t>
  </si>
  <si>
    <t>[R B R' U: [R D R', U2]]</t>
  </si>
  <si>
    <t>[R' F' R: [R D R', U2!]]</t>
  </si>
  <si>
    <t>[R' F' R U: [R' D' R, U2]]</t>
  </si>
  <si>
    <t>[(U' D') R': [R' D R, U2!]]</t>
  </si>
  <si>
    <t>[U' R' U': [R D R', U2]]</t>
  </si>
  <si>
    <t>[U': [R' E R, U']]</t>
  </si>
  <si>
    <t>[L2'! U: [L2, S']]</t>
  </si>
  <si>
    <t>[u: [L' E L, U']]</t>
  </si>
  <si>
    <t>[l: [U L' U', M']]</t>
  </si>
  <si>
    <t>[M2'! U': [M, U2]]</t>
  </si>
  <si>
    <t>[U, L' E L]</t>
  </si>
  <si>
    <t>[S, R' F R]</t>
  </si>
  <si>
    <t>[U, L' E2'! L]</t>
  </si>
  <si>
    <t>[(U E): [L E' L', U']]</t>
  </si>
  <si>
    <t>[R' F': [R S R', F2]]</t>
  </si>
  <si>
    <t>[U, L' E' L]</t>
  </si>
  <si>
    <t>[U': [R E' R', U']]</t>
  </si>
  <si>
    <t>[D R' F': [R S R', F2]]</t>
  </si>
  <si>
    <t>[U2! r': [U R U', M']]</t>
  </si>
  <si>
    <t>[U, L E2' L']</t>
  </si>
  <si>
    <t>[L' l2: [U L' U', M2']]</t>
  </si>
  <si>
    <t>[U': [R E R', U']]</t>
  </si>
  <si>
    <t>[U, L E' L']</t>
  </si>
  <si>
    <t>[D' R' F': [R S R', F2]]</t>
  </si>
  <si>
    <t>[l': [U L U', M]]</t>
  </si>
  <si>
    <t>D</t>
  </si>
  <si>
    <t>sh</t>
  </si>
  <si>
    <t>[R U': [R' D R, U2]]</t>
  </si>
  <si>
    <t>[D: [U', R' D' R]]</t>
  </si>
  <si>
    <t>[D R' U': [R U R', D']]</t>
  </si>
  <si>
    <t>[R U2: [R' D R, U']]</t>
  </si>
  <si>
    <t>[D: [U2!, R' D' R]]</t>
  </si>
  <si>
    <t>[U R' F': [D, R U' R']]</t>
  </si>
  <si>
    <t>[R' F: [R U' R', D]]</t>
  </si>
  <si>
    <t>[D: [U, R' D' R]]</t>
  </si>
  <si>
    <t>[U R (D U): [R' D' R, U2]]</t>
  </si>
  <si>
    <t>[R' F' R: [R D' R', U']]</t>
  </si>
  <si>
    <t>[l' D: [R' D' R, U']]</t>
  </si>
  <si>
    <t>[D' R' U R: [R D' R', U']]</t>
  </si>
  <si>
    <t>[D: [R U R', D2']]</t>
  </si>
  <si>
    <t>[D R: [R D' R', U']]</t>
  </si>
  <si>
    <t>[R' F' R: [R D R', U']]</t>
  </si>
  <si>
    <t>[D, R U R']</t>
  </si>
  <si>
    <t>[R U' R': [R' D R, U2!]]</t>
  </si>
  <si>
    <t>[R, U L' U']</t>
  </si>
  <si>
    <t>pr/A</t>
  </si>
  <si>
    <t>L</t>
  </si>
  <si>
    <t>[R (D U'): [R' D' R, U2]]</t>
  </si>
  <si>
    <t>[D2'! R D' R': [U', R' D R]]</t>
  </si>
  <si>
    <t>[U' R' U: [D, R U' R']]</t>
  </si>
  <si>
    <t>[R (D U2): [R' D' R, U']]</t>
  </si>
  <si>
    <t>[R F' R' U: [R D R', U2]]</t>
  </si>
  <si>
    <t>[U' R': [U', R' D R]]</t>
  </si>
  <si>
    <t>[(U D) R' U': [D', R U R']]</t>
  </si>
  <si>
    <t>[R F': [D, R' U' R]]</t>
  </si>
  <si>
    <t>[U' R': [U2!, R' D R]]</t>
  </si>
  <si>
    <t>[D R U' R': [U2!, R' D R]]</t>
  </si>
  <si>
    <t>[D' R B: [R' U R, D]]</t>
  </si>
  <si>
    <t>[l (D' U): [R D R', U2]]</t>
  </si>
  <si>
    <t>[R U: [D, R U R']]</t>
  </si>
  <si>
    <t>[U' R' U R U: [R' D R, U2]]</t>
  </si>
  <si>
    <t>[U' R': [U, R' D R]]</t>
  </si>
  <si>
    <t>[R D: [R' D' R, U]]</t>
  </si>
  <si>
    <t>[U' R' F': [R U' R', D']]</t>
  </si>
  <si>
    <t>[U' R2' U: [R U R', D]]</t>
  </si>
  <si>
    <t>kr (LDF)</t>
  </si>
  <si>
    <t>[D R': [F2, R D' R' D]]</t>
  </si>
  <si>
    <t>[U', R' D R]</t>
  </si>
  <si>
    <t>[R' U': [R U R', D]]</t>
  </si>
  <si>
    <t>[U R': [R' D R, U']]</t>
  </si>
  <si>
    <t>[U2!, R' D R]</t>
  </si>
  <si>
    <t>[R B' R': [R' D R, U]]</t>
  </si>
  <si>
    <t>[R' U: [R U' R', D]]</t>
  </si>
  <si>
    <t>[U, R' D R]</t>
  </si>
  <si>
    <t>[U R U: [R' D R, U2]]</t>
  </si>
  <si>
    <t>[D R': [F', R D' R' D]]</t>
  </si>
  <si>
    <t>[(U D') R: [D2'!, R U' R']]</t>
  </si>
  <si>
    <t>[l U: [R D' R', U2]]</t>
  </si>
  <si>
    <t>[R' U': [R U2! R', D]]</t>
  </si>
  <si>
    <t>[U R: [D, R U' R']]</t>
  </si>
  <si>
    <t>[R' U: [R U R', D]]</t>
  </si>
  <si>
    <t>[U' R U' R': [R' D R, U]]</t>
  </si>
  <si>
    <t>[U' R' D R: [R D' R', U']]</t>
  </si>
  <si>
    <t>[U: [D, R U' R']]</t>
  </si>
  <si>
    <t>J</t>
  </si>
  <si>
    <t>[l': [U2!, R' D R]]</t>
  </si>
  <si>
    <t>[U2: [R D' R', U]]</t>
  </si>
  <si>
    <t>[U' R U': [R' U R, D']]</t>
  </si>
  <si>
    <t>[R D': [U, R D R']]</t>
  </si>
  <si>
    <t>[U: [R D' R', U2]]</t>
  </si>
  <si>
    <t>[U2! R: [R D' R', U]]</t>
  </si>
  <si>
    <t>[U' L U, R]</t>
  </si>
  <si>
    <t>[R D' R', U']</t>
  </si>
  <si>
    <t>[U R: [R D' R', U2!]]</t>
  </si>
  <si>
    <t>[R' F' R: [U', R D' R']]</t>
  </si>
  <si>
    <t>[D R U' R': [R' D R, U2!]]</t>
  </si>
  <si>
    <t>[R' D: [F', D' R D R']]</t>
  </si>
  <si>
    <t>[D2': [R U R', D]]</t>
  </si>
  <si>
    <t>[R D' R': [R' D R, U]]</t>
  </si>
  <si>
    <t>[R B': [D, R' U R]]</t>
  </si>
  <si>
    <t>[D2'!, R U R']</t>
  </si>
  <si>
    <t>[R U' R' (D' U'): [R D R', U2]]</t>
  </si>
  <si>
    <t>[U R U': [R D' R', U']]</t>
  </si>
  <si>
    <t>ch/I</t>
  </si>
  <si>
    <t>[U2: [R' E R, U]]</t>
  </si>
  <si>
    <t>[S: [R' E R, U']]</t>
  </si>
  <si>
    <t>[U: [R' E R, U2]]</t>
  </si>
  <si>
    <t>[E', L U L']</t>
  </si>
  <si>
    <t>[U' L' U, M']</t>
  </si>
  <si>
    <t>[R' E R, U']</t>
  </si>
  <si>
    <t>[r U R': [E, R2]]</t>
  </si>
  <si>
    <t>[M L' U: [M' U2]]</t>
  </si>
  <si>
    <t>[E, R U' R']</t>
  </si>
  <si>
    <t>[U R' F2: [R S R', F]]</t>
  </si>
  <si>
    <t>[S U2: [R' E R, U]]</t>
  </si>
  <si>
    <t>G</t>
  </si>
  <si>
    <t>[E' L' U L: [E, L2']]</t>
  </si>
  <si>
    <t>[R' F: [R' S' R, F]]</t>
  </si>
  <si>
    <t>[U' M: [U, R' E R]]</t>
  </si>
  <si>
    <t>[R': [R' E R, U']]</t>
  </si>
  <si>
    <t>[M2'!, u L u']</t>
  </si>
  <si>
    <t>[M' U R': [E R2]]</t>
  </si>
  <si>
    <t>? (U E) R'/M'R'</t>
  </si>
  <si>
    <t>[R' F: [R S R', F]]</t>
  </si>
  <si>
    <t>[R' F: [E, r U r']]</t>
  </si>
  <si>
    <t>[R: [U2!, R D' R']]</t>
  </si>
  <si>
    <t>[R' D' R: [D, R U' R']]</t>
  </si>
  <si>
    <t>[(U' D) R' U: [D, R U' R']]</t>
  </si>
  <si>
    <t>[R: [U, R D' R']]</t>
  </si>
  <si>
    <t>[R' (U' D') R: [D, R U' R']]</t>
  </si>
  <si>
    <t>[R B: [R' U R, D']]</t>
  </si>
  <si>
    <t>[R U': [D', R' U R]]</t>
  </si>
  <si>
    <t>[(U D') R D' R': [R' D R, U']]</t>
  </si>
  <si>
    <t>[U' R' (D' U): [R D R', U2]]</t>
  </si>
  <si>
    <t>[l' D: [U', R' D' R]]</t>
  </si>
  <si>
    <t>[D' R B: [D, R' U R]]</t>
  </si>
  <si>
    <t>[(U D') R: [R U' R', D2'!]]</t>
  </si>
  <si>
    <t>F</t>
  </si>
  <si>
    <t>[R (U' D'): [R' U R, D2']]</t>
  </si>
  <si>
    <t>[R B: [R' U R, D]]</t>
  </si>
  <si>
    <t>[U' R' D': [R D R', U']]</t>
  </si>
  <si>
    <t>[R: [U', R D' R']]</t>
  </si>
  <si>
    <t>[R U' R' U': [R D' R', U2]]</t>
  </si>
  <si>
    <t>[R2 U': [R' U R, D']]</t>
  </si>
  <si>
    <t>P</t>
  </si>
  <si>
    <t>[D' R (D' U'): [R' D R, U2]]</t>
  </si>
  <si>
    <t>[(D' U2): [R D R', U]]</t>
  </si>
  <si>
    <t>[x': [D, R U2! R']]</t>
  </si>
  <si>
    <t>[(U D) R': [R' D R, U']]</t>
  </si>
  <si>
    <t>[(D' U): [R D R', U2]]</t>
  </si>
  <si>
    <t>[D' R B': [R' U' R, D]]</t>
  </si>
  <si>
    <t>[(U' D') R U: [R' U' R, D]]</t>
  </si>
  <si>
    <t>[D': [R D R', U']]</t>
  </si>
  <si>
    <t>[U' R' U: [R D' R', U2]]</t>
  </si>
  <si>
    <t>[D' R' U R: [U', R D' R']]</t>
  </si>
  <si>
    <t>[l (D' U'): [R D R', U2]]</t>
  </si>
  <si>
    <t>[l U': [R D' R', U2]]</t>
  </si>
  <si>
    <t>[l (D U'): [R D' R', U2]]</t>
  </si>
  <si>
    <t>[U' R' U R: [R D' R', U2!]]</t>
  </si>
  <si>
    <t>[U': [D', R' U' R]]</t>
  </si>
  <si>
    <t>[U' R B R': [R' D' R, U]]</t>
  </si>
  <si>
    <t>[(U' D') R': [R' D R, U]]</t>
  </si>
  <si>
    <t>[D R' U: [R U R', D]]</t>
  </si>
  <si>
    <t>[R U': [R' D' R, U2]]</t>
  </si>
  <si>
    <t>[(D U2): [R D' R', U]]</t>
  </si>
  <si>
    <t>[(U' D) R U': [R' U R, D']]</t>
  </si>
  <si>
    <t>[R U2: [R' D' R, U']]</t>
  </si>
  <si>
    <t>[(D U): [R D' R', U2]]</t>
  </si>
  <si>
    <t>[R2! U': [R D R', U2]]</t>
  </si>
  <si>
    <t>[R U': [D, R' U R]]</t>
  </si>
  <si>
    <t>[D: [R D' R', U']]</t>
  </si>
  <si>
    <t>[(U D) R: [R D' R', U2!]]</t>
  </si>
  <si>
    <t>M</t>
  </si>
  <si>
    <t>[D': [R U R', D2']]</t>
  </si>
  <si>
    <t>[R U: [R U R', D]]</t>
  </si>
  <si>
    <t>[R' U': [D, R U2! R']]</t>
  </si>
  <si>
    <t>[D': [R U R', D']]</t>
  </si>
  <si>
    <t>[R (U' D): [R' U R, D2']]</t>
  </si>
  <si>
    <t>[l (D U): [R D' R', U2]]</t>
  </si>
  <si>
    <t>[D', R U R']</t>
  </si>
  <si>
    <t>[D R D' R': [R' D R, U]]</t>
  </si>
  <si>
    <t>[D R' U R: [R D' R', U']]</t>
  </si>
  <si>
    <t>[S: [U', R' E R]]</t>
  </si>
  <si>
    <t>[S' U: [L2, S']]</t>
  </si>
  <si>
    <t>[U' l U: [M', U2]]</t>
  </si>
  <si>
    <t>[L': [U' L U, M']]</t>
  </si>
  <si>
    <t>[S, r' F' r]</t>
  </si>
  <si>
    <t>V</t>
  </si>
  <si>
    <t>[r' U: [M', U2]]</t>
  </si>
  <si>
    <t>[M U: [M', U2]]</t>
  </si>
  <si>
    <t>[S' U L': [E', L2]]</t>
  </si>
  <si>
    <t>[r' F2: [r S r', F]]</t>
  </si>
  <si>
    <t>[D': [L F' L', S]]</t>
  </si>
  <si>
    <t>[F L': [E, L2]]</t>
  </si>
  <si>
    <t>[S: [U', R E' R']]</t>
  </si>
  <si>
    <t>[L F' L', S]</t>
  </si>
  <si>
    <t>[U' r: [U R' U', M2']]</t>
  </si>
  <si>
    <t>[S' U L: [E, L2']]</t>
  </si>
  <si>
    <t>[l L2': [U' L U, M2']]</t>
  </si>
  <si>
    <t>[R' F R: [S, R2']]</t>
  </si>
  <si>
    <t>[(M R) U: [M', U2]]</t>
  </si>
  <si>
    <t>[L: [F', L S L']]</t>
  </si>
  <si>
    <t>[L F: [L' U L, E']]</t>
  </si>
  <si>
    <t>S</t>
  </si>
  <si>
    <t>[D R: [U2!, R D' R']]</t>
  </si>
  <si>
    <t>[R D' R': [U', R' D R]]</t>
  </si>
  <si>
    <t>[R U' R': [R' U R, D]]</t>
  </si>
  <si>
    <t>[D R: [U, R D' R']]</t>
  </si>
  <si>
    <t>[R D' R': [U2!, R' D R]]</t>
  </si>
  <si>
    <t>[U R: [R U' R', D']]</t>
  </si>
  <si>
    <t>[D R U': [D', R' U R]]</t>
  </si>
  <si>
    <t>[U R D' R': [R' D R, U']]</t>
  </si>
  <si>
    <t>[R B R' U': [R D R', U2]]</t>
  </si>
  <si>
    <t>[D R: [U', R D' R']]</t>
  </si>
  <si>
    <t>[U' R' U R U': [R' D R, U2]]</t>
  </si>
  <si>
    <t>[U R: [R U' R', D]]</t>
  </si>
  <si>
    <t>[R D' R': [U, R' D R]]</t>
  </si>
  <si>
    <t>[R B: [D, R' U R]]</t>
  </si>
  <si>
    <t>[U' R' U R: [U2!, R D R']]</t>
  </si>
  <si>
    <t>[D' R U' R': [U2!, R' D R]]</t>
  </si>
  <si>
    <t>[R U' R' (D U'): [R D' R', U2]]</t>
  </si>
  <si>
    <t>[U R D': [R' D R, U']]</t>
  </si>
  <si>
    <t>kr/O</t>
  </si>
  <si>
    <t>H/th</t>
  </si>
  <si>
    <t>tr/U</t>
  </si>
  <si>
    <t>fl (UB)</t>
  </si>
  <si>
    <t>R</t>
  </si>
  <si>
    <t>[L2'! U: [S', L2]]</t>
  </si>
  <si>
    <t>[U': [R' E R, U2]]</t>
  </si>
  <si>
    <t>[S' U: [S', L2]]</t>
  </si>
  <si>
    <t>[L' U: [S', L2]]</t>
  </si>
  <si>
    <t>[R2! U': [S, R2']]</t>
  </si>
  <si>
    <t>[U: [L' E L, U2']]</t>
  </si>
  <si>
    <t>[S U': [S, R2']]</t>
  </si>
  <si>
    <t>tr (RDB)</t>
  </si>
  <si>
    <t>[R' U': [S, R2']]</t>
  </si>
  <si>
    <t>[L U: [S', L2]]</t>
  </si>
  <si>
    <t>[U2!, M']</t>
  </si>
  <si>
    <t>[U: [L' E' L, U2']]</t>
  </si>
  <si>
    <t>[U': [R E' R', U2]]</t>
  </si>
  <si>
    <t>[R (D' U'): [R' D R, U2]]</t>
  </si>
  <si>
    <t>[U: [S', L2]]</t>
  </si>
  <si>
    <t>[U2: [R D R', U]]</t>
  </si>
  <si>
    <t>[U M' U: [M', U2]]</t>
  </si>
  <si>
    <t>[R' U: [R' D' R, U2]]</t>
  </si>
  <si>
    <t>[R U': [S, R2']]</t>
  </si>
  <si>
    <t>[R (D' U2): [R' D R, U']]</t>
  </si>
  <si>
    <t>[M, U2!]</t>
  </si>
  <si>
    <t>[U: [R D R', U2]]</t>
  </si>
  <si>
    <t>[U': [R E R', U2]]</t>
  </si>
  <si>
    <t>[R B': [R' U' R, D]]</t>
  </si>
  <si>
    <t>[U: [L E' L', U2']]</t>
  </si>
  <si>
    <t>[U' R U: [R' U' R, D]]</t>
  </si>
  <si>
    <t>[U': [S, R2']]</t>
  </si>
  <si>
    <t>[R D R', U']</t>
  </si>
  <si>
    <t>[R' F': [R U R', E]]</t>
  </si>
  <si>
    <t>[R' F' R: [U2!, R D R']]</t>
  </si>
  <si>
    <t>[R' F' R: [U', R D R']]</t>
  </si>
  <si>
    <t>[U' R': [R' D R, U]]</t>
  </si>
  <si>
    <t>[R' U: [D, R U R']]</t>
  </si>
  <si>
    <t>[R B': [R' U R, D]]</t>
  </si>
  <si>
    <t>[U' R' D': [U', R D R']]</t>
  </si>
  <si>
    <t>[U': [R' U' R, D']]</t>
  </si>
  <si>
    <t>[R D R': [R' D' R, U]]</t>
  </si>
  <si>
    <t>[(U' D) R' U R: [R D' R', U2!]]</t>
  </si>
  <si>
    <t>N</t>
  </si>
  <si>
    <t>[U: [D', R U' R']]</t>
  </si>
  <si>
    <t>W/ow</t>
  </si>
  <si>
    <t>[D R U': [R' D' R, U2]]</t>
  </si>
  <si>
    <t>[U', R' D' R]</t>
  </si>
  <si>
    <t>[R' U': [R U R', D']]</t>
  </si>
  <si>
    <t>[D R U2: [R' D' R, U']]</t>
  </si>
  <si>
    <t>[U2!, R' D' R]</t>
  </si>
  <si>
    <t>[R': [D, R' U R]]</t>
  </si>
  <si>
    <t>[R' U: [R U' R', D']]</t>
  </si>
  <si>
    <t>[U, R' D' R]</t>
  </si>
  <si>
    <t>[R' F' R U': [R' D' R, U2]]</t>
  </si>
  <si>
    <t>[R U R', D]</t>
  </si>
  <si>
    <t>[R D: [U, R' D' R]]</t>
  </si>
  <si>
    <t>[U' R U' R': [U, R' D R]]</t>
  </si>
  <si>
    <t>[R U R', D2'!]</t>
  </si>
  <si>
    <t>[R: [R D' R', U']]</t>
  </si>
  <si>
    <t>[U' R B R': [U, R' D' R]]</t>
  </si>
  <si>
    <t>[R U R', D']</t>
  </si>
  <si>
    <t>[D' R U' R': [R' D R, U2!]]</t>
  </si>
  <si>
    <t>[R D R': [U, R' D' R]]</t>
  </si>
  <si>
    <t>st</t>
  </si>
  <si>
    <t>[E': [L' E L, U]]</t>
  </si>
  <si>
    <t>[L U L', E']</t>
  </si>
  <si>
    <t>[U' l U': [M', U2]]</t>
  </si>
  <si>
    <t>[L' U: [L2, S']]</t>
  </si>
  <si>
    <t>[M, U L U']</t>
  </si>
  <si>
    <t>[R' E2! R, U']</t>
  </si>
  <si>
    <t>[L U L', E]</t>
  </si>
  <si>
    <t>[S U' R: [E', R2']]</t>
  </si>
  <si>
    <t>[R' U' R: [E', R2']]</t>
  </si>
  <si>
    <t>[U' L': [S', L2]]</t>
  </si>
  <si>
    <t>[U' L' U': [M', U2]]</t>
  </si>
  <si>
    <t>[S' U' R: [E', R2']]</t>
  </si>
  <si>
    <t>[D': [M2'!, U L U']]</t>
  </si>
  <si>
    <t>[U2: [M, U' L U]]</t>
  </si>
  <si>
    <t>[R U' R: [E, R2']]</t>
  </si>
  <si>
    <t>[M2'!, U L U']</t>
  </si>
  <si>
    <t>[R' E2': [R U' R', E]]</t>
  </si>
  <si>
    <t>T</t>
  </si>
  <si>
    <t>[L: [U, L E' L']]</t>
  </si>
  <si>
    <t>[U' R: [E', R2']]</t>
  </si>
  <si>
    <t>[M', U L U']</t>
  </si>
  <si>
    <t>W (DRF)</t>
  </si>
  <si>
    <t>[R U' R' D': [U2!, R' D R]]</t>
  </si>
  <si>
    <t>[D R D' R': [U', R' D R]]</t>
  </si>
  <si>
    <t>[R U' R': [U2!, R' D' R]]</t>
  </si>
  <si>
    <t>[(U' D') R' F': [R U' R', D]]</t>
  </si>
  <si>
    <t>[D R D' R': [U2!, R' D R]]</t>
  </si>
  <si>
    <t>[(U' D') R': [U', R' D R]]</t>
  </si>
  <si>
    <t>[U R' U': [D', R U R']]</t>
  </si>
  <si>
    <t>[U' R' D R: [U, R D' R']]</t>
  </si>
  <si>
    <t>[(U' D') R': [U2!, R' D R]]</t>
  </si>
  <si>
    <t>[R U' R': [U2!, R' D R]]</t>
  </si>
  <si>
    <t>[U' R' F': [D', R U' R']]</t>
  </si>
  <si>
    <t>[U' R' D R: [U', R D' R']]</t>
  </si>
  <si>
    <t>[R U' R' (D' U): [R D R', U2]]</t>
  </si>
  <si>
    <t>[R U' R' U: [R D' R', U2]]</t>
  </si>
  <si>
    <t>[(U' D') R': [U, R' D R]]</t>
  </si>
  <si>
    <t>[D R D' R': [U, R' D R]]</t>
  </si>
  <si>
    <t>[R U' R' (D U): [R D' R', U2]]</t>
  </si>
  <si>
    <t>[(U' D) R' U R: [U2!, R D' R']]</t>
  </si>
  <si>
    <t>[L: [U L' U', M]]</t>
  </si>
  <si>
    <t>[M', U' L' U]</t>
  </si>
  <si>
    <t>[l': [U' L U, M]]</t>
  </si>
  <si>
    <t>[U L U', M]</t>
  </si>
  <si>
    <t>[R': [U' R U, M]]</t>
  </si>
  <si>
    <t>[M', U R' U']</t>
  </si>
  <si>
    <t>[r: [U R' U', M]]</t>
  </si>
  <si>
    <t>[U' R U, M]</t>
  </si>
  <si>
    <t>[U L' U', M]</t>
  </si>
  <si>
    <t>[U: [S, R' F' R]]</t>
  </si>
  <si>
    <t>[(U' D): [R' F' R, S]]</t>
  </si>
  <si>
    <t>[M', U' L U]</t>
  </si>
  <si>
    <t>[(U D): [S, R' F' R]]</t>
  </si>
  <si>
    <t>[U': [R B R', S]]</t>
  </si>
  <si>
    <t>[U' R' U, M]</t>
  </si>
  <si>
    <t>[U': [S', r' U' r]]</t>
  </si>
  <si>
    <t>[(U' D'): [R' F' R, S]]</t>
  </si>
  <si>
    <t>[M', U R U']</t>
  </si>
  <si>
    <t>[(U D'): [S, R' F' R]]</t>
  </si>
  <si>
    <t>[U': [R' F' R, S]]</t>
  </si>
  <si>
    <t>H (FDR)</t>
  </si>
  <si>
    <t>[D R (D' U'): [R' D R, U2]]</t>
  </si>
  <si>
    <t>[D': [U', R' D R]]</t>
  </si>
  <si>
    <t>[U L U', R]</t>
  </si>
  <si>
    <t>[R U R': [U', R' D' R]]</t>
  </si>
  <si>
    <t>[D': [U2!, R' D R]]</t>
  </si>
  <si>
    <t>[l D': [U', R' D R]]</t>
  </si>
  <si>
    <t>[D' R' U: [R U' R', D]]</t>
  </si>
  <si>
    <t>[D': [U, R' D R]]</t>
  </si>
  <si>
    <t>[U' R' U: [R D R', U2]]</t>
  </si>
  <si>
    <t>[U L' U', R]</t>
  </si>
  <si>
    <t>[U' R2' U: [D, R U R']]</t>
  </si>
  <si>
    <t>[U: [R U' R', D]]</t>
  </si>
  <si>
    <t>[U R U2: [R D' R', U]]</t>
  </si>
  <si>
    <t>[R2 U': [D', R' U R]]</t>
  </si>
  <si>
    <t>[D R' U: [D, R U R']]</t>
  </si>
  <si>
    <t>[D R' U R: [U', R D' R']]</t>
  </si>
  <si>
    <t>[U R D': [U', R' D R]]</t>
  </si>
  <si>
    <t>[U: [R U' R', D']]</t>
  </si>
  <si>
    <t>[M2'! U: [M, U2]]</t>
  </si>
  <si>
    <t>[U', R' E R]</t>
  </si>
  <si>
    <t>[r' F' r, S]</t>
  </si>
  <si>
    <t>[R2! U': [R2', S]]</t>
  </si>
  <si>
    <t>[U', R' E2! R]</t>
  </si>
  <si>
    <t>[r': [U' R U, M']]</t>
  </si>
  <si>
    <t>[U: [L' E L, U]]</t>
  </si>
  <si>
    <t>[(U' E'): [R' E R, U]]</t>
  </si>
  <si>
    <t>[U', R E2! R']</t>
  </si>
  <si>
    <t>[U R' F: [R S R', F2]]</t>
  </si>
  <si>
    <t>[U: [L' E' L, U]]</t>
  </si>
  <si>
    <t>[U', R E' R']</t>
  </si>
  <si>
    <t>[(U D) R' F: [R S R', F2]]</t>
  </si>
  <si>
    <t>[U' R': [U R U', M]]</t>
  </si>
  <si>
    <t>[u': [R E' R', U]]</t>
  </si>
  <si>
    <t>[r M': [U' R' U, M2']]</t>
  </si>
  <si>
    <t>[U', R E R']</t>
  </si>
  <si>
    <t>[U: [L E' L', U]]</t>
  </si>
  <si>
    <t>[R' U R': [S, R2]]</t>
  </si>
  <si>
    <t>[r: [U' R' U, M]]</t>
  </si>
  <si>
    <t>ch (RB)</t>
  </si>
  <si>
    <t>[L' E L, U]</t>
  </si>
  <si>
    <t>[r U R: [E, R2']]</t>
  </si>
  <si>
    <t>[r' U': [M', U2]]</t>
  </si>
  <si>
    <t>[U': [L' E L, U2']]</t>
  </si>
  <si>
    <t>[E, L U L']</t>
  </si>
  <si>
    <t>[U R' U', M']</t>
  </si>
  <si>
    <t>[U2': [L' E L, U']]</t>
  </si>
  <si>
    <t>[S': [L' E L, U]]</t>
  </si>
  <si>
    <t>[E', R U' R']</t>
  </si>
  <si>
    <t>[L': [L' E L, U]]</t>
  </si>
  <si>
    <t>[F': [E, R2]]</t>
  </si>
  <si>
    <t>[L F': [L2', E]]</t>
  </si>
  <si>
    <t>[u R': [S, R2]]</t>
  </si>
  <si>
    <t>[u L: [E', L2']]</t>
  </si>
  <si>
    <t>[D L F': [L2', E]]</t>
  </si>
  <si>
    <t>[M: [U R' U', M2']]</t>
  </si>
  <si>
    <t>[R, D' M D]</t>
  </si>
  <si>
    <t>[E R U' R: [E', R2']]</t>
  </si>
  <si>
    <t>[u' R: [E', R2']]</t>
  </si>
  <si>
    <t>[U M': [U, L' E L]]</t>
  </si>
  <si>
    <t>[R' F R, S]</t>
  </si>
  <si>
    <t>[(M L') U': [M', U2]]</t>
  </si>
  <si>
    <t>[M U': [M', U2]]</t>
  </si>
  <si>
    <t>[S U': [R2', S]]</t>
  </si>
  <si>
    <t>[S U' R': [E', R2]]</t>
  </si>
  <si>
    <t>[R: [U R' U', M']]</t>
  </si>
  <si>
    <t>[S': [U, L' E L]]</t>
  </si>
  <si>
    <t>[l F2': [l' S' l, F']]</t>
  </si>
  <si>
    <t>[S U' R: [E, R2']]</t>
  </si>
  <si>
    <t>[D: [R' F R, S']]</t>
  </si>
  <si>
    <t>[L F' L': [S', L2]]</t>
  </si>
  <si>
    <t>[l U': [M', U2]]</t>
  </si>
  <si>
    <t>[R': [F, R' S' R]]</t>
  </si>
  <si>
    <t>[U l': [U' L U, M2']]</t>
  </si>
  <si>
    <t>[R u' R: [E', R2']]</t>
  </si>
  <si>
    <t>[r' R2: [U R' U', M2']]</t>
  </si>
  <si>
    <t>[F' R: [E, R2']]</t>
  </si>
  <si>
    <t>[S': [U, L E' L']]</t>
  </si>
  <si>
    <t>[R' F R, S']</t>
  </si>
  <si>
    <t>[R' F': [R U' R', E]]</t>
  </si>
  <si>
    <t>[L' E2'! L, U]</t>
  </si>
  <si>
    <t>[R U' R', E]</t>
  </si>
  <si>
    <t>[S' U L: [E', L2']]</t>
  </si>
  <si>
    <t>[R' U': [R2', S]]</t>
  </si>
  <si>
    <t>[R' U' R': [E', R2]]</t>
  </si>
  <si>
    <t>[M, U' R U]</t>
  </si>
  <si>
    <t>[E': [R' E R, U']]</t>
  </si>
  <si>
    <t>[R U' R', E']</t>
  </si>
  <si>
    <t>[l F: [l' S' l, F]]</t>
  </si>
  <si>
    <t>[R' U' R: [E, R2']]</t>
  </si>
  <si>
    <t>[U R U: [M', U2]]</t>
  </si>
  <si>
    <t>[L' E2': [L U L', E]]</t>
  </si>
  <si>
    <t>[R: [U', R E' R']]</t>
  </si>
  <si>
    <t>[U L: [E', L2']]</t>
  </si>
  <si>
    <t>[U2: [M, U R U']]</t>
  </si>
  <si>
    <t>[U R': [S, R2]]</t>
  </si>
  <si>
    <t>[M2'!, U' R U]</t>
  </si>
  <si>
    <t>[R' f R': [S, R2]]</t>
  </si>
  <si>
    <t>[(U D) R U: [M', U2]]</t>
  </si>
  <si>
    <t>[M', U' R U]</t>
  </si>
  <si>
    <t>[E: [L E' L', U]]</t>
  </si>
  <si>
    <t>[r' F': [r S r', F']]</t>
  </si>
  <si>
    <t>[L U: [L2, S']]</t>
  </si>
  <si>
    <t>[U' L: [S', L2']]</t>
  </si>
  <si>
    <t>[M, U L' U']</t>
  </si>
  <si>
    <t>[R E2! R', U']</t>
  </si>
  <si>
    <t>[L': [U, L' E L]]</t>
  </si>
  <si>
    <t>[S U' R': [E, R2]]</t>
  </si>
  <si>
    <t>[R' U' R': [E, R2]]</t>
  </si>
  <si>
    <t>[S' U' R': [E, R2]]</t>
  </si>
  <si>
    <t>[L' U L, E]</t>
  </si>
  <si>
    <t>[(U' D) L' U': [M', U2]]</t>
  </si>
  <si>
    <t>[U2: [M, U' L' U]]</t>
  </si>
  <si>
    <t>[R U' R': [E, R2]]</t>
  </si>
  <si>
    <t>[M2'!, U L' U']</t>
  </si>
  <si>
    <t>[U': [S', R' F2! R]]</t>
  </si>
  <si>
    <t>[L' U L, E']</t>
  </si>
  <si>
    <t>[U' R': [E, R2]]</t>
  </si>
  <si>
    <t>[M', U L' U']</t>
  </si>
  <si>
    <t>[R' F: [R S R', F2]]</t>
  </si>
  <si>
    <t>[U R' F': [R S R', F']]</t>
  </si>
  <si>
    <t>[D': [S, L F' L']]</t>
  </si>
  <si>
    <t>[M', U2!]</t>
  </si>
  <si>
    <t>[U' L U: [M', U2]]</t>
  </si>
  <si>
    <t>[U: [R' F' R, S]]</t>
  </si>
  <si>
    <t>[U R' F': [R S' R', F2]]</t>
  </si>
  <si>
    <t>[F: [E, R2]]</t>
  </si>
  <si>
    <t>[D: [S', R' F R]]</t>
  </si>
  <si>
    <t>[U R U': [M', U2]]</t>
  </si>
  <si>
    <t>[U' L' U: [M', U2]]</t>
  </si>
  <si>
    <t>[L F': [E', L2']]</t>
  </si>
  <si>
    <t>[F': [E', L2']]</t>
  </si>
  <si>
    <t>[R' F: [R' S' R, F2]]</t>
  </si>
  <si>
    <t>[D': [S', R F R']]</t>
  </si>
  <si>
    <t>[U R' U': [M', U2]]</t>
  </si>
  <si>
    <t>u2 M' u2 M'</t>
  </si>
  <si>
    <t>[R' F: [E, R2]]</t>
  </si>
  <si>
    <t>[R2' F: [E, R2]]</t>
  </si>
  <si>
    <t>[R' F: [R S' R', F2]]</t>
  </si>
  <si>
    <t>kr (LD)</t>
  </si>
  <si>
    <t>[L' E' L, U]</t>
  </si>
  <si>
    <t>[S U': [R' E R, U']]</t>
  </si>
  <si>
    <t>[F L: [E, L2']]</t>
  </si>
  <si>
    <t>[U': [L' E' L, U2']]</t>
  </si>
  <si>
    <t>[S' U' R': [E', R2]]</t>
  </si>
  <si>
    <t>[(U' D): [S, R' F' R]]</t>
  </si>
  <si>
    <t>[U2': [L' E' L, U']]</t>
  </si>
  <si>
    <t>[L F': [E, L2']]</t>
  </si>
  <si>
    <t>[L F' L: [S', L2']]</t>
  </si>
  <si>
    <t>[L' E': [L U L', E']]</t>
  </si>
  <si>
    <t>[L F: [E', L2']]</t>
  </si>
  <si>
    <t>[D M D', L']</t>
  </si>
  <si>
    <t>[U: [S', R' D R]]</t>
  </si>
  <si>
    <t>[L E: [L' U L, E]]</t>
  </si>
  <si>
    <t>[U: [S', r D' r']]</t>
  </si>
  <si>
    <t>[R' F' R': [S', R2]]</t>
  </si>
  <si>
    <t>[M' U' L': [E', L2]]</t>
  </si>
  <si>
    <t>[L' F' L, S]</t>
  </si>
  <si>
    <t>[U: [S', R' D' R]]</t>
  </si>
  <si>
    <t>[U2: [R E' R', U]]</t>
  </si>
  <si>
    <t>[E' L' U L': [E, L2]]</t>
  </si>
  <si>
    <t>[S: [R E' R', U']]</t>
  </si>
  <si>
    <t>[U: [R E' R', U2]]</t>
  </si>
  <si>
    <t>[U' L U, M']</t>
  </si>
  <si>
    <t>[R E' R', U']</t>
  </si>
  <si>
    <t>[u R: [S, R2']]</t>
  </si>
  <si>
    <t>[l U: [M', U2]]</t>
  </si>
  <si>
    <t>[R: [R E' R', U']]</t>
  </si>
  <si>
    <t>[E, L' U L]</t>
  </si>
  <si>
    <t>[F: [E', L2']]</t>
  </si>
  <si>
    <t>[L', D M D']</t>
  </si>
  <si>
    <t>[u L': [E, L2]]</t>
  </si>
  <si>
    <t>[D' R' F: [E', R2]]</t>
  </si>
  <si>
    <t>[E', R' U' R]</t>
  </si>
  <si>
    <t>[M: [U' L U, M2']]</t>
  </si>
  <si>
    <t>[R' F: [R2, E']]</t>
  </si>
  <si>
    <t>[l' U' L': [E', L2]]</t>
  </si>
  <si>
    <t>[u' R': [E, R2]]</t>
  </si>
  <si>
    <t>[U' M': [U', R E' R']]</t>
  </si>
  <si>
    <t>[D R' F: [R S R', F2]]</t>
  </si>
  <si>
    <t>[R' F2: [R' S' R, F']]</t>
  </si>
  <si>
    <t>[S, L F' L']</t>
  </si>
  <si>
    <t>[U: [L2, S']]</t>
  </si>
  <si>
    <t>[D': [U L U', M2'!]]</t>
  </si>
  <si>
    <t>[l: [U L U', M']]</t>
  </si>
  <si>
    <t>[(U D) R' F': [R S R', F2]]</t>
  </si>
  <si>
    <t>[u L': [E' L2]]</t>
  </si>
  <si>
    <t>[R': [R' S' R, F]]</t>
  </si>
  <si>
    <t>[U L': [E', L2]]</t>
  </si>
  <si>
    <t>[(U' D) L' U: [M', U2]]</t>
  </si>
  <si>
    <t>[R' F': [R' S' R, F2]]</t>
  </si>
  <si>
    <t>[u L: [E, L2']]</t>
  </si>
  <si>
    <t>[D r U: [L2, S']]</t>
  </si>
  <si>
    <t>[U L: [E, L2]]</t>
  </si>
  <si>
    <t>[M2'!, U L2'! U']</t>
  </si>
  <si>
    <t>[S', R F R']</t>
  </si>
  <si>
    <t>[R' S' R, F]</t>
  </si>
  <si>
    <t>0.0_</t>
  </si>
  <si>
    <t>[U': [R2', S']]</t>
  </si>
  <si>
    <t>[U' L F L': [S', L2]]</t>
  </si>
  <si>
    <t>[U2! R': [U R U', M]]</t>
  </si>
  <si>
    <t>[U' r': [E, R U R']]</t>
  </si>
  <si>
    <t>[U' r' R2: [U R' U', M2']]</t>
  </si>
  <si>
    <t>[U' M' U: [M', U2]]</t>
  </si>
  <si>
    <t>[U: [L, U M U']]</t>
  </si>
  <si>
    <t>[U': [S, R B R']]</t>
  </si>
  <si>
    <t>[U' r': [U R U', M']]</t>
  </si>
  <si>
    <t>[D L F': [E, L2']]</t>
  </si>
  <si>
    <t>[U l L2': [U' L U, M2']]</t>
  </si>
  <si>
    <t>[U': [R, U' M U]]</t>
  </si>
  <si>
    <t>[U: [L', U M U']]</t>
  </si>
  <si>
    <t>[D': [R F R', S']]</t>
  </si>
  <si>
    <t>[U: [R' D R, S']]</t>
  </si>
  <si>
    <t>[D' R' F: [R2, E']]</t>
  </si>
  <si>
    <t>[D r U: [S', L2]]</t>
  </si>
  <si>
    <t>[U': [R', U' M U]]</t>
  </si>
  <si>
    <t>[x' F': [E', R U R']]</t>
  </si>
  <si>
    <t>[U l: [E', L' U' L]]</t>
  </si>
  <si>
    <t>[D' l' U': [S, R2']]</t>
  </si>
  <si>
    <t>[D R' F R': [S', R2]]</t>
  </si>
  <si>
    <t>0.1_</t>
  </si>
  <si>
    <t>0.2_</t>
  </si>
  <si>
    <t>0.3_</t>
  </si>
  <si>
    <t>0.4_</t>
  </si>
  <si>
    <t>0.5_</t>
  </si>
  <si>
    <t>0.6_</t>
  </si>
  <si>
    <t>0.7_</t>
  </si>
  <si>
    <t>0.8_</t>
  </si>
  <si>
    <t>0.9_</t>
  </si>
  <si>
    <t>1.0_</t>
  </si>
  <si>
    <t>1.1_</t>
  </si>
  <si>
    <t>1.2_</t>
  </si>
  <si>
    <t>1.3_</t>
  </si>
  <si>
    <t>1.4_</t>
  </si>
  <si>
    <t>1.5_</t>
  </si>
  <si>
    <t>1.6_</t>
  </si>
  <si>
    <t>1.7_</t>
  </si>
  <si>
    <t>1.8_</t>
  </si>
  <si>
    <t>[L E2' L', U]</t>
  </si>
  <si>
    <t>1.9_</t>
  </si>
  <si>
    <t>[R': [U', R' E R]]</t>
  </si>
  <si>
    <t>2.0_</t>
  </si>
  <si>
    <t>[S' U L': [E, L2]]</t>
  </si>
  <si>
    <t>2.1_</t>
  </si>
  <si>
    <t>2.2_</t>
  </si>
  <si>
    <t>[R U': [R2', S]]</t>
  </si>
  <si>
    <t>[R U' R': [E', R2]]</t>
  </si>
  <si>
    <t>2.3_</t>
  </si>
  <si>
    <t>[M, U' R' U]</t>
  </si>
  <si>
    <t>[E: [R E' R', U']]</t>
  </si>
  <si>
    <t>[R u' R': [E', R2]]</t>
  </si>
  <si>
    <t>[U R: [S, R2']]</t>
  </si>
  <si>
    <t>[U R' U: [M', U2]]</t>
  </si>
  <si>
    <t>[L E2': [L' U L, E']]</t>
  </si>
  <si>
    <t>[R' U' R, E']</t>
  </si>
  <si>
    <t>[U L': [E, L2]]</t>
  </si>
  <si>
    <t>[U2: [M, U R' U']]</t>
  </si>
  <si>
    <t>[M2'!, U' R' U]</t>
  </si>
  <si>
    <t>[D': [M', U' R' U]]</t>
  </si>
  <si>
    <t>[R' U' R, E]</t>
  </si>
  <si>
    <t>[D: [U' R' U, M2'!]]</t>
  </si>
  <si>
    <t>[M', U' R' U]</t>
  </si>
  <si>
    <t>[L: [U L' U', M2']]</t>
  </si>
  <si>
    <t>[M': [U' L' U, M2']]</t>
  </si>
  <si>
    <t>[l': [U' L U, M2']]</t>
  </si>
  <si>
    <t>[U2!, M]</t>
  </si>
  <si>
    <t>[U L U', M2'!]</t>
  </si>
  <si>
    <t>[U': [r' U' r, S']]</t>
  </si>
  <si>
    <t>[R: [U' R' U, M2'!]]</t>
  </si>
  <si>
    <t>[M': [U R' U', M2']]</t>
  </si>
  <si>
    <t>[r: [U R' U', M2']]</t>
  </si>
  <si>
    <t>[U' R U, M2'!]</t>
  </si>
  <si>
    <t>[U L' U', M2'!]</t>
  </si>
  <si>
    <t>[M': [U2, M']]</t>
  </si>
  <si>
    <t>[U: [r D' r', S']]</t>
  </si>
  <si>
    <t>[M': [U' L U, M2']]</t>
  </si>
  <si>
    <t>[U L2'! U', M2'!]</t>
  </si>
  <si>
    <t>[U' R' U, M2'!]</t>
  </si>
  <si>
    <t>[U': [S', R B R']]</t>
  </si>
  <si>
    <t>[M': [U R U', M2']]</t>
  </si>
  <si>
    <t>[D' R' F': [R S' R', F2]]</t>
  </si>
  <si>
    <t>[D: [S', R F R']]</t>
  </si>
  <si>
    <t>tr (RD)</t>
  </si>
  <si>
    <t>[U2: [R E R', U]]</t>
  </si>
  <si>
    <t>[M' U R: [E', R2']]</t>
  </si>
  <si>
    <t>[R' F R': [S, R2]]</t>
  </si>
  <si>
    <t>[U: [R E R', U2]]</t>
  </si>
  <si>
    <t>[R' E': [R U' R', E']]</t>
  </si>
  <si>
    <t>[(U' D'): [S, R' F' R]]</t>
  </si>
  <si>
    <t>[R E R', U']</t>
  </si>
  <si>
    <t>[D' M D, R]</t>
  </si>
  <si>
    <t>[F' R': [E, R2']]</t>
  </si>
  <si>
    <t>[R' f R: [S, R2']]</t>
  </si>
  <si>
    <t>[U': [R' F2! R, S']]</t>
  </si>
  <si>
    <t>[R' F': [E, R2]]</t>
  </si>
  <si>
    <t>[R' F R: [S', R2']]</t>
  </si>
  <si>
    <t>[R' F: [E', R2]]</t>
  </si>
  <si>
    <t>[R F R', S']</t>
  </si>
  <si>
    <t>[x' F': [R U R', E']]</t>
  </si>
  <si>
    <t>[D': [U' R' U, M']]</t>
  </si>
  <si>
    <t>[U': [R B R', S']]</t>
  </si>
  <si>
    <t>[D' M D, R']</t>
  </si>
  <si>
    <t>[R': [D R D', M]]</t>
  </si>
  <si>
    <t>[L E' L', U]</t>
  </si>
  <si>
    <t>? U'E'/UE/M'R'</t>
  </si>
  <si>
    <t>[(M R) U': [M', U2]]</t>
  </si>
  <si>
    <t>[U': [L E' L', U2']]</t>
  </si>
  <si>
    <t>[L: [L E' L', U]]</t>
  </si>
  <si>
    <t>[U R U', M']</t>
  </si>
  <si>
    <t>[U2': [L E' L', U']]</t>
  </si>
  <si>
    <t>[E R U' R': [E', R2]]</t>
  </si>
  <si>
    <t>[S': [L E' L', U]]</t>
  </si>
  <si>
    <t>[E', L' U L]</t>
  </si>
  <si>
    <t>[R2' F': [E, R2]]</t>
  </si>
  <si>
    <t>[M' U' L: [E', L2']]</t>
  </si>
  <si>
    <t>[l' U' L: [E', L2']]</t>
  </si>
  <si>
    <t>[F, R' S' R]</t>
  </si>
  <si>
    <t>[U M: [U', L E' L']</t>
  </si>
  <si>
    <t>[E, R' U' R]</t>
  </si>
  <si>
    <t>[M2'!, u' R' u]</t>
  </si>
  <si>
    <t>[R', D' M D]</t>
  </si>
  <si>
    <t>[(U' E') R': [E, R2]]</t>
  </si>
  <si>
    <t>[F': [R U' R', E]]</t>
  </si>
  <si>
    <t>W (DR)</t>
  </si>
  <si>
    <t>[D' R' F: [R S R', F2]]</t>
  </si>
  <si>
    <t>[R' F2: [R S R', F']]</t>
  </si>
  <si>
    <t>[L: [L S L', F']]</t>
  </si>
  <si>
    <t>[U': [R2', S]]</t>
  </si>
  <si>
    <t>[U' R': [E', R2]]</t>
  </si>
  <si>
    <t>[r': [U' R' U, M']]</t>
  </si>
  <si>
    <t>[R' U R: [S, R2']]</t>
  </si>
  <si>
    <t>[u' R': [E', R2]]</t>
  </si>
  <si>
    <t>[S', R' F R]</t>
  </si>
  <si>
    <t>[(U D) R U': [M', U2]]</t>
  </si>
  <si>
    <t>[U' R: [E, R2']]</t>
  </si>
  <si>
    <t>[R' F': [R S' R', F2]]</t>
  </si>
  <si>
    <t>[S, L' F' L]</t>
  </si>
  <si>
    <t>[u' R: [E, R2']]</t>
  </si>
  <si>
    <t>[U': [S', R2']]</t>
  </si>
  <si>
    <t>[D' l' U': [R2', S]]</t>
  </si>
  <si>
    <t>[D: [M2'!, U' R' U]]</t>
  </si>
  <si>
    <t>[D' R' F: [R S' R', F2]]</t>
  </si>
  <si>
    <t>[(U' E') R: [E, R2']]</t>
  </si>
  <si>
    <t>[U R' F' R: [S, R2']]</t>
  </si>
  <si>
    <t>UFr</t>
  </si>
  <si>
    <t>A (FUl)</t>
  </si>
  <si>
    <t>B (ULf)</t>
  </si>
  <si>
    <t>H (FD)</t>
  </si>
  <si>
    <t>sh (LFu)</t>
  </si>
  <si>
    <t>D (LUb)</t>
  </si>
  <si>
    <t>E (UBl)</t>
  </si>
  <si>
    <t>F (BLu)</t>
  </si>
  <si>
    <t>G (BUr)</t>
  </si>
  <si>
    <t>K (URb)</t>
  </si>
  <si>
    <t>I (RBu)</t>
  </si>
  <si>
    <t>J (RUf)</t>
  </si>
  <si>
    <t>[L': [U L U', M']]</t>
  </si>
  <si>
    <t>(UFr)</t>
  </si>
  <si>
    <t>L (FRu)</t>
  </si>
  <si>
    <t>[M': [U' L' U, M']]</t>
  </si>
  <si>
    <t>M (FLd)</t>
  </si>
  <si>
    <t>[L F: [E', L' U L]]</t>
  </si>
  <si>
    <t>N (DFl)</t>
  </si>
  <si>
    <t>[R' F': [E, R U R']]</t>
  </si>
  <si>
    <t>O (LDf)</t>
  </si>
  <si>
    <t>[U L U', M']</t>
  </si>
  <si>
    <t>P (LBd)</t>
  </si>
  <si>
    <t>[U': [S, R' F' R]]</t>
  </si>
  <si>
    <t>st (DLb)</t>
  </si>
  <si>
    <t>R (BDl)</t>
  </si>
  <si>
    <t>[R: [U' R' U, M']]</t>
  </si>
  <si>
    <t>S (BRd)</t>
  </si>
  <si>
    <t>T (DBr)</t>
  </si>
  <si>
    <t>U (RDb)</t>
  </si>
  <si>
    <t>[M': [U R' U', M']]</t>
  </si>
  <si>
    <t>V (RFd)</t>
  </si>
  <si>
    <t>[R' F': [E, R U' R']]</t>
  </si>
  <si>
    <t>ow (DRf)</t>
  </si>
  <si>
    <t>th (FDr)</t>
  </si>
  <si>
    <t>[U' R U, M']</t>
  </si>
  <si>
    <t>[U L' U', M']</t>
  </si>
  <si>
    <t>[U: [R' D' R, S']]</t>
  </si>
  <si>
    <t>pr (FUl)</t>
  </si>
  <si>
    <t>[M': [U' L U, M']]</t>
  </si>
  <si>
    <t>[U' L F L: [S', L2']]</t>
  </si>
  <si>
    <t>[D' R' F R': [S', R2]]</t>
  </si>
  <si>
    <t>[U' R' U, M']</t>
  </si>
  <si>
    <t>[D: [R F R', S']]</t>
  </si>
  <si>
    <t>[Lw U: [L', U l2'! U']]</t>
  </si>
  <si>
    <t>[r': [D R D', M']]</t>
  </si>
  <si>
    <t>[M': [U R U', M']]</t>
  </si>
  <si>
    <t>[U R' F' R': [S, R2]]</t>
  </si>
  <si>
    <t>[3Lw D Rw': [U' R' U, r]]</t>
  </si>
  <si>
    <t>[3Lw' D': [r' D r, U2!]]</t>
  </si>
  <si>
    <t>[Lw U: [U l2'! U']]</t>
  </si>
  <si>
    <t>[U': [R' u' R, U']]</t>
  </si>
  <si>
    <t>[U' (Rw' 3Lw') U: [U r U', R]]</t>
  </si>
  <si>
    <t>[Lw U: [U l U', L]]</t>
  </si>
  <si>
    <t>[x': [L', U' r U]]</t>
  </si>
  <si>
    <t>[4Lw: [U L' U', r]]</t>
  </si>
  <si>
    <t>[4Lw': [U L U', r']]</t>
  </si>
  <si>
    <t>[U2: [R' u' R, U]]</t>
  </si>
  <si>
    <t>[U' L' U, r]</t>
  </si>
  <si>
    <t>[r2: [U' L' U, r']]</t>
  </si>
  <si>
    <t>[U' (Rw' 3Lw') U: [R, U r U']]</t>
  </si>
  <si>
    <t>[3Lw': [U' L U, r]]</t>
  </si>
  <si>
    <t>[3Lw 4Lw2': [r: U' L U]]</t>
  </si>
  <si>
    <t>fl (UBl)</t>
  </si>
  <si>
    <t>[Lw U: [L, U l U']]</t>
  </si>
  <si>
    <t>[3Lw' D' R: [U R U', r]]</t>
  </si>
  <si>
    <t>D'/UR(')U'</t>
  </si>
  <si>
    <t>[x': [U' r U, L']]</t>
  </si>
  <si>
    <t>[r', U L U']</t>
  </si>
  <si>
    <t>[r, U L U']</t>
  </si>
  <si>
    <t>[3Lw D R': [U' R' U, r']]</t>
  </si>
  <si>
    <t>[3Lw: [U L' U', r']]</t>
  </si>
  <si>
    <t>[r, U' L' U]</t>
  </si>
  <si>
    <t>[4Lw': [U' L U, r']]</t>
  </si>
  <si>
    <t>[3Lw' D' Rw: [U R U', r']]</t>
  </si>
  <si>
    <t>[U L U', r’]</t>
  </si>
  <si>
    <t>[R': [U' R U, r']]</t>
  </si>
  <si>
    <t>[r, U R' U']</t>
  </si>
  <si>
    <t>[Rw: [U R' U', r']]</t>
  </si>
  <si>
    <t>[U' R U, r’]</t>
  </si>
  <si>
    <t>[U L' U', r’]</t>
  </si>
  <si>
    <t>[D R': [U' R' U, r']]</t>
  </si>
  <si>
    <t>[r, U' L2'! U]</t>
  </si>
  <si>
    <t>[r, U' L U]</t>
  </si>
  <si>
    <t>[U L2'! U', r']</t>
  </si>
  <si>
    <t>[D' Rw: [U R U', r']]</t>
  </si>
  <si>
    <t>[U' R' U, r']</t>
  </si>
  <si>
    <t>[D' R': [U' R' U, r']]</t>
  </si>
  <si>
    <t>[Rw: [U R U', r']]</t>
  </si>
  <si>
    <t>[r, U R U']</t>
  </si>
  <si>
    <t>[R': [U' R' U, r']]</t>
  </si>
  <si>
    <t>[D Rw: [U R U', r']]</t>
  </si>
  <si>
    <t>[Rw': [U' R U, r]]</t>
  </si>
  <si>
    <t>[Rw: [U' R' U, r']]</t>
  </si>
  <si>
    <t>ch (RBu)</t>
  </si>
  <si>
    <t>[U R' U', r]</t>
  </si>
  <si>
    <t>[r2: [U R' U', r']]</t>
  </si>
  <si>
    <t>[R: [U R' U', r]]</t>
  </si>
  <si>
    <t>[R' Rw2: [U R' U', r']]</t>
  </si>
  <si>
    <t>[r', U' R U]</t>
  </si>
  <si>
    <t>[r, U L' U']</t>
  </si>
  <si>
    <t>[r', U L' U']</t>
  </si>
  <si>
    <t>[r, U' R U]</t>
  </si>
  <si>
    <t>[D Rw': [U' R' U, r]]</t>
  </si>
  <si>
    <t>[3Lw U: [D2'!, r U' r']] ? or U'?</t>
  </si>
  <si>
    <t>kr (LDf)</t>
  </si>
  <si>
    <t>[U' L2'! U, r]</t>
  </si>
  <si>
    <t>[U: [D, r U' r']]</t>
  </si>
  <si>
    <t>[U' L U, r]</t>
  </si>
  <si>
    <t>[r2: [U' L U, r']]</t>
  </si>
  <si>
    <t>[r', U L2'! U']</t>
  </si>
  <si>
    <t>[r, U L2'! U']</t>
  </si>
  <si>
    <t>[D' R: [U R U', r]]</t>
  </si>
  <si>
    <t>[U: [D2'!, r U' r']]</t>
  </si>
  <si>
    <t>[r’, U' R' U]</t>
  </si>
  <si>
    <t>[r, U' R' U]</t>
  </si>
  <si>
    <t>[D' Rw': [U' R' U, r]]</t>
  </si>
  <si>
    <t>[U' Rw: [U' R' U, r]]</t>
  </si>
  <si>
    <t>tr (RDb)</t>
  </si>
  <si>
    <t>[R: [U R U', r]]</t>
  </si>
  <si>
    <t>[U: [D', r U' r']]</t>
  </si>
  <si>
    <t>[U R U', r]</t>
  </si>
  <si>
    <t>[r2: [U R U', r']]</t>
  </si>
  <si>
    <t>W (DRf)</t>
  </si>
  <si>
    <t>[Rw': [U' R' U, r]]</t>
  </si>
  <si>
    <t>[Rw: [U' R U, r']]</t>
  </si>
  <si>
    <t>H (FDr)</t>
  </si>
  <si>
    <t>[3Lw' D': [U2!, r' D r]]</t>
  </si>
  <si>
    <t>[3Lw': [U L U', r]]</t>
  </si>
  <si>
    <t>[r: [U' L' U, r]]</t>
  </si>
  <si>
    <t>[4Lw': [U' L U, r]]</t>
  </si>
  <si>
    <t>[U L U', r]</t>
  </si>
  <si>
    <t>[D R: [U R U', r]]</t>
  </si>
  <si>
    <t>[R: [U' R' U, r]]</t>
  </si>
  <si>
    <t>[r: [U R' U', r]]</t>
  </si>
  <si>
    <t>[Rw: [U R' U', r]]</t>
  </si>
  <si>
    <t>[U L' U', r]</t>
  </si>
  <si>
    <t>[U' R U, r]</t>
  </si>
  <si>
    <t>[3Lw U: [r U' r', D2'!]] ? or U'?</t>
  </si>
  <si>
    <t>[U: [r U' r', D]]</t>
  </si>
  <si>
    <t>[r: [U' L U, r]]</t>
  </si>
  <si>
    <t>[U L2'! U', r]</t>
  </si>
  <si>
    <t>[U: [r U' r', D2'!]]</t>
  </si>
  <si>
    <t>[U' R' U, r]</t>
  </si>
  <si>
    <t>[U' R' Rw2: [U' R' U, r']]</t>
  </si>
  <si>
    <t>[U: [r U' R', D']]</t>
  </si>
  <si>
    <t>[r: [U R U', r]]</t>
  </si>
  <si>
    <t>[R: [U' R U, r]]</t>
  </si>
  <si>
    <t>Ufr</t>
  </si>
  <si>
    <t>A (Ful)</t>
  </si>
  <si>
    <t>B (Ulf)</t>
  </si>
  <si>
    <t>sh (Lfu)</t>
  </si>
  <si>
    <t>D (Lub)</t>
  </si>
  <si>
    <t>E (Ubl)</t>
  </si>
  <si>
    <t>F (Blu)</t>
  </si>
  <si>
    <t>G (Bur)</t>
  </si>
  <si>
    <t>K (Urb)</t>
  </si>
  <si>
    <t>I (Rbu)</t>
  </si>
  <si>
    <t>J (Ruf)</t>
  </si>
  <si>
    <t>(Ufr)</t>
  </si>
  <si>
    <t>L (Fru)</t>
  </si>
  <si>
    <t>M (Fld)</t>
  </si>
  <si>
    <t>N (Dfl)</t>
  </si>
  <si>
    <t>O (Ldf)</t>
  </si>
  <si>
    <t>P (Lbd)</t>
  </si>
  <si>
    <t>st (Dlb)</t>
  </si>
  <si>
    <t>R (Bdl)</t>
  </si>
  <si>
    <t>S (Brd)</t>
  </si>
  <si>
    <t>T (Dbr)</t>
  </si>
  <si>
    <t>U (Rdb)</t>
  </si>
  <si>
    <t>V (Rfd)</t>
  </si>
  <si>
    <t>ow (Drf)</t>
  </si>
  <si>
    <t>th (Fdr)</t>
  </si>
  <si>
    <t>pr (Ful)</t>
  </si>
  <si>
    <t>4x4x4 Parity</t>
  </si>
  <si>
    <t>l' U2 l' U2 M' U2 l' U2 l U2 r' U2 l2</t>
  </si>
  <si>
    <t>5x5x5 Parity</t>
  </si>
  <si>
    <t>l' U2 l' U2 M' U2 l' U2 lm u2 r' u2 l2</t>
  </si>
  <si>
    <t>[U', r u2'! r']</t>
  </si>
  <si>
    <t>[U2!, r u2! r']</t>
  </si>
  <si>
    <t>[U, r u2'! r']</t>
  </si>
  <si>
    <t>Uf</t>
  </si>
  <si>
    <t>A (Fu)</t>
  </si>
  <si>
    <t>B (Ul)</t>
  </si>
  <si>
    <t>sh (Lf)</t>
  </si>
  <si>
    <t>D (Lu)</t>
  </si>
  <si>
    <t>E (Ub)</t>
  </si>
  <si>
    <t>F (Bl)</t>
  </si>
  <si>
    <t>G (Bu)</t>
  </si>
  <si>
    <t>K (Ur)</t>
  </si>
  <si>
    <t>I (Rb)</t>
  </si>
  <si>
    <t>J (Ru)</t>
  </si>
  <si>
    <t>(Uf)</t>
  </si>
  <si>
    <t>L (Fr)</t>
  </si>
  <si>
    <t>M (Fl)</t>
  </si>
  <si>
    <t>N (Df)</t>
  </si>
  <si>
    <t>O (Ld)</t>
  </si>
  <si>
    <t>P (Lb)</t>
  </si>
  <si>
    <t>st (Dl)</t>
  </si>
  <si>
    <t>R (Bd)</t>
  </si>
  <si>
    <t>S (Br)</t>
  </si>
  <si>
    <t>T (Db)</t>
  </si>
  <si>
    <t>U (Rd)</t>
  </si>
  <si>
    <t>V (Rf)</t>
  </si>
  <si>
    <t>ow (Dr)</t>
  </si>
  <si>
    <t>th (Fd)</t>
  </si>
  <si>
    <t>pr (Fu)</t>
  </si>
  <si>
    <t>[r u2'! r', U']</t>
  </si>
  <si>
    <t>[U': [r' u' r, U']]</t>
  </si>
  <si>
    <t>[r u r', U']</t>
  </si>
  <si>
    <t>[4Lw: [U l' U', r]]</t>
  </si>
  <si>
    <t>[3Rw': [U' r U, l]]</t>
  </si>
  <si>
    <t>[U': [r' u r, U']]</t>
  </si>
  <si>
    <t>[r u' r', U']</t>
  </si>
  <si>
    <t>[y': [r' u r, U']]</t>
  </si>
  <si>
    <t>[3Rw: [U' r' U, l']]</t>
  </si>
  <si>
    <t>(3)Rw(')* D'/D' Rw...?</t>
  </si>
  <si>
    <t>[r' d r, U']</t>
  </si>
  <si>
    <t>[U': [r d' r', U']]</t>
  </si>
  <si>
    <t>(3)Rw('*)</t>
  </si>
  <si>
    <t>[y': [U, r' d r]]</t>
  </si>
  <si>
    <t>[y': [r d' r', U']]</t>
  </si>
  <si>
    <t>(3)Lw(')*</t>
  </si>
  <si>
    <t>[r' d' r, U']</t>
  </si>
  <si>
    <t>[U': [r d r', U']]</t>
  </si>
  <si>
    <t>Lw D*/varia/switch</t>
  </si>
  <si>
    <t>[4Lw': [U l U', r']]</t>
  </si>
  <si>
    <t>[U2: [r' u' r, U]]</t>
  </si>
  <si>
    <t>[U: [r' u' r, U2]]</t>
  </si>
  <si>
    <t>[r' u' r, U']</t>
  </si>
  <si>
    <t>URB</t>
  </si>
  <si>
    <t>[U', r u r']</t>
  </si>
  <si>
    <t>Person</t>
  </si>
  <si>
    <t>fl (Ub)</t>
  </si>
  <si>
    <t>Alg</t>
  </si>
  <si>
    <t>Time</t>
  </si>
  <si>
    <t>FUL</t>
  </si>
  <si>
    <t>abe (simpsons)</t>
  </si>
  <si>
    <t>[R' D R D' R' D R, U']</t>
  </si>
  <si>
    <t>LFU</t>
  </si>
  <si>
    <t>shabu (just our luck)</t>
  </si>
  <si>
    <t>[U', R' D R D' R' D R]</t>
  </si>
  <si>
    <t>LUB</t>
  </si>
  <si>
    <t>effie (hunger games)</t>
  </si>
  <si>
    <t>[R' D R D' R' D R, U2!]</t>
  </si>
  <si>
    <t>BLU</t>
  </si>
  <si>
    <t>duff (simpsons)</t>
  </si>
  <si>
    <t>[U2!, R' D R D' R' D R]</t>
  </si>
  <si>
    <t>BUR</t>
  </si>
  <si>
    <t>gekko (pj masks)</t>
  </si>
  <si>
    <t>[R' D R D' R' D R, U]</t>
  </si>
  <si>
    <t>RBU</t>
  </si>
  <si>
    <t>ikshu (la) [kagawa?]</t>
  </si>
  <si>
    <t>[U, R' D R D' R' D R]</t>
  </si>
  <si>
    <t>RUF</t>
  </si>
  <si>
    <t>FRU</t>
  </si>
  <si>
    <t>FLD</t>
  </si>
  <si>
    <t>omar (the wire)</t>
  </si>
  <si>
    <t>[U, R' D R] [D: [R' D' R, U]] (OK KM)</t>
  </si>
  <si>
    <t>LDF</t>
  </si>
  <si>
    <t>moe (simpsons)</t>
  </si>
  <si>
    <t>[D: [U, R' D' R]] [R' D R, U] (MK KO)</t>
  </si>
  <si>
    <t>LBD</t>
  </si>
  <si>
    <t>ripley (luther)</t>
  </si>
  <si>
    <t>[D': [R D R', U']] [U', R D' R'] (RK KP)</t>
  </si>
  <si>
    <t>BDL</t>
  </si>
  <si>
    <t>purbhoo (waterloo)</t>
  </si>
  <si>
    <t>[R D' R', U'] [D': [U', R D R']] (PK KR)</t>
  </si>
  <si>
    <t>BRD</t>
  </si>
  <si>
    <t>assaf (la)</t>
  </si>
  <si>
    <t>[R D R', U'] [D: [U', R D' R']] (UK KS)</t>
  </si>
  <si>
    <t>RDB</t>
  </si>
  <si>
    <t>soos (gravity falls)</t>
  </si>
  <si>
    <t>[D: [R D' R', U']] [U', R D R'] (SK KU)</t>
  </si>
  <si>
    <t>RFD</t>
  </si>
  <si>
    <t>heavy (sumo wrestler)</t>
  </si>
  <si>
    <t>[D': [U, R' D R]] [R' D' R, U] (HK KV)</t>
  </si>
  <si>
    <t>FDR</t>
  </si>
  <si>
    <t>voth (orange is the new black)</t>
  </si>
  <si>
    <t>[U, R' D' R] [D': [R' D R, U]] (VK Kth)</t>
  </si>
  <si>
    <t>ch (Rb)</t>
  </si>
  <si>
    <t>[U2!, r u r']</t>
  </si>
  <si>
    <t>[U, r u' r']</t>
  </si>
  <si>
    <t>fl (Ubl)</t>
  </si>
  <si>
    <t>[r u2! r', U2!]</t>
  </si>
  <si>
    <t>[U': [r' u' r, U2]]</t>
  </si>
  <si>
    <t>[r u r', U2!]</t>
  </si>
  <si>
    <t>[U': [r' u2'! r, U2]]</t>
  </si>
  <si>
    <t>pure (b)/y'</t>
  </si>
  <si>
    <t>[U': [r' u r, U2]]</t>
  </si>
  <si>
    <t>[r u' r', U2!]</t>
  </si>
  <si>
    <t>y (d)/Uw (g)/U</t>
  </si>
  <si>
    <t>y (d)/Rw' (g)/U'</t>
  </si>
  <si>
    <t>U' Rw(') U/D(') RorLw(')?</t>
  </si>
  <si>
    <t>[r' d r, U2!]</t>
  </si>
  <si>
    <t>[U': [r d' r', U2]]</t>
  </si>
  <si>
    <t>Rw(' (b)) U'</t>
  </si>
  <si>
    <t>[r' d2! r, U2!]</t>
  </si>
  <si>
    <t>Lw((')) U'/y</t>
  </si>
  <si>
    <t>D Rw(' (g))/U' Lw(') U/?D'...</t>
  </si>
  <si>
    <t>[r' d' r, U2!]</t>
  </si>
  <si>
    <t>[U': [r d r', U2]]</t>
  </si>
  <si>
    <t>Lw(' (d)) (g)</t>
  </si>
  <si>
    <t>y' (g)/y</t>
  </si>
  <si>
    <t>[3Lw: [U l' U', r']]</t>
  </si>
  <si>
    <t>[U: [r' u2'! r, U2]]</t>
  </si>
  <si>
    <t>[r' u2'! r, U']</t>
  </si>
  <si>
    <t>[4Rw': [U' r U, l']]</t>
  </si>
  <si>
    <t>[y: [r u' r', U']]</t>
  </si>
  <si>
    <t>[r u2'! r', U]</t>
  </si>
  <si>
    <t>[U', r' u' r]</t>
  </si>
  <si>
    <t>[r u' r', U]</t>
  </si>
  <si>
    <t>[U', r' u2'! r]</t>
  </si>
  <si>
    <t>[y: [U', r u' r']]</t>
  </si>
  <si>
    <t>[U', r' u r]</t>
  </si>
  <si>
    <t>U' 3Lw'*/y'</t>
  </si>
  <si>
    <t>U Rw'/pure</t>
  </si>
  <si>
    <t>U' (3)Rw'*</t>
  </si>
  <si>
    <t>[r' d r, U]</t>
  </si>
  <si>
    <t>[U', r d' r']</t>
  </si>
  <si>
    <t>U (3)Rw'*</t>
  </si>
  <si>
    <t>U' 3Rw'*/pure</t>
  </si>
  <si>
    <t>U' 3Lw*</t>
  </si>
  <si>
    <t>U (3)Lw*</t>
  </si>
  <si>
    <t>pure/R'</t>
  </si>
  <si>
    <t>pure/Rw</t>
  </si>
  <si>
    <t>U' (3)Lw*</t>
  </si>
  <si>
    <t>U Lw*</t>
  </si>
  <si>
    <t>ch (Rbu)</t>
  </si>
  <si>
    <t>[U2: [r' u r, U]]</t>
  </si>
  <si>
    <t>[U: [r' u r, U2]]</t>
  </si>
  <si>
    <t>kr (Ld)</t>
  </si>
  <si>
    <t>[r' u r, U']</t>
  </si>
  <si>
    <t>Object</t>
  </si>
  <si>
    <t>B/D (UL/LU)</t>
  </si>
  <si>
    <t>bed</t>
  </si>
  <si>
    <t>[U', r u' r']</t>
  </si>
  <si>
    <t>[U2!, r u' r']</t>
  </si>
  <si>
    <t>E/G (UB/BU)</t>
  </si>
  <si>
    <t>egg</t>
  </si>
  <si>
    <t>F/P (BL/LB)</t>
  </si>
  <si>
    <t>fipple</t>
  </si>
  <si>
    <t>K/J (UR/RU)</t>
  </si>
  <si>
    <t>jack (in the box)</t>
  </si>
  <si>
    <t>(UF/FU)</t>
  </si>
  <si>
    <t>L/V (FR/RF)</t>
  </si>
  <si>
    <t>lever (VL?)</t>
  </si>
  <si>
    <t>M/sh (FL/LF)</t>
  </si>
  <si>
    <t>mushroom</t>
  </si>
  <si>
    <t>N/H (DF/FD)</t>
  </si>
  <si>
    <t>nothing (uh?)</t>
  </si>
  <si>
    <t>st/O (DL/LD)</t>
  </si>
  <si>
    <t>stone/crystal/ostrich</t>
  </si>
  <si>
    <t>S/I (BR/RB)</t>
  </si>
  <si>
    <t>ice (icicle)</t>
  </si>
  <si>
    <t>T/R (DB/BD)</t>
  </si>
  <si>
    <t>tardis</t>
  </si>
  <si>
    <t>W/U (DR/RD)</t>
  </si>
  <si>
    <t>wuque</t>
  </si>
  <si>
    <t>[y': [U', r' u r]]</t>
  </si>
  <si>
    <t>y (d)/Uw (g)/U'</t>
  </si>
  <si>
    <t>[4Rw: [U' r' U, l]]</t>
  </si>
  <si>
    <t>y (d)/Rw' (g)/U</t>
  </si>
  <si>
    <t>U' Rw(') U</t>
  </si>
  <si>
    <t>kr (Ldf)</t>
  </si>
  <si>
    <t>[U', r' d r]</t>
  </si>
  <si>
    <t>[U2!, r' d r]</t>
  </si>
  <si>
    <t>[U, r' d r]</t>
  </si>
  <si>
    <t>tr (Rd)</t>
  </si>
  <si>
    <t>[U2: [r d' r', U]]</t>
  </si>
  <si>
    <t>[U: [r d' r', U2]]</t>
  </si>
  <si>
    <t>[r d' r', U']</t>
  </si>
  <si>
    <t>W (Dr)</t>
  </si>
  <si>
    <t>H (Fd)</t>
  </si>
  <si>
    <t>[y': [r' d r, U]]</t>
  </si>
  <si>
    <t>[U2, r' d2! r]</t>
  </si>
  <si>
    <t>[y': [U', r d' r']]</t>
  </si>
  <si>
    <t>U 3Lw*</t>
  </si>
  <si>
    <t>tr (Rdb)</t>
  </si>
  <si>
    <t>[U', r' d' r]</t>
  </si>
  <si>
    <t>[U2!, r' d' r]</t>
  </si>
  <si>
    <t>pure/Rw'</t>
  </si>
  <si>
    <t>[U2: [r d r', U]]</t>
  </si>
  <si>
    <t>[U: [r d r', U2]]</t>
  </si>
  <si>
    <t>pure/R</t>
  </si>
  <si>
    <t>W (Drf)</t>
  </si>
  <si>
    <t>H (Fdr)</t>
  </si>
  <si>
    <t>[3Lw': [U l U', r]]</t>
  </si>
  <si>
    <t>U L' U' L F L' U' L U L F' L2' U L</t>
  </si>
  <si>
    <t>A</t>
  </si>
  <si>
    <t>E</t>
  </si>
  <si>
    <t>th</t>
  </si>
  <si>
    <t>I</t>
  </si>
  <si>
    <t>O</t>
  </si>
  <si>
    <t>U R' U' R U R' F' R U R' U' R' F R2 U2'</t>
  </si>
  <si>
    <t>ew</t>
  </si>
  <si>
    <t>ow</t>
  </si>
  <si>
    <t>pr</t>
  </si>
  <si>
    <t>prabhakar (waterloo)</t>
  </si>
  <si>
    <t>precious (precious (film))</t>
  </si>
  <si>
    <t>predator (predator OR alien vs predator)</t>
  </si>
  <si>
    <t>preetham (la)</t>
  </si>
  <si>
    <t>prof (tintin)</t>
  </si>
  <si>
    <t>pregler? (youtuber)</t>
  </si>
  <si>
    <t>prothero (v for vendetta)</t>
  </si>
  <si>
    <t>price (the wire)</t>
  </si>
  <si>
    <t>pridgen? (drumer)</t>
  </si>
  <si>
    <t>prock (the awesomes)</t>
  </si>
  <si>
    <t>prim (hunger games)</t>
  </si>
  <si>
    <t>prince (simpsons), prince (music?), princess (zelda?)</t>
  </si>
  <si>
    <t>proton (big bang theory)</t>
  </si>
  <si>
    <t>prop (proposition joe; the wire)</t>
  </si>
  <si>
    <t>preston (gravity falls)</t>
  </si>
  <si>
    <t>priscilla (van)</t>
  </si>
  <si>
    <t>pratt (chris, actor), pratt (flightplan)?</t>
  </si>
  <si>
    <t>prunella (arthur)</t>
  </si>
  <si>
    <t>prowler (spiderman)</t>
  </si>
  <si>
    <t>L U L' U' L F L' U' L U L F' L2' U</t>
  </si>
  <si>
    <t>baelish (game of thones)</t>
  </si>
  <si>
    <t>bubs (the wire)</t>
  </si>
  <si>
    <t>basher (ocean’s _)</t>
  </si>
  <si>
    <t>bud (gideon’s father; gravity falls)</t>
  </si>
  <si>
    <t>bean (mr bean)</t>
  </si>
  <si>
    <t>buffy (buffy the vampire slayer)</t>
  </si>
  <si>
    <t>big head (nelson; silicon valley)</t>
  </si>
  <si>
    <t>beth (rick and morty)</t>
  </si>
  <si>
    <t>biden (vice president, politics)</t>
  </si>
  <si>
    <t>badger (firefly)</t>
  </si>
  <si>
    <t>baxter (waterloo)</t>
  </si>
  <si>
    <t>baltar (battlestar galactica)</t>
  </si>
  <si>
    <t>bomba (epic)</t>
  </si>
  <si>
    <t>bender (futurama)</t>
  </si>
  <si>
    <t>U' L U' R U R' L' U2 R U R' U'</t>
  </si>
  <si>
    <t>bojack (bojack horseman)</t>
  </si>
  <si>
    <t>bop (purple dinosaur; barney)</t>
  </si>
  <si>
    <t>buster (arthur)</t>
  </si>
  <si>
    <t>berta (two and a half men)</t>
  </si>
  <si>
    <t>bassili (maida; la)</t>
  </si>
  <si>
    <t>batman (batman)</t>
  </si>
  <si>
    <t>boomer (battlestar galactica)</t>
  </si>
  <si>
    <t>beverly (star trek the next generation)</t>
  </si>
  <si>
    <t>bowser (nintendo)</t>
  </si>
  <si>
    <t>shane (grogan; cuber)</t>
  </si>
  <si>
    <t>shush (lilo and stitch)</t>
  </si>
  <si>
    <t>shadrach (shadrach)</t>
  </si>
  <si>
    <t>shiek (nintendo)</t>
  </si>
  <si>
    <t>chef (gordon ramsey)</t>
  </si>
  <si>
    <t>shaggy (scooby-doo)</t>
  </si>
  <si>
    <t>shathra (marvel)</t>
  </si>
  <si>
    <t>shyguy (nintendo)</t>
  </si>
  <si>
    <t>shajort (mark; cuber)</t>
  </si>
  <si>
    <t>shaq (shaquille o’neal)</t>
  </si>
  <si>
    <t>sheldon (the big bang theory)</t>
  </si>
  <si>
    <t>shambo (survivor)</t>
  </si>
  <si>
    <t>sean (hustle)</t>
  </si>
  <si>
    <t>scholtz (waterloo)</t>
  </si>
  <si>
    <t>shepherd (firefly)</t>
  </si>
  <si>
    <t>shardene (the wire)</t>
  </si>
  <si>
    <t>chassis? (car character?)</t>
  </si>
  <si>
    <t>R U R' F' R U R' U' R' F R2 U' R' U'</t>
  </si>
  <si>
    <t>shit (mr hankey from south park)</t>
  </si>
  <si>
    <t>sheu (everett; la/cuber)</t>
  </si>
  <si>
    <t>shivam (cuber)</t>
  </si>
  <si>
    <t>shao (waterloo)</t>
  </si>
  <si>
    <t>dave (cuber)</t>
  </si>
  <si>
    <t>dobby (harry potter)</t>
  </si>
  <si>
    <t>dash (the incredibles)</t>
  </si>
  <si>
    <t>dudley (harry potter)</t>
  </si>
  <si>
    <t>dean (la)</t>
  </si>
  <si>
    <t>doug (van)</t>
  </si>
  <si>
    <t>death (grim reaper)</t>
  </si>
  <si>
    <t>diana (doctor who)</t>
  </si>
  <si>
    <t>digit (an american tail)</t>
  </si>
  <si>
    <t>doctor (tennant; doctor who)</t>
  </si>
  <si>
    <t>dylan (rhodes; now you see me)</t>
  </si>
  <si>
    <t>dumbledoor (harry potter)</t>
  </si>
  <si>
    <t>danny (hustle)</t>
  </si>
  <si>
    <t>domo (bear mascot thing for japan)</t>
  </si>
  <si>
    <t>dipper (gravity falls)</t>
  </si>
  <si>
    <t>destro (gi joe)</t>
  </si>
  <si>
    <t>daario (game of thrones)</t>
  </si>
  <si>
    <t>disco (stu; simpsons)</t>
  </si>
  <si>
    <t>determined (gravity falls)</t>
  </si>
  <si>
    <t>dewey (malcolm in the middle)</t>
  </si>
  <si>
    <t>davros (doctor who)</t>
  </si>
  <si>
    <t>downey (robert downey jr; iron man)</t>
  </si>
  <si>
    <t>fl</t>
  </si>
  <si>
    <t>pray (to god version of obj in sky)</t>
  </si>
  <si>
    <t>flay (bobby; chef)</t>
  </si>
  <si>
    <t>prabhakar (use stylus to draw/control obj)</t>
  </si>
  <si>
    <t>flubber (flubber)</t>
  </si>
  <si>
    <t>flash (the flash)</t>
  </si>
  <si>
    <t>pressure (squeeze sides of obj with both hands)</t>
  </si>
  <si>
    <t>produce (like magician from top hat)</t>
  </si>
  <si>
    <t>fludd (mario; nintendo)</t>
  </si>
  <si>
    <t>preserve (incubate, like a fossil)</t>
  </si>
  <si>
    <t>prophecy (see obj in crystal ball)</t>
  </si>
  <si>
    <t>flea (a bug’s life)</t>
  </si>
  <si>
    <t>prognose (mri obj)</t>
  </si>
  <si>
    <t>fluffy (three-headed dog; harry potter)</t>
  </si>
  <si>
    <t>pry (try to open/break obj apart with crobar)</t>
  </si>
  <si>
    <t>project (picture/movie of obj on screen)</t>
  </si>
  <si>
    <t>prick (poke obj with needle)</t>
  </si>
  <si>
    <t>prolong (stretch obj)</t>
  </si>
  <si>
    <t>premier (draw curtains to reveal obj)</t>
  </si>
  <si>
    <t>print (pick up picture of obj from print machine)</t>
  </si>
  <si>
    <t>protest (hold up signs and yell at obj)</t>
  </si>
  <si>
    <t>flagg (gi joe)? [in 2020 march movie]</t>
  </si>
  <si>
    <t>propose (down on knee, show ring)</t>
  </si>
  <si>
    <t>prestige (place medal around ‘neck’ of obj)</t>
  </si>
  <si>
    <t>fleishman (jeremy; cuber)</t>
  </si>
  <si>
    <t>?prayer?</t>
  </si>
  <si>
    <t>press (button on obj, it activates)</t>
  </si>
  <si>
    <t>fledge (winged horse; narnia), fledge (stock zelda character; nintendo)</t>
  </si>
  <si>
    <t>protect (shield obj from harm)</t>
  </si>
  <si>
    <t>flik (a bug’s life)</t>
  </si>
  <si>
    <t>prune (cut away twigs from obj)</t>
  </si>
  <si>
    <t>provide (supplies to obj)</t>
  </si>
  <si>
    <t>prowl (slowly circle obj menacingly)</t>
  </si>
  <si>
    <t>flim (flim-flam; scooby-doo)</t>
  </si>
  <si>
    <t>bathe (put obj in bathtub)</t>
  </si>
  <si>
    <t>flanders (simpsons)</t>
  </si>
  <si>
    <t>bubble (blow bubble which encapsulates obj)</t>
  </si>
  <si>
    <t>bash (hold obj with one hand and smash/hit it into the ground/wall)</t>
  </si>
  <si>
    <t>flo (progressive)</t>
  </si>
  <si>
    <t>bid (raise numbered indicator thing to try and buy obj)</t>
  </si>
  <si>
    <t>flapjack (the marvelous misadventures of flapjack), flip (flip the frog; disney), flip (flip’s twisted world)</t>
  </si>
  <si>
    <t>beat (obj with 2 sticks like a drum)</t>
  </si>
  <si>
    <t>fluster (cornichon in mini ufo, fluster cluck)</t>
  </si>
  <si>
    <t>buffer (shine obj with handheld machine)</t>
  </si>
  <si>
    <t>fleur (harry potter)</t>
  </si>
  <si>
    <t>beg (plead for mercy at feet of obj on knees)</t>
  </si>
  <si>
    <t>bother (poke obj)</t>
  </si>
  <si>
    <t>flitwick (harry potter)</t>
  </si>
  <si>
    <t>buy (exchange cash/money for obj, buying from previous person)</t>
  </si>
  <si>
    <t>flutie (first principal; buffy the vampire slayer)</t>
  </si>
  <si>
    <t>budge (hit/lean into obj with shoulder)</t>
  </si>
  <si>
    <t>flavius (the hunger games)</t>
  </si>
  <si>
    <t>backhand (hit with tennis racket)</t>
  </si>
  <si>
    <t>flower (skunk in disney)</t>
  </si>
  <si>
    <t>balloon (obj floats away tied to lots of balloons)</t>
  </si>
  <si>
    <t>bomb (throw cartoon bomb at obj)</t>
  </si>
  <si>
    <t>bandage (apply bandaid to obj)</t>
  </si>
  <si>
    <t>bowl (roll bowling ball at obj like its a pin)</t>
  </si>
  <si>
    <t>baptize (religious ceremony thing)</t>
  </si>
  <si>
    <t>bust (dealing blackjack for obj and it goes over 21, flips table)</t>
  </si>
  <si>
    <t>birth (person gives birth to obj)</t>
  </si>
  <si>
    <t>busk (obj drops coins in instrument case in front of person playing instrument)</t>
  </si>
  <si>
    <t>batter (mix obj in a batter bowl with electric batter)</t>
  </si>
  <si>
    <t>boomerang (throw obj away and it comes back to hit person)</t>
  </si>
  <si>
    <t>faith (buffy the vampire slayer)</t>
  </si>
  <si>
    <t>bevel (measure slope of obj with bevel)</t>
  </si>
  <si>
    <t>fabio (de’rose; cuber)</t>
  </si>
  <si>
    <t>bow (bend down respectfully towards obj)</t>
  </si>
  <si>
    <t>fisher king (merlin)</t>
  </si>
  <si>
    <t>fiddleford (old man mcgucket; gravity falls)</t>
  </si>
  <si>
    <t>fee (orphan black)</t>
  </si>
  <si>
    <t>fifty (johnny fifty, the wire)</t>
  </si>
  <si>
    <t>figgis (cyril; archer)</t>
  </si>
  <si>
    <t>father (dad, van)</t>
  </si>
  <si>
    <t>firefighter (generic)</t>
  </si>
  <si>
    <t>fudge (cornelius; harry potter)</t>
  </si>
  <si>
    <t>fox (terry)</t>
  </si>
  <si>
    <t>phil (van)</t>
  </si>
  <si>
    <t>feminist (emma watson)</t>
  </si>
  <si>
    <t>fan (waterloo)</t>
  </si>
  <si>
    <t>shave (pull razor across obj)</t>
  </si>
  <si>
    <t>foe (willem defoe)</t>
  </si>
  <si>
    <t>shabby (put overly large battered worn out coat on obj)</t>
  </si>
  <si>
    <t>phippen (lost)</t>
  </si>
  <si>
    <t>shush</t>
  </si>
  <si>
    <t>fast tony (ice age)</t>
  </si>
  <si>
    <t>shadow (copy obj like a shadow, or cast shadow on obj)</t>
  </si>
  <si>
    <t>forte (shinko; van/waterloo/cuber/la)</t>
  </si>
  <si>
    <t>sheathe (put obj in sword sheath)</t>
  </si>
  <si>
    <t>fisk (battlestar galactica)</t>
  </si>
  <si>
    <t>shuffle (permute several of the obj repeatedly under cups)</t>
  </si>
  <si>
    <t>fatima (little mosque on the prairie)</t>
  </si>
  <si>
    <t>shag (british)</t>
  </si>
  <si>
    <t>fousey (fouseytube; youtuber)</t>
  </si>
  <si>
    <t>shathra (bundle up obj as spider does)</t>
  </si>
  <si>
    <t>shine (point flashlight on obj)</t>
  </si>
  <si>
    <t>shajort (turn/solve obj while blindfolded)</t>
  </si>
  <si>
    <t>shackle (put single old-fashion ankle cuff on obj, with chains and a large heavy ball)</t>
  </si>
  <si>
    <t>shell (throw green/red shell at obj like nintendo)</t>
  </si>
  <si>
    <t>shampoo (squeeze shampoo from bottle and rub on obj)</t>
  </si>
  <si>
    <t>favell (rebecca)</t>
  </si>
  <si>
    <t>shunt (place a tube in the obj and liquid flows out)</t>
  </si>
  <si>
    <t>fowler (amy; the big bang theory)</t>
  </si>
  <si>
    <t>show(case) (put obj in glass display case)</t>
  </si>
  <si>
    <t>shepard (guide obj with staff from a distance)</t>
  </si>
  <si>
    <t>schist (cut obj into rock slabs)</t>
  </si>
  <si>
    <t>sharpen (obj in pencil sharpener)</t>
  </si>
  <si>
    <t>chassis (place obj on supporting underbody of car framwork)</t>
  </si>
  <si>
    <t>shit (poop out obj)</t>
  </si>
  <si>
    <t>shoot (shoot obj with gun)</t>
  </si>
  <si>
    <t>shovel (scoop obj around in pieces with shovel)</t>
  </si>
  <si>
    <t>shower (shower head showering obj)</t>
  </si>
  <si>
    <t>gaeta (battlestar galactica)</t>
  </si>
  <si>
    <t>goblin (harry potter)</t>
  </si>
  <si>
    <t>gosh (comey; saturday night live reference)</t>
  </si>
  <si>
    <t>gideon (gravity falls)</t>
  </si>
  <si>
    <t>gearhead (rick and morty)</t>
  </si>
  <si>
    <t>giffany (gravity falls)</t>
  </si>
  <si>
    <t>gaga (lady gaga)</t>
  </si>
  <si>
    <t>gothel (tangled)</t>
  </si>
  <si>
    <t>date (sit at fancy dinner table across from obj)</t>
  </si>
  <si>
    <t>gaius (merlin)</t>
  </si>
  <si>
    <t>dab (dab towards obj)</t>
  </si>
  <si>
    <t>gadget (inspector; inspector gadget)</t>
  </si>
  <si>
    <t>dishwash (wash with sponge and rubber gloves)</t>
  </si>
  <si>
    <t>dead (person is dead)</t>
  </si>
  <si>
    <t>gollum (lord of the rings)</t>
  </si>
  <si>
    <t>deal (deal cards to self and obj)</t>
  </si>
  <si>
    <t>gimly (lord of the rings)</t>
  </si>
  <si>
    <t>defuse (cut some wires like a bomb)</t>
  </si>
  <si>
    <t>dig (obj is burried in dirt, person finds it by digging with a shovel)</t>
  </si>
  <si>
    <t>gandalf (lord of the rings)</t>
  </si>
  <si>
    <t>dethrone (push obj off of iron throne)</t>
  </si>
  <si>
    <t>goldenfold (rick and morty)</t>
  </si>
  <si>
    <t>dive (pretend to trip over obj like soccer)</t>
  </si>
  <si>
    <t>gappa (japanese movie monster; gappa the triphibian monster)</t>
  </si>
  <si>
    <t>dodge (obj like matrix bullets)</t>
  </si>
  <si>
    <t>gaston (beauty and the beast)</t>
  </si>
  <si>
    <t>document (person talks about obj as if on tv with microphone and obj in background)</t>
  </si>
  <si>
    <t>garfield (garfield)</t>
  </si>
  <si>
    <t>delete (person presses button and obj vanishes)</t>
  </si>
  <si>
    <t>gus (recess OR breaking bad)</t>
  </si>
  <si>
    <t>dump (obj out of bag onto ground)</t>
  </si>
  <si>
    <t>gottlieb (michael; cuber)</t>
  </si>
  <si>
    <t>dandruff (ruffle hair over obj, dandruff falls onto obj)</t>
  </si>
  <si>
    <t>goofy (disney)</t>
  </si>
  <si>
    <t>gavin (silicon valley)</t>
  </si>
  <si>
    <t>gauss (math)</t>
  </si>
  <si>
    <t>H</t>
  </si>
  <si>
    <t>hays (kevin; cuber)</t>
  </si>
  <si>
    <t>hibbert (simpsons)</t>
  </si>
  <si>
    <t>hasher (the hash slinging slasher; spongebob)</t>
  </si>
  <si>
    <t>haddock (tintin)</t>
  </si>
  <si>
    <t>helo (karl agathon; battlestar galactica)</t>
  </si>
  <si>
    <t>heffernan (king of queens)</t>
  </si>
  <si>
    <t>hagrid (harry potter)</t>
  </si>
  <si>
    <t>hawthorne (community)</t>
  </si>
  <si>
    <t>heidi (home improvement)</t>
  </si>
  <si>
    <t>hedges (wallace and gromit)</t>
  </si>
  <si>
    <t>hawking (stephen)</t>
  </si>
  <si>
    <t>hell boy (hell boy)</t>
  </si>
  <si>
    <t>hamm (toy story)</t>
  </si>
  <si>
    <t>hank (king of the hill)</t>
  </si>
  <si>
    <t>homer (simpsons)</t>
  </si>
  <si>
    <t>hoppen (van)</t>
  </si>
  <si>
    <t>heston (charlton; bowling for columbine)</t>
  </si>
  <si>
    <t>hardwick (chris; cuber)</t>
  </si>
  <si>
    <t>hasan (minhaj; the daily show)</t>
  </si>
  <si>
    <t>hitler (politics)</t>
  </si>
  <si>
    <t>hoover (simpsons)</t>
  </si>
  <si>
    <t>house (house)</t>
  </si>
  <si>
    <t>ch</t>
  </si>
  <si>
    <t>che (saturday night live)</t>
  </si>
  <si>
    <t>chubbs (donnie; orphan black)</t>
  </si>
  <si>
    <t>cheshire (cat; alice in wonderland)</t>
  </si>
  <si>
    <t>chad (orphan black)</t>
  </si>
  <si>
    <t>chief (battlestar galactica)</t>
  </si>
  <si>
    <t>chaff (hunger games)</t>
  </si>
  <si>
    <t>chug (fuel truck; cars)</t>
  </si>
  <si>
    <t>chatham? cheth?</t>
  </si>
  <si>
    <t>chime (final fantasy)</t>
  </si>
  <si>
    <t>chuj (pineapple guy; cuber)</t>
  </si>
  <si>
    <t>chicken (chicken little)</t>
  </si>
  <si>
    <t>chelsea (two and a half men)</t>
  </si>
  <si>
    <t>chumley (walrus; tennessee tuxedo and his tales)</t>
  </si>
  <si>
    <t>chen fei (waterloo)</t>
  </si>
  <si>
    <t>cho (evie; orphan black)</t>
  </si>
  <si>
    <t>chapman (orange is the new black)</t>
  </si>
  <si>
    <t>dome (place dome on obj)</t>
  </si>
  <si>
    <t>chester (bennington; linkin park; music)</t>
  </si>
  <si>
    <t>charlie (two and a half men)</t>
  </si>
  <si>
    <t>dip (dip obj in sauce)</t>
  </si>
  <si>
    <t>dust (wipe obj with duster)</t>
  </si>
  <si>
    <t>chiss (star wars)</t>
  </si>
  <si>
    <t>direct (movie clap board is clapped)</t>
  </si>
  <si>
    <t>chet (fairly odd parents)</t>
  </si>
  <si>
    <t>disguise (put fake mustache on obj)</t>
  </si>
  <si>
    <t>chewie (star wars)</t>
  </si>
  <si>
    <t>detect (find obj with metal detector)</t>
  </si>
  <si>
    <t>chav (rose; doctor who)</t>
  </si>
  <si>
    <t>chow (the hangover)</t>
  </si>
  <si>
    <t>duel (fight with swords)</t>
  </si>
  <si>
    <t>divorce (take off ring and throw it at feet of obj)</t>
  </si>
  <si>
    <t>download (find obj online and download it on laptop)</t>
  </si>
  <si>
    <t>jay (jayden mcneill; cuber)</t>
  </si>
  <si>
    <t>jabari (cuber)</t>
  </si>
  <si>
    <t>josh (van)</t>
  </si>
  <si>
    <t>jad (van)</t>
  </si>
  <si>
    <t>genie (aladdin)</t>
  </si>
  <si>
    <t>flay (skin/peel)</t>
  </si>
  <si>
    <t>jeff (survivor)</t>
  </si>
  <si>
    <t>flubber (obj is made of flubber)</t>
  </si>
  <si>
    <t>jaguar (rick and morty)</t>
  </si>
  <si>
    <t>flash (briefly lift shirt for obj)</t>
  </si>
  <si>
    <t>jethro (merlin; merlin(/doctor who))</t>
  </si>
  <si>
    <t>giles (buffy the vampire slayer)</t>
  </si>
  <si>
    <t>judge (judy; judge judy)</t>
  </si>
  <si>
    <t>flood (cause water to inundate obj)</t>
  </si>
  <si>
    <t>jack (sparrow; pirates of the caribbean)</t>
  </si>
  <si>
    <t>fleece (take money)</t>
  </si>
  <si>
    <t>jellybean (rick and morty)</t>
  </si>
  <si>
    <t>fluff (run cotton ball through/along obj)</t>
  </si>
  <si>
    <t>jim (waterloo)</t>
  </si>
  <si>
    <t>jenny (doctor’s daughter; doctor who)</t>
  </si>
  <si>
    <t>flag (plant flagpole in obj to claim it)</t>
  </si>
  <si>
    <t>joe (la)</t>
  </si>
  <si>
    <t>japanese (michael young; cuber)</t>
  </si>
  <si>
    <t>fly (ride obj in air)</t>
  </si>
  <si>
    <t>justin (jaffray; waterloo/cuber)</t>
  </si>
  <si>
    <t>fledge (attach feathers to obj (maybe to make wings))</t>
  </si>
  <si>
    <t>jorah (game of thrones)</t>
  </si>
  <si>
    <t>jessie (toy story)</t>
  </si>
  <si>
    <t>flick (obj and it goes flying against wall)</t>
  </si>
  <si>
    <t>jetson (george jetson; the jetsons)</t>
  </si>
  <si>
    <t>julian (waterloo/cuber)</t>
  </si>
  <si>
    <t>phlegm (sneeze phlegm all over obj)</t>
  </si>
  <si>
    <t>javeed (silicon valley)</t>
  </si>
  <si>
    <t>flaunt (neon display sign in form ob obj, or hang christmas lights around obj)</t>
  </si>
  <si>
    <t>float (hold obj afloat on water surface)</t>
  </si>
  <si>
    <t>jao (waterloo)</t>
  </si>
  <si>
    <t>flip (like a pancake)</t>
  </si>
  <si>
    <t>fluster (drop obj into chikkinator)</t>
  </si>
  <si>
    <t>flare (shoot obj straight up out of gun)</t>
  </si>
  <si>
    <t>floss (rub floss on/along obj)</t>
  </si>
  <si>
    <t>flatten (drive over obj in that construction vehicle)</t>
  </si>
  <si>
    <t>floo (use floo powder to transport obj (harry potter))</t>
  </si>
  <si>
    <t>flavia (offer coffee to obj)</t>
  </si>
  <si>
    <t>flower (water ground and obj flowers up)</t>
  </si>
  <si>
    <t>kaylee (firefly)</t>
  </si>
  <si>
    <t>cobb (inception)</t>
  </si>
  <si>
    <t>cosima (orphan black)</t>
  </si>
  <si>
    <t>cuddy (house)</t>
  </si>
  <si>
    <t>faint (obj causes person to fell over)</t>
  </si>
  <si>
    <t>fibrillate (use defibrillator as if obj had heart attack)</t>
  </si>
  <si>
    <t>fish (for obj with fishing rod)</t>
  </si>
  <si>
    <t>fiddle (play obj like a fiddle)</t>
  </si>
  <si>
    <t>kima (the wire)</t>
  </si>
  <si>
    <t>feed (spoon feed obj like a baby)</t>
  </si>
  <si>
    <t>kuffs (kuffs)</t>
  </si>
  <si>
    <t>fifty (blow out candles on obj)</t>
  </si>
  <si>
    <t>kagawa (soccer)</t>
  </si>
  <si>
    <t>fog (produce fog around obj with fog machine)</t>
  </si>
  <si>
    <t>kathryn (hare; waterloo)</t>
  </si>
  <si>
    <t>fathom (measure length of obj on ground)</t>
  </si>
  <si>
    <t>qyburn (game of thrones)</t>
  </si>
  <si>
    <t>kudgel (nintendo)</t>
  </si>
  <si>
    <t>fire (throw small box of office supplies at obj and yell ‘you’re fired’ then point away)</t>
  </si>
  <si>
    <t>cook (bill; waterloo)</t>
  </si>
  <si>
    <t>fidget (spin obj on finger like fidget spinner)</t>
  </si>
  <si>
    <t>khal (game of thrones)</t>
  </si>
  <si>
    <t>fax (scan obj into photocopy maching)</t>
  </si>
  <si>
    <t>comic (book guy; simpsons)</t>
  </si>
  <si>
    <t>candy (wreck it ralph)</t>
  </si>
  <si>
    <t>filter (shake obj in a strainer as liquid drips out)</t>
  </si>
  <si>
    <t>coady (orphan black)</t>
  </si>
  <si>
    <t>fumble (drop obj while almost catching it several times)</t>
  </si>
  <si>
    <t>captain (jack; doctor who)</t>
  </si>
  <si>
    <t>fan (wave japanese fan)</t>
  </si>
  <si>
    <t>kosta (michael; the daily show)</t>
  </si>
  <si>
    <t>focus (concentrate sunlight on obj using magnifying glass)</t>
  </si>
  <si>
    <t>kirsten (waterloo)</t>
  </si>
  <si>
    <t>fap (the obj)</t>
  </si>
  <si>
    <t>cassandra (only fools and horses)</t>
  </si>
  <si>
    <t>fast-forward (point remote at obj)</t>
  </si>
  <si>
    <t>katniss (hunger games)</t>
  </si>
  <si>
    <t>forge (create obj from liquid metal)</t>
  </si>
  <si>
    <t>cooper (cnn)</t>
  </si>
  <si>
    <t>fasten (tie and fasten airplane seatbelt on obj)</t>
  </si>
  <si>
    <t>cavil (battlestar galactica)</t>
  </si>
  <si>
    <t>footprint (press obj into mold)</t>
  </si>
  <si>
    <t>fool (pretend to throw something, confusing obj)</t>
  </si>
  <si>
    <t>favaro (dunk basketball in net and it comes down on obj)</t>
  </si>
  <si>
    <t>foul (gently touch obj with bat)</t>
  </si>
  <si>
    <t>count (rugen; princess bride)</t>
  </si>
  <si>
    <t>gage (throw down glove in front of obj as a challenge)</t>
  </si>
  <si>
    <t>gobble (eat obj greedily like yoshi or kirby?)</t>
  </si>
  <si>
    <t>gush (spray water out of mouth onto obj)</t>
  </si>
  <si>
    <t>giddy (sit on obj like a horse and say giddy-up with reins)</t>
  </si>
  <si>
    <t>guillotine (obj gets cut in half by falling blade)</t>
  </si>
  <si>
    <t>leia (star wars)</t>
  </si>
  <si>
    <t>gift (put obj in box, close it, and wrap it up)</t>
  </si>
  <si>
    <t>lebowski (the big lebowski)</t>
  </si>
  <si>
    <t>gag (put gag on obj)</t>
  </si>
  <si>
    <t>lash (marvel)</t>
  </si>
  <si>
    <t>gather (pick up obj(s) and put in woven basket)</t>
  </si>
  <si>
    <t>lydia (arthur)</t>
  </si>
  <si>
    <t>geyser (place obj on geyser and then it erupts upwards)</t>
  </si>
  <si>
    <t>gudgeon (attack obj with gudgeon)</t>
  </si>
  <si>
    <t>gawk (act awkward/stare at obj)</t>
  </si>
  <si>
    <t>golf (hit obj with golf club)</t>
  </si>
  <si>
    <t>lisa (simpsons)</t>
  </si>
  <si>
    <t>gamble (bet money on obj, or bet obj)</t>
  </si>
  <si>
    <t>laflamme (silicon valley)</t>
  </si>
  <si>
    <t>gun (hold gun up to/against obj)</t>
  </si>
  <si>
    <t>goffer (iron obj)</t>
  </si>
  <si>
    <t>legolas (lord of the rings)</t>
  </si>
  <si>
    <t>lethbridge (doctor who)</t>
  </si>
  <si>
    <t>gappa (breath fire on obj)</t>
  </si>
  <si>
    <t>lightyear (buzz; toy story)</t>
  </si>
  <si>
    <t>guestimate (person is blindfolded and guesses what the obj is by feeling it)</t>
  </si>
  <si>
    <t>guard (obj like its in a museum, standing in front with a spear)</t>
  </si>
  <si>
    <t>lejeune (kennan; cuber)</t>
  </si>
  <si>
    <t>lockhart (harry potter)</t>
  </si>
  <si>
    <t>gas (fill up obj with gas like at gas station)</t>
  </si>
  <si>
    <t>lily (how I met your mother)</t>
  </si>
  <si>
    <t>gut (wrench out intestines of obj)</t>
  </si>
  <si>
    <t>lamar (the accountant)</t>
  </si>
  <si>
    <t>gooey (obj is all sticky, when removing hand from obj slime comes with it)</t>
  </si>
  <si>
    <t>lana (archer)</t>
  </si>
  <si>
    <t>give (obj to next person)</t>
  </si>
  <si>
    <t>lois (malcolm in the middle)</t>
  </si>
  <si>
    <t>want</t>
  </si>
  <si>
    <t>gouge (violently extract grain from obj)</t>
  </si>
  <si>
    <t>leprechaun (lucky charms)</t>
  </si>
  <si>
    <t>lester (the wire OR primeval)</t>
  </si>
  <si>
    <t>lauren (cuber)</t>
  </si>
  <si>
    <t>lassner (brody; cuber)</t>
  </si>
  <si>
    <t>leticia (la)</t>
  </si>
  <si>
    <t>louis (cuber)</t>
  </si>
  <si>
    <t>lovejoy (simpsons)</t>
  </si>
  <si>
    <t>lau (cuber)</t>
  </si>
  <si>
    <t>hail (formally salute obj)</t>
  </si>
  <si>
    <t>hobby (obj is in sideways large glass bottle)</t>
  </si>
  <si>
    <t>hashtag (take a selfie with obj)</t>
  </si>
  <si>
    <t>head (the obj like in soccer)</t>
  </si>
  <si>
    <t>heat (obj in pot of boiling water on stove)</t>
  </si>
  <si>
    <t>huff (blow strongly on obj)</t>
  </si>
  <si>
    <t>hug (embrace obj with both arms around it)</t>
  </si>
  <si>
    <t>hatha (do yoga with obj (stretching))</t>
  </si>
  <si>
    <t>mabel (gravity falls)</t>
  </si>
  <si>
    <t>mub (snail; epic)</t>
  </si>
  <si>
    <t>hijack (plug keypad into obj and type quickly)</t>
  </si>
  <si>
    <t>michele (van)</t>
  </si>
  <si>
    <t>hedge (make obj shape out of a hedge)</t>
  </si>
  <si>
    <t>madeye (harry potter)</t>
  </si>
  <si>
    <t>hawker (sell obj like hotdogs at baseball game)</t>
  </si>
  <si>
    <t>meeseeks (rick and morty)</t>
  </si>
  <si>
    <t>help (throw life vest to obj)</t>
  </si>
  <si>
    <t>meffert (cuber)</t>
  </si>
  <si>
    <t>hammer (violently hit obj with hammer)</t>
  </si>
  <si>
    <t>maggy (simpsons)</t>
  </si>
  <si>
    <t>hunt (obj with bow and arrow)</t>
  </si>
  <si>
    <t>mother (mom, van)</t>
  </si>
  <si>
    <t>hold (hold obj with both hands outstretched)</t>
  </si>
  <si>
    <t>michael (van)</t>
  </si>
  <si>
    <t>hypnotize (swing something in front of obj)</t>
  </si>
  <si>
    <t>madge (doctor who)</t>
  </si>
  <si>
    <t>hoist (raise obj up a flag pole by pulling rope down)</t>
  </si>
  <si>
    <t>max (park; cuber)</t>
  </si>
  <si>
    <t>mel (simpsons)</t>
  </si>
  <si>
    <t>mummy (the mummy)</t>
  </si>
  <si>
    <t>monica (silicon valley)</t>
  </si>
  <si>
    <t>maps (henry; cuber)</t>
  </si>
  <si>
    <t>master (doctor who)</t>
  </si>
  <si>
    <t>morty (rick and morty)</t>
  </si>
  <si>
    <t>massey (waterloo)</t>
  </si>
  <si>
    <t>matt (dickman; cuber)</t>
  </si>
  <si>
    <t>moosa (waterloo)</t>
  </si>
  <si>
    <t>mahvi (paul; cuber)</t>
  </si>
  <si>
    <t>maui (moana)</t>
  </si>
  <si>
    <t>harness (put obj in harness to prepare for ziplining)</t>
  </si>
  <si>
    <t>hiss (hiss at obj like a cat)</t>
  </si>
  <si>
    <t>hit (alternate hitting obj in vertical motion with both hands)</t>
  </si>
  <si>
    <t>hoop (swing hula hoop around obj)</t>
  </si>
  <si>
    <t>halve (split obj in half vertically down the middle)</t>
  </si>
  <si>
    <t>howl (like a wolf at the obj)</t>
  </si>
  <si>
    <t>nathan (soria; cuber)</t>
  </si>
  <si>
    <t>nebulon (rick and morty)</t>
  </si>
  <si>
    <t>nash (a beautiful mind)</t>
  </si>
  <si>
    <t>ned (game of thrones)</t>
  </si>
  <si>
    <t>change (diaper on obj)</t>
  </si>
  <si>
    <t>cebula (hold onion to obj to make it cry)</t>
  </si>
  <si>
    <t>nico (spronk; waterloo)</t>
  </si>
  <si>
    <t>cheshire (person is in tree looking down at obj)</t>
  </si>
  <si>
    <t>nephew (evil house ood; doctor who)</t>
  </si>
  <si>
    <t>cheddar (grate obj)</t>
  </si>
  <si>
    <t>negredo (soccer)</t>
  </si>
  <si>
    <t>cheer (cheerlead for obj)</t>
  </si>
  <si>
    <t>chaff (toss/throw aluminum like confetti to distract obj)</t>
  </si>
  <si>
    <t>nothing</t>
  </si>
  <si>
    <t>chug (drink from pitcher containing obj)</t>
  </si>
  <si>
    <t>night king (game of thrones)</t>
  </si>
  <si>
    <t>cheth (put up a fence around obj)</t>
  </si>
  <si>
    <t>china (put made in china sticker on obj)</t>
  </si>
  <si>
    <t>neji (naruto)</t>
  </si>
  <si>
    <t>chuj (drop obj and stop stackmat timer)</t>
  </si>
  <si>
    <t>check (wave censor around obj like airport screening)</t>
  </si>
  <si>
    <t>nicole (van)</t>
  </si>
  <si>
    <t>chill (make obj cold by putting it in ice)</t>
  </si>
  <si>
    <t>nelson (simpsons)</t>
  </si>
  <si>
    <t>champion (fight in place of obj)</t>
  </si>
  <si>
    <t>nim (epic)</t>
  </si>
  <si>
    <t>chant (walk around obj chanting)</t>
  </si>
  <si>
    <t>choke (strangle obj)</t>
  </si>
  <si>
    <t>nani (lilo and stitch)</t>
  </si>
  <si>
    <t>chop (like a chef)</t>
  </si>
  <si>
    <t>noah (archer)</t>
  </si>
  <si>
    <t>nips (rick and morty)</t>
  </si>
  <si>
    <t>chest (control obj on chest like soccer)</t>
  </si>
  <si>
    <t>charge (plug obj into phone charger)</t>
  </si>
  <si>
    <t>nasty jack (winnie the pooh)</t>
  </si>
  <si>
    <t>chess (playing chess with obj)</t>
  </si>
  <si>
    <t>nardole (doctor who)</t>
  </si>
  <si>
    <t>chat (text obj on smartphone)</t>
  </si>
  <si>
    <t>niska (firefly)</t>
  </si>
  <si>
    <t>chew (put obj in mouth and chew without swallowing)</t>
  </si>
  <si>
    <t>natalya (james bond 1995)</t>
  </si>
  <si>
    <t>ciao (say ‘bye’ and runaway like a villian)</t>
  </si>
  <si>
    <t>noob noob (rick and morty)</t>
  </si>
  <si>
    <t>neville (harry potter)</t>
  </si>
  <si>
    <t>nao (robot)</t>
  </si>
  <si>
    <t>jail (place obj on the other side of some vertical bars)</t>
  </si>
  <si>
    <t>jib (manipulate obj with crane arm)</t>
  </si>
  <si>
    <t>josh (flipbook animation of obj)</t>
  </si>
  <si>
    <t>judder (shake obj)</t>
  </si>
  <si>
    <t>genie (rub magic lamp and obj comes out)</t>
  </si>
  <si>
    <t>jeff (‘you have been voted off the island’ extinguish a torch next to obj)</t>
  </si>
  <si>
    <t>juggle (throwing up 3 of the obj)</t>
  </si>
  <si>
    <t>jethro (move obj with eyes)</t>
  </si>
  <si>
    <t>kr</t>
  </si>
  <si>
    <t>gyrate (person moves hips in a circular motion in front of obj)</t>
  </si>
  <si>
    <t>kramer (seinfeld)</t>
  </si>
  <si>
    <t>krabs (spongebob squarepants)</t>
  </si>
  <si>
    <t>judge (slam down gavel and frown at obj)</t>
  </si>
  <si>
    <t>jack (obj springs out of box like jack-in-the-box)</t>
  </si>
  <si>
    <t>krish (cuber)</t>
  </si>
  <si>
    <t>gel (rub gel on obj)</t>
  </si>
  <si>
    <t>crud (winnie the pooh)</t>
  </si>
  <si>
    <t>jam (spread jam from jar with knife on obj)</t>
  </si>
  <si>
    <t>krieger (archer)</t>
  </si>
  <si>
    <t>generate (turn crank to produce many of the obj)</t>
  </si>
  <si>
    <t>jolt (electrocute with tazor)</t>
  </si>
  <si>
    <t>croft (lara croft, tomb raider)</t>
  </si>
  <si>
    <t>japanese (feed obj banana)</t>
  </si>
  <si>
    <t>craig (waterloo/cuber)</t>
  </si>
  <si>
    <t>gestate (obj grows as lump on person)</t>
  </si>
  <si>
    <t>christ (jesus; religion)</t>
  </si>
  <si>
    <t>jar (place obj in jar and screw lid on)</t>
  </si>
  <si>
    <t>credule (ralph; simpsons)</t>
  </si>
  <si>
    <t>gesture (motion towards obj to come over here)</t>
  </si>
  <si>
    <t>crocubot (rick and morty)</t>
  </si>
  <si>
    <t>jettison (push obj away and it floats away with constant velocity)</t>
  </si>
  <si>
    <t>crilly (father ted; father ted</t>
  </si>
  <si>
    <t>juice (squeeze obj on juicer to get juice out)</t>
  </si>
  <si>
    <t>krum (harry potter)</t>
  </si>
  <si>
    <t>javelin (impale obj with spear)</t>
  </si>
  <si>
    <t>joust (charge at obj on horse with spear)</t>
  </si>
  <si>
    <t>crunch (captain crunch; cereal)</t>
  </si>
  <si>
    <t>cronenberg (rick and morty)</t>
  </si>
  <si>
    <t>cropsy (the burning; disfigured face, murderer)</t>
  </si>
  <si>
    <t>krystal (star fox; nintendo)</t>
  </si>
  <si>
    <t>krar (alex; cuber)</t>
  </si>
  <si>
    <t>chris (olson; cuber)</t>
  </si>
  <si>
    <t>kratt (animal brothers)</t>
  </si>
  <si>
    <t>cruella (deville; 101 dalmations)</t>
  </si>
  <si>
    <t>kravitz (cinna actor; hunger games)</t>
  </si>
  <si>
    <t>cage (place obj in enclosure/pen)</t>
  </si>
  <si>
    <t>cobble (make obj into a shoe)</t>
  </si>
  <si>
    <t>crowley (supernatural (badger)), crouch (soccer), crouch (harry potter (doctor)), crouch (harry potter (trigger))</t>
  </si>
  <si>
    <t>caution (show yellow card to obj while blowing whistle)</t>
  </si>
  <si>
    <t>kidnap (shove obj in bag and run away with it)</t>
  </si>
  <si>
    <t>key (scrape obj with key)</t>
  </si>
  <si>
    <t>cough (on obj)</t>
  </si>
  <si>
    <t>kegstand (drink beer from obj like it’s a keg)</t>
  </si>
  <si>
    <t>catheter (ram tube violently into obj)</t>
  </si>
  <si>
    <t>kite (fly obj like a kite)</t>
  </si>
  <si>
    <t>kudgel (drop/throw barrel on obj)</t>
  </si>
  <si>
    <t>kick (obj with foot, not like a lob)</t>
  </si>
  <si>
    <t>paige (the americans)</t>
  </si>
  <si>
    <t>call (phone obj with smartphone)</t>
  </si>
  <si>
    <t>pablo (tintin)</t>
  </si>
  <si>
    <t>compost (put obj in compost pile while holding nose)</t>
  </si>
  <si>
    <t>pesci (burgler; home alone)</t>
  </si>
  <si>
    <t>cannon (launch/shoot obj from cannon)</t>
  </si>
  <si>
    <t>podrick (game of thrones)</t>
  </si>
  <si>
    <t>comb (run comb through obj)</t>
  </si>
  <si>
    <t>peter (pan)</t>
  </si>
  <si>
    <t>puff (spongebob squarepants)</t>
  </si>
  <si>
    <t>piglet (winnie the pooh)</t>
  </si>
  <si>
    <t>?L2 U L' U' L F L' U' L U L F' L2' U L'</t>
  </si>
  <si>
    <t>pith (spongebob; spongebob squarepants)</t>
  </si>
  <si>
    <t>pines (stan(ley); gravity falls)</t>
  </si>
  <si>
    <t>capture (catch obj in a hidden net which closes upwards into a tree)</t>
  </si>
  <si>
    <t>podge (puppet; podge and rodge)</t>
  </si>
  <si>
    <t>costume (put fairy costume on obj)</t>
  </si>
  <si>
    <t>pickle (pickle rick; rick and morty)</t>
  </si>
  <si>
    <t>curl (slide obj like a stone)</t>
  </si>
  <si>
    <t>paul (la)</t>
  </si>
  <si>
    <t>kiss (kiss obj)</t>
  </si>
  <si>
    <t>pam (archer)</t>
  </si>
  <si>
    <t>catalyze (pour two chemicals on obj at once)</t>
  </si>
  <si>
    <t>penny (the big bang theory)</t>
  </si>
  <si>
    <t>kudos (give thumbs up)</t>
  </si>
  <si>
    <t>pope (religion)</t>
  </si>
  <si>
    <t>cover (obj with tarp)</t>
  </si>
  <si>
    <t>pepper (iron man)</t>
  </si>
  <si>
    <t>count (count and write down how many of the obj there are)</t>
  </si>
  <si>
    <t>pestvic (youtuber/cuber)</t>
  </si>
  <si>
    <t>pacifica (gravity falls)</t>
  </si>
  <si>
    <t>potter (harry potter)</t>
  </si>
  <si>
    <t>putin (politics)</t>
  </si>
  <si>
    <t>pavlina (waterloo)</t>
  </si>
  <si>
    <t>pouchy (orphan black)</t>
  </si>
  <si>
    <t>stacie (hustle)</t>
  </si>
  <si>
    <t>lazer (tease obj with it like cat)</t>
  </si>
  <si>
    <t>stubbs (sarah; orphan black)</t>
  </si>
  <si>
    <t>lob (kick like a soccer ball lob)</t>
  </si>
  <si>
    <t>stosh (the tick)</t>
  </si>
  <si>
    <t>lash (whip obj with a ruler stick)</t>
  </si>
  <si>
    <t>stadler (grey’s anatomy)</t>
  </si>
  <si>
    <t>ladle (scoop obj out of cauldron with giant spoon)</t>
  </si>
  <si>
    <t>steve (waterloo)</t>
  </si>
  <si>
    <t>steph (van)</t>
  </si>
  <si>
    <t>leech (put leeches on obj)</t>
  </si>
  <si>
    <t>stig (top gear)</t>
  </si>
  <si>
    <t>laugh (point and laugh at obj)</t>
  </si>
  <si>
    <t>lego (build obj out of lego)</t>
  </si>
  <si>
    <t>statham (jason; crank)</t>
  </si>
  <si>
    <t>lather (cover obj in foamy stuff)</t>
  </si>
  <si>
    <t>styles (harry styles)</t>
  </si>
  <si>
    <t>lightning (strikes the obj from the sky, like pikachu)</t>
  </si>
  <si>
    <t>stojakovic (basket ball)</t>
  </si>
  <si>
    <t>lodge (put obj in tiny log cabin)</t>
  </si>
  <si>
    <t>stick (game &amp; watch; nintendo)</t>
  </si>
  <si>
    <t>lick (bend over to obj and touch with tongue)</t>
  </si>
  <si>
    <t>staller (van)</t>
  </si>
  <si>
    <t>lullaby (sing to obj)</t>
  </si>
  <si>
    <t>stumpy (cricket; willow and stumpy)</t>
  </si>
  <si>
    <t>laminate (press obj between two clear sheets)</t>
  </si>
  <si>
    <t>stannis (game of thrones)</t>
  </si>
  <si>
    <t>launch (obj flies up out of rocket launcher)</t>
  </si>
  <si>
    <t>stone (mickey; hustle)</t>
  </si>
  <si>
    <t>load (put obj into back of pickup truck)</t>
  </si>
  <si>
    <t>stoppit (british cartoon)</t>
  </si>
  <si>
    <t>lap (run around obj in circles)</t>
  </si>
  <si>
    <t>stastny (hockey player)</t>
  </si>
  <si>
    <t>list (inspect obj and check off things on a clipboard)</t>
  </si>
  <si>
    <t>starbuck (kara thrace; battlestar galactica)</t>
  </si>
  <si>
    <t>lure (hold bait under tilted box)</t>
  </si>
  <si>
    <t>stastna (waterloo)</t>
  </si>
  <si>
    <t>static (dc comics)</t>
  </si>
  <si>
    <t>lasso (throw coiled rope at obj like cowboy)</t>
  </si>
  <si>
    <t>stewie (family guy)</t>
  </si>
  <si>
    <t>letterpress (heavy machine presses down on obj)</t>
  </si>
  <si>
    <t>stav (couch time)</t>
  </si>
  <si>
    <t>lube (drop lube in/onto obj like a cube)</t>
  </si>
  <si>
    <t>stoutland (pokemon)</t>
  </si>
  <si>
    <t>levitate (obj rises/floats as person raises both hands palms upward)</t>
  </si>
  <si>
    <t>loud (obj makes a lot of noise)</t>
  </si>
  <si>
    <t>ray (archer)</t>
  </si>
  <si>
    <t>rob (van)</t>
  </si>
  <si>
    <t>mail (try to stuff in mailbox)</t>
  </si>
  <si>
    <t>rashford (soccer)</t>
  </si>
  <si>
    <t>mob (several of person mobs obj)</t>
  </si>
  <si>
    <t>redmond (la)</t>
  </si>
  <si>
    <t>mush (obj in a bowl)</t>
  </si>
  <si>
    <t>medicate (shove pills in obj)</t>
  </si>
  <si>
    <t>meet (person introduces themselves to obj, offer to shake hand)</t>
  </si>
  <si>
    <t>reese (malcolm in the middle)</t>
  </si>
  <si>
    <t>muff (place ear muffs on obj)</t>
  </si>
  <si>
    <t>rafid (waterloo)</t>
  </si>
  <si>
    <t>magnetize (point magnet at obj and it is attracted)</t>
  </si>
  <si>
    <t>rigsy (doctor who)</t>
  </si>
  <si>
    <t>mother (place obj carefully in crib)</t>
  </si>
  <si>
    <t>rutherford (dave; waterloo)</t>
  </si>
  <si>
    <t>microwave (put obj in microwave and turn on)</t>
  </si>
  <si>
    <t>riley (la)</t>
  </si>
  <si>
    <t>magic (pull coin from behind obj)</t>
  </si>
  <si>
    <t>rajat (waterloo)</t>
  </si>
  <si>
    <t>mock (put thumbs in ears and waggle fingers)</t>
  </si>
  <si>
    <t>rock (the rock)</t>
  </si>
  <si>
    <t>melt (obj dissolves into pool of liquid)</t>
  </si>
  <si>
    <t>ralph (wreck-it ralph)</t>
  </si>
  <si>
    <t>memorize (obj like a cube)</t>
  </si>
  <si>
    <t>ramsey (game of thrones)</t>
  </si>
  <si>
    <t>monitor (read display attached to obj)</t>
  </si>
  <si>
    <t>reynolds (captain malcolm reynolds; firefly)</t>
  </si>
  <si>
    <t>mow (mow obj like a lawn)</t>
  </si>
  <si>
    <t>rowe (hessler; cuber)</t>
  </si>
  <si>
    <t>mop (with a bucket of water)</t>
  </si>
  <si>
    <t>masturbate (to obj)</t>
  </si>
  <si>
    <t>mirror (hold up mirror for the obj to look in)</t>
  </si>
  <si>
    <t>massage (obj is on massage table)</t>
  </si>
  <si>
    <t>rusty (ocean’s eleven)</t>
  </si>
  <si>
    <t>matter (explode obj into small cubes of matter)</t>
  </si>
  <si>
    <t>rory (doctor who)</t>
  </si>
  <si>
    <t>moon (turn around and pull pants down)</t>
  </si>
  <si>
    <t>russ (silicon valley)</t>
  </si>
  <si>
    <t>moev (pick up obj and place it a few paces away)</t>
  </si>
  <si>
    <t>ritvik (waterloo)</t>
  </si>
  <si>
    <t>mount (get on obj like a horse)</t>
  </si>
  <si>
    <t>roo (winnie the pooh)</t>
  </si>
  <si>
    <t>reverand (little mosque on the prairie)</t>
  </si>
  <si>
    <t>roundhouse (jumanji)</t>
  </si>
  <si>
    <t>nail (carefully and slowly hammer a single big nail into center of obj)</t>
  </si>
  <si>
    <t>nibble (small rapid bites holding whole obj to mouth)</t>
  </si>
  <si>
    <t>nosh (eat obj via bite sized pieces)</t>
  </si>
  <si>
    <t>nod (person nods at obj)</t>
  </si>
  <si>
    <t>knee (hit obj with knee)</t>
  </si>
  <si>
    <t>naff (tells obj to naff off)</t>
  </si>
  <si>
    <t>sagan (carl)</t>
  </si>
  <si>
    <t>nigress (blacken obj with black paint)</t>
  </si>
  <si>
    <t>sobotka (frank; the wire)</t>
  </si>
  <si>
    <t>nothing (no action, person and obj completely frozen)</t>
  </si>
  <si>
    <t>sessions (jeff, politics)</t>
  </si>
  <si>
    <t>knight (triple tap with sword)</t>
  </si>
  <si>
    <t>cedric (the wire)</t>
  </si>
  <si>
    <t>nudge (obj with toe timidly)</t>
  </si>
  <si>
    <t>seymour (simpsons)</t>
  </si>
  <si>
    <t>knock (on obj with knuckles)</t>
  </si>
  <si>
    <t>saffron (firefly)</t>
  </si>
  <si>
    <t>null (rip up obj)</t>
  </si>
  <si>
    <t>siggins (graham; cuber)</t>
  </si>
  <si>
    <t>nominate (stand at lectern and announce obj)</t>
  </si>
  <si>
    <t>seth (orphan black)</t>
  </si>
  <si>
    <t>nintendo (play obj with 64 controller)</t>
  </si>
  <si>
    <t>silence (doctor who)</t>
  </si>
  <si>
    <t>note (write musical notes on/in obj)</t>
  </si>
  <si>
    <t>sagittarius (centaur)</t>
  </si>
  <si>
    <t>nap (happily lie on ground sleeping with obj)</t>
  </si>
  <si>
    <t>six (battlestar galactica)</t>
  </si>
  <si>
    <t>nest (place obj in nest)</t>
  </si>
  <si>
    <t>celeste (van)</t>
  </si>
  <si>
    <t>nurse (hold obj to breast)</t>
  </si>
  <si>
    <t>sam (la)</t>
  </si>
  <si>
    <t>nestle (hold obj and rub face on it)</t>
  </si>
  <si>
    <t>sonic (nintendo)</t>
  </si>
  <si>
    <t>nut (on obj)</t>
  </si>
  <si>
    <t>sophie (cuber)</t>
  </si>
  <si>
    <t>neutralize (shoot with tranquilizer blow dart)</t>
  </si>
  <si>
    <t>soprano (the sopranos)</t>
  </si>
  <si>
    <t>navigate (use compass to find/help obj)</t>
  </si>
  <si>
    <t>sestra (helena; orphan black)</t>
  </si>
  <si>
    <t>now! (yell ‘now!’ then curl up in a ball)</t>
  </si>
  <si>
    <t>cersei (game of thrones)</t>
  </si>
  <si>
    <t>sauce (vsauce; youtuber)</t>
  </si>
  <si>
    <t>satterstrom (cuber)</t>
  </si>
  <si>
    <t>severus (snape; harry potter)</t>
  </si>
  <si>
    <t>sour (bill; wreck-it ralph)</t>
  </si>
  <si>
    <t>cradle (rock obj in arms)</t>
  </si>
  <si>
    <t>crab (do crab walk with obj on chest)</t>
  </si>
  <si>
    <t>crescendo (conduct obj)</t>
  </si>
  <si>
    <t>credit (give obj cash money)</t>
  </si>
  <si>
    <t>cremate (burn obj to ashes and collect in container)</t>
  </si>
  <si>
    <t>craft (carve obj out of long tree wood)</t>
  </si>
  <si>
    <t>taylor (tim; home improvement)</t>
  </si>
  <si>
    <t>craig (jump around excited with obj, yell world record)</t>
  </si>
  <si>
    <t>tibbers (league of legends)</t>
  </si>
  <si>
    <t>cry (weep for/with obj)</t>
  </si>
  <si>
    <t>credule (trick obj into signing contract)</t>
  </si>
  <si>
    <t>crack (obj unevenly splits in two)</t>
  </si>
  <si>
    <t>tosh (torchwood)</t>
  </si>
  <si>
    <t>crawl (beside obj while watching it)</t>
  </si>
  <si>
    <t>ted (how I met your mother)</t>
  </si>
  <si>
    <t>crumple (obj in hands like paper)</t>
  </si>
  <si>
    <t>teeny (chimp; the simpsons)</t>
  </si>
  <si>
    <t>crunch (exercise, with obj on chest)</t>
  </si>
  <si>
    <t>crochet (basically knit obj)</t>
  </si>
  <si>
    <t>crop (photoshop)</t>
  </si>
  <si>
    <t>tiffany (orange is the new black)</t>
  </si>
  <si>
    <t>crystalize (drop obj in liquid and crystals form on it)</t>
  </si>
  <si>
    <t>tigger (winnie the pooh)</t>
  </si>
  <si>
    <t>krar (advertize custom ink)</t>
  </si>
  <si>
    <t>tuth (cartoon tooth)</t>
  </si>
  <si>
    <t>cross (mark for deletion with red pen)</t>
  </si>
  <si>
    <t>tigh (saul; battlestar galactica)</t>
  </si>
  <si>
    <t>critique (discuss obj’s style)</t>
  </si>
  <si>
    <t>tej (fast nd furious)</t>
  </si>
  <si>
    <t>crucify (nail to cross)</t>
  </si>
  <si>
    <t>tick (the tick)</t>
  </si>
  <si>
    <t>crevice (stuff obj into crack in floor/wall)</t>
  </si>
  <si>
    <t>crown (place on obj)</t>
  </si>
  <si>
    <t>telly (muppet)</t>
  </si>
  <si>
    <t>tom (van)</t>
  </si>
  <si>
    <t>tandre (la)</t>
  </si>
  <si>
    <t>tony (fat; simpsons)</t>
  </si>
  <si>
    <t>tupper (little mosque on the prairie)</t>
  </si>
  <si>
    <t>test (johnny test)</t>
  </si>
  <si>
    <t>paint (draw picture with paintbrush on easel)</t>
  </si>
  <si>
    <t>tyrion (game of thrones)</t>
  </si>
  <si>
    <t>U R2' U' R U R' F' R U R' U' R' F R2 U' R U'</t>
  </si>
  <si>
    <t>tess (ocean’s eleven)</t>
  </si>
  <si>
    <t>publish (person holds book with picture of obj on the cover)</t>
  </si>
  <si>
    <t>tatiana (bond 1957)</t>
  </si>
  <si>
    <t>push (firmly with both hands outstretched)</t>
  </si>
  <si>
    <t>tudor (waterloo)</t>
  </si>
  <si>
    <t>tevez (soccer)</t>
  </si>
  <si>
    <t>pedal (on stationary bike to power obj, or pedals the obj like a bike)</t>
  </si>
  <si>
    <t>tao (terry; la)</t>
  </si>
  <si>
    <t>pee (urinate on obj)</t>
  </si>
  <si>
    <t>puff (blow smoke out of smoking pipe)</t>
  </si>
  <si>
    <t>piggyback (obj rides on shoulders)</t>
  </si>
  <si>
    <t>path (lay out red carpet in front of obj)</t>
  </si>
  <si>
    <t>pie (slap pie onto (face of) obj)</t>
  </si>
  <si>
    <t>pigeonhole (place many of obj in pigeonholes)</t>
  </si>
  <si>
    <t>tr</t>
  </si>
  <si>
    <t>pick (obj with game claws)</t>
  </si>
  <si>
    <t>tracey (firefly)</t>
  </si>
  <si>
    <t>pull (obj while leaning back a lot)</t>
  </si>
  <si>
    <t>treble (one man band; disney)</t>
  </si>
  <si>
    <t>pump (to inflate obj with foot or hand pump)</t>
  </si>
  <si>
    <t>pinch (obj)</t>
  </si>
  <si>
    <t>post (pin obj or picture of obj onto bulletin board)</t>
  </si>
  <si>
    <t>tricia (orange is the new black)</t>
  </si>
  <si>
    <t>pepper (shake salt and pepper on obj)</t>
  </si>
  <si>
    <t>treadwell (droid; star wars)</t>
  </si>
  <si>
    <t>pesticide (spray obj while wearing mask)</t>
  </si>
  <si>
    <t>treebeard (lord of the rings)</t>
  </si>
  <si>
    <t>portal (shoot a portal underneath obj and it falls forever)</t>
  </si>
  <si>
    <t>truffles (charlie brown)?</t>
  </si>
  <si>
    <t>pass (soccer ball to obj)</t>
  </si>
  <si>
    <t>trigger (only fools and horses)</t>
  </si>
  <si>
    <t>petrify (turn obj to stone)</t>
  </si>
  <si>
    <t>troth (the adventure zone)</t>
  </si>
  <si>
    <t>poo (poo onto obj)</t>
  </si>
  <si>
    <t>triton (the little mermaid)</t>
  </si>
  <si>
    <t>pivot (dance/waltz with obj by pivoting on one foot repeatedly)</t>
  </si>
  <si>
    <t>trudge (yu-gi-oh)</t>
  </si>
  <si>
    <t>pounce (jump on obj like a cat on rat)</t>
  </si>
  <si>
    <t>trexler (archer)</t>
  </si>
  <si>
    <t>tollolol (trollolol guy, youtube)</t>
  </si>
  <si>
    <t>trump (politics)</t>
  </si>
  <si>
    <t>tran (chris tran; cuber)</t>
  </si>
  <si>
    <t>staple (staple obj)</t>
  </si>
  <si>
    <t>troll (harry potter)</t>
  </si>
  <si>
    <t>stab (plunge knife into obj)</t>
  </si>
  <si>
    <t>tripp (cuber), trip (star trek), trippier (soccer), trip (metallica), trip (power rangers)</t>
  </si>
  <si>
    <t>stash (try to hide obj in a small tin)</t>
  </si>
  <si>
    <t>tristan (merlin)</t>
  </si>
  <si>
    <t>study (read textbook about obj with picture of obj)</t>
  </si>
  <si>
    <t>tressler (now you see me)</t>
  </si>
  <si>
    <t>steer (steering wheel attached to obj, person turns it)</t>
  </si>
  <si>
    <t>trotter (del boy; only fools and horses)</t>
  </si>
  <si>
    <t>stuff (fill obj with stuffing like a turkey)</t>
  </si>
  <si>
    <t>trudeau (politics)</t>
  </si>
  <si>
    <t>stagger (jump up smash the ground causing the obj to stagger)</t>
  </si>
  <si>
    <t>trevor (noah; the daily show)</t>
  </si>
  <si>
    <t>stethoscope (listen to obj with it)</t>
  </si>
  <si>
    <t>troung (youtuber music videos/faber)</t>
  </si>
  <si>
    <t>style (put fancy makeup on obj)</t>
  </si>
  <si>
    <t>stojakovic (dribble obj like basket ball)</t>
  </si>
  <si>
    <t>stack (pile up several of the obj)</t>
  </si>
  <si>
    <t>stealth (crouch down and move near obj quietly)</t>
  </si>
  <si>
    <t>stamp (stamp obj like a passport)</t>
  </si>
  <si>
    <t>stunt (perform filming stunt with obj)</t>
  </si>
  <si>
    <t>stone (throw multiple little rocks at obj)</t>
  </si>
  <si>
    <t>stop (hold up stop sign in front of obj)</t>
  </si>
  <si>
    <t>stastny (manipulate obj with hockey stick)</t>
  </si>
  <si>
    <t>vader (star wars)</t>
  </si>
  <si>
    <t>startle (surprise obj which jumps)</t>
  </si>
  <si>
    <t>vibri (vib ribbon)</t>
  </si>
  <si>
    <t>stastna (scratch back with obj)</t>
  </si>
  <si>
    <t>vashta (nerada; doctor who)</t>
  </si>
  <si>
    <t>static (shock obj by almost touching it)</t>
  </si>
  <si>
    <t>vada (my girl)</t>
  </si>
  <si>
    <t>stupefy (wave wand at obj and it freezes and falls over)</t>
  </si>
  <si>
    <t>v (avon barksdale; the wire)</t>
  </si>
  <si>
    <t>veff (andrew nathenson; cuber)</t>
  </si>
  <si>
    <t>vagabond (edward lin; cuber)</t>
  </si>
  <si>
    <t>violet (the incredibles)</t>
  </si>
  <si>
    <t>vagina (principle; rick and morty)</t>
  </si>
  <si>
    <t>victor (waterloo)</t>
  </si>
  <si>
    <t>radar (scanning dradis reveals outline of obj)</t>
  </si>
  <si>
    <t>valk (mats; cuber)</t>
  </si>
  <si>
    <t>ribbon (put ribbons all over obj)</t>
  </si>
  <si>
    <t>vampire (angel; buffy the vampire slayer)</t>
  </si>
  <si>
    <t>ration (break off small piece of cookie and give to obj)</t>
  </si>
  <si>
    <t>venom (venom)</t>
  </si>
  <si>
    <t>voldemort (harry potter)</t>
  </si>
  <si>
    <t>ready (hold cube cover in front and ask if ready)</t>
  </si>
  <si>
    <t>vep (irma vep; 1996 movie)</t>
  </si>
  <si>
    <t>read (put glasses on and read obj out loud)</t>
  </si>
  <si>
    <t>vastra (doctor who)</t>
  </si>
  <si>
    <t>refrigerate (put obj in fridge)</t>
  </si>
  <si>
    <t>varys (game of thrones)</t>
  </si>
  <si>
    <t>rig (slip ace of hearts to obj)</t>
  </si>
  <si>
    <t>viserys (game of thrones)</t>
  </si>
  <si>
    <t>rhythm (tap/drum obj with both hands softly in a pattern)</t>
  </si>
  <si>
    <t>vet (generic)</t>
  </si>
  <si>
    <t>ride (climb on obj and obj walks around)</t>
  </si>
  <si>
    <t>voon (cuber)</t>
  </si>
  <si>
    <t>regenerate (person regenerates into obj like doctor who)</t>
  </si>
  <si>
    <t>vavasis (waterloo)</t>
  </si>
  <si>
    <t>vao (shado/mission; star wars)</t>
  </si>
  <si>
    <t>rock (obj is in rocking chair)</t>
  </si>
  <si>
    <t>relax (with obj in beach chair)</t>
  </si>
  <si>
    <t>ram (into obj with battering ram)</t>
  </si>
  <si>
    <t>rinse (hold obj under running water from tap)</t>
  </si>
  <si>
    <t>roast (obj on a stick above open flames to cook it)</t>
  </si>
  <si>
    <t>repel (hold cross out towards obj and hide face)</t>
  </si>
  <si>
    <t>rest (tuck obj into bed)</t>
  </si>
  <si>
    <t>W</t>
  </si>
  <si>
    <t>roar (like a lion/dragon at obj)</t>
  </si>
  <si>
    <t>waylon (simpsons)</t>
  </si>
  <si>
    <t>wrestle (engage/fight obj while on knees)</t>
  </si>
  <si>
    <t>webb (jason bourne)</t>
  </si>
  <si>
    <t>return (obj to previous person)</t>
  </si>
  <si>
    <t>wash (washburne; firefly)</t>
  </si>
  <si>
    <t>roofie (slip something into a drink and give to obj)</t>
  </si>
  <si>
    <t>woodhouse (archer)</t>
  </si>
  <si>
    <t>revive (perform cpr on obj)</t>
  </si>
  <si>
    <t>weasley (ron; harry potter)</t>
  </si>
  <si>
    <t>round (make obj round)</t>
  </si>
  <si>
    <t>wuf (shanti; dog mascot thing)</t>
  </si>
  <si>
    <t>wiggum (chief; simpsons)</t>
  </si>
  <si>
    <t>witherspoon (actor)</t>
  </si>
  <si>
    <t>white (zach; cuber)</t>
  </si>
  <si>
    <t>wedge (final fantasy)</t>
  </si>
  <si>
    <t>walker (welch; cuber)</t>
  </si>
  <si>
    <t>sail (on sailboat with obj)</t>
  </si>
  <si>
    <t>submerge (obj in blowup pool of water)</t>
  </si>
  <si>
    <t>session (do a workout session by lifting obj on some machine)</t>
  </si>
  <si>
    <t>saddle (place saddle on obj in preparation to mount it)</t>
  </si>
  <si>
    <t>sear (like cattle)</t>
  </si>
  <si>
    <t>walter (soccer/van)</t>
  </si>
  <si>
    <t>suffocate (obj with pillow)</t>
  </si>
  <si>
    <t>wimpy (popeye)</t>
  </si>
  <si>
    <t>signal (to obj with two flags)</t>
  </si>
  <si>
    <t>winnie (winnie the pooh)</t>
  </si>
  <si>
    <t>scythe (cut obj with scythe)</t>
  </si>
  <si>
    <t>woakly (will oakly; la)</t>
  </si>
  <si>
    <t>sign (autograph obj/for obj)</t>
  </si>
  <si>
    <t>whiplash (iron man)</t>
  </si>
  <si>
    <t>suggest (person does suggestive sexual gesture towards obj)</t>
  </si>
  <si>
    <t>westmorland (orphan black)</t>
  </si>
  <si>
    <t>sacrifice (kill obj in ceremony on altar)</t>
  </si>
  <si>
    <t>wario (nintendo)</t>
  </si>
  <si>
    <t>whistler (buffy the vampire slayer)</t>
  </si>
  <si>
    <t>watson (sherlock holmes)</t>
  </si>
  <si>
    <t>woo (riley; cuber)</t>
  </si>
  <si>
    <t>wyvern (dragon)</t>
  </si>
  <si>
    <t>celebrate (put birthday hat on obj)</t>
  </si>
  <si>
    <t>summon (obj like a spirit in a ceremony)</t>
  </si>
  <si>
    <t>sonic (point and use sonic screwdriver at obj)</t>
  </si>
  <si>
    <t>sew (stitch up hole in obj with sewing machine)</t>
  </si>
  <si>
    <t>support (prevent obj from falling over with one hand)</t>
  </si>
  <si>
    <t>sustain (hook obj up to hospital bag)</t>
  </si>
  <si>
    <t>surrender (throw hands up)</t>
  </si>
  <si>
    <t>suspend (obj hangs from rope)</t>
  </si>
  <si>
    <t>saute (fry in frying pan)</t>
  </si>
  <si>
    <t>suit (put suit on obj)</t>
  </si>
  <si>
    <t>severe (saw head (or some part) off of obj and told it up)</t>
  </si>
  <si>
    <t>sound (bang tuning fork against obj)</t>
  </si>
  <si>
    <t>tape (wind masking tape around obj)</t>
  </si>
  <si>
    <t>toboggan (place obj on sled and push it away)</t>
  </si>
  <si>
    <t>tissue (use obj as tissue to blow nose)</t>
  </si>
  <si>
    <t>ted (turn over and spread out)</t>
  </si>
  <si>
    <t>teaspoon (measure lumps on sugar and dump on obj)</t>
  </si>
  <si>
    <t>toughen (repeatedly punch the obj in the same spot with one hand)</t>
  </si>
  <si>
    <t>toggle (swap instances of obj as in video game character choosing)</t>
  </si>
  <si>
    <t>tether (tie to post with rope)</t>
  </si>
  <si>
    <t>time (measure time with stopwatch while obj does something)</t>
  </si>
  <si>
    <t>tajine (reveal obj from tajine (pot/dish))</t>
  </si>
  <si>
    <t>tickle (obj making it laugh)</t>
  </si>
  <si>
    <t>telepath (touch head and frown to communicate with obj)</t>
  </si>
  <si>
    <t>tumble (put obj in dryer and watch it spin)</t>
  </si>
  <si>
    <t>taunt (hold red clothe out in front of obj)</t>
  </si>
  <si>
    <t>tow (attach obj to towtruck)</t>
  </si>
  <si>
    <t>tip (drop some coins on to/in front of obj)</t>
  </si>
  <si>
    <t>testify (stand behind justice thing with hand on bible and speak of obj)</t>
  </si>
  <si>
    <t>torture (obj is lying strapped on table screaming)</t>
  </si>
  <si>
    <t>toss (obj up and catch it)</t>
  </si>
  <si>
    <t>tattoo (something onto obj/obj onto self)</t>
  </si>
  <si>
    <t>tune (obj has strings on it which are tuned)</t>
  </si>
  <si>
    <t>tavern (serve beer to obj)</t>
  </si>
  <si>
    <t>tower (obj is placed in tower)</t>
  </si>
  <si>
    <t>trace (outline of obj on ground/wall (like crime scene?))</t>
  </si>
  <si>
    <t>trebuchet (catapault obj)</t>
  </si>
  <si>
    <t>trash (throw obj in trash can)</t>
  </si>
  <si>
    <t>treadmill (drop obj on it)</t>
  </si>
  <si>
    <t>treat (drop candy in pumpkin bucket that obj is carrying)</t>
  </si>
  <si>
    <t>traffic (smuggle obj wrapped in clothe to someone)</t>
  </si>
  <si>
    <t>trigger (throw ball at button causing obj to fall into pool of water)</t>
  </si>
  <si>
    <t>troth (pour obj into troth)</t>
  </si>
  <si>
    <t>triangulate (form hologram of triangulated obj)</t>
  </si>
  <si>
    <t>trudge (walk holding obj dragging along floor)</t>
  </si>
  <si>
    <t>track (use magnifying glass to examine tracks of obj which is close by)</t>
  </si>
  <si>
    <t>trolley (meme)</t>
  </si>
  <si>
    <t>trample (stomp/jump up/down on obj)</t>
  </si>
  <si>
    <t>transform (obj into another obj, or self into obj)</t>
  </si>
  <si>
    <t>troll (under bridge, obj on bridge)</t>
  </si>
  <si>
    <t>triple (snap fingers and two more of obj appear)</t>
  </si>
  <si>
    <t>tryst (romantically give obj a rose)</t>
  </si>
  <si>
    <t>tress (arrange hair into locks)</t>
  </si>
  <si>
    <t>trot (control obj with strings like puppet and make it trot/walk)</t>
  </si>
  <si>
    <t>truth (lie-detector test)</t>
  </si>
  <si>
    <t>traverse (pass through obj like ghost)</t>
  </si>
  <si>
    <t>trounce (smash defeat)</t>
  </si>
  <si>
    <t>veil (cover part of obj with veil)</t>
  </si>
  <si>
    <t>vicious (obj is restrained and trying to attack person)</t>
  </si>
  <si>
    <t>video (record/tape/film obj with videocamera)</t>
  </si>
  <si>
    <t>veer (veer/crash into obj while riding go-kart)</t>
  </si>
  <si>
    <t>veff (cover obj with insertion stickers)</t>
  </si>
  <si>
    <t>vagabond (rain cash money on obj)</t>
  </si>
  <si>
    <t>voth (fire spines out of arm at obj)</t>
  </si>
  <si>
    <t>vial (put obj in large scientific vial)</t>
  </si>
  <si>
    <t>vegetate (obj is unmoving in wheelchair, pushed by person maybe)</t>
  </si>
  <si>
    <t>vacuum (roll vacuum back and forth on top on obj, or just near obj)</t>
  </si>
  <si>
    <t>volley (hit obj like volleyball)</t>
  </si>
  <si>
    <t>vomit (throw up obj)</t>
  </si>
  <si>
    <t>vend (person dispenses/produces obj like a vending machine)</t>
  </si>
  <si>
    <t>vote (hold up a number from 0-10 like a competition judge)</t>
  </si>
  <si>
    <t>vep (vapes obj like bong)</t>
  </si>
  <si>
    <t>vest (put suicide vest on obj)</t>
  </si>
  <si>
    <t>verify (check ID of obj)</t>
  </si>
  <si>
    <t>vacillate (choose between angel/demon version of obj on shoulders)</t>
  </si>
  <si>
    <t>vet (sort objs off of conveyor belt)</t>
  </si>
  <si>
    <t>voodoo (enchant the object with magic with both arms extended and waving; have doll version of obj)</t>
  </si>
  <si>
    <t>vivisect</t>
  </si>
  <si>
    <t>vow (kneel and place hand on chest and pledge allegiance to obj)</t>
  </si>
  <si>
    <t>weigh (obj on justice scale)</t>
  </si>
  <si>
    <t>web (obj is caught in web made by person)</t>
  </si>
  <si>
    <t>wash (spray obj with soapy water from a hose)</t>
  </si>
  <si>
    <t>wed (get married to obj at ceremony with priest)</t>
  </si>
  <si>
    <t>wield (hold obj and pretend to shoot bullets with it)</t>
  </si>
  <si>
    <t>waffle (close waffle-maker on obj)</t>
  </si>
  <si>
    <t>wag (stick out tongue and wiggle it at obj)</t>
  </si>
  <si>
    <t>withstand (hold hand out in stopping gesture and obj is pinned against it)</t>
  </si>
  <si>
    <t>wire (put recording device secretly on obj)</t>
  </si>
  <si>
    <t>wedge (stick a wedge under the obj to raise one side of it)</t>
  </si>
  <si>
    <t>walk (obj on leash like dog)</t>
  </si>
  <si>
    <t>weld (use blowtorch on obj)</t>
  </si>
  <si>
    <t>wimble (drill into obj with hand-held drill)</t>
  </si>
  <si>
    <t>wink (exaggeratedly lean towards obj and close one eye slowly)</t>
  </si>
  <si>
    <t>wow! (person is amazed by obj)</t>
  </si>
  <si>
    <t>whip (lash obj with whip repeatedly)</t>
  </si>
  <si>
    <t>westernize (put a macdonalds sign on obj)</t>
  </si>
  <si>
    <t>worship (arms extended up and down, on knees)</t>
  </si>
  <si>
    <t>whistle (to make obj obey)</t>
  </si>
  <si>
    <t>water (pour water on obj from watering can)</t>
  </si>
  <si>
    <t>wound (hurt obj by throwing ninja blades at it)</t>
  </si>
  <si>
    <t>wyvern (hold obj with teeth and shake it)</t>
  </si>
  <si>
    <t>H (URB)</t>
  </si>
  <si>
    <t>K (UFR)</t>
  </si>
  <si>
    <t>ch (FDR)</t>
  </si>
  <si>
    <t>prey (squirrel)</t>
  </si>
  <si>
    <t>u,_,u</t>
  </si>
  <si>
    <t>e,e,e</t>
  </si>
  <si>
    <t>e,o,o</t>
  </si>
  <si>
    <t>precious (ring on chain)</t>
  </si>
  <si>
    <t>produce (milk jug)</t>
  </si>
  <si>
    <t>priest (religion)</t>
  </si>
  <si>
    <t>prophecy (crystal ball)</t>
  </si>
  <si>
    <t>pregnant (pregnant woman)</t>
  </si>
  <si>
    <t>prize (giant check)</t>
  </si>
  <si>
    <t>projector (machine)</t>
  </si>
  <si>
    <t>prell (shampoo brand)</t>
  </si>
  <si>
    <t>o,o,o</t>
  </si>
  <si>
    <t>e,o,e</t>
  </si>
  <si>
    <t>o,_,o</t>
  </si>
  <si>
    <t>i,o,o</t>
  </si>
  <si>
    <t>o,i,o</t>
  </si>
  <si>
    <t>_,oe,e</t>
  </si>
  <si>
    <t>primrose (flower plant)</t>
  </si>
  <si>
    <t>i,i,i</t>
  </si>
  <si>
    <t>printer (small black machine from waterloo)</t>
  </si>
  <si>
    <t>propane (gas tank)</t>
  </si>
  <si>
    <t>o,oe,oe</t>
  </si>
  <si>
    <t>propeller (boat ship part spin)</t>
  </si>
  <si>
    <t>prestige (world cup trophy award)</t>
  </si>
  <si>
    <t>_,a,a</t>
  </si>
  <si>
    <t>?prairie?</t>
  </si>
  <si>
    <t>oe,e,oe</t>
  </si>
  <si>
    <t>prescription (small orange bottle of pills)</t>
  </si>
  <si>
    <t>a,oe,e</t>
  </si>
  <si>
    <t>pretzel (food)</t>
  </si>
  <si>
    <t>pruner (tool)</t>
  </si>
  <si>
    <t>provisions (supplies)</t>
  </si>
  <si>
    <t>_,oe,oe</t>
  </si>
  <si>
    <t>prow (mermaid figure head of boat)</t>
  </si>
  <si>
    <t>u,u,u</t>
  </si>
  <si>
    <t>oe,a,oe</t>
  </si>
  <si>
    <t>u,i,e</t>
  </si>
  <si>
    <t>i,e,a</t>
  </si>
  <si>
    <t>e,o,a</t>
  </si>
  <si>
    <t>a,u,a</t>
  </si>
  <si>
    <t>a,a,a</t>
  </si>
  <si>
    <t>baby (small kid child)</t>
  </si>
  <si>
    <t>bubble (round sphere clear)</t>
  </si>
  <si>
    <t>bush (green plant/tree)</t>
  </si>
  <si>
    <t>bed (lie sleep furniture)</t>
  </si>
  <si>
    <t>o,u,u</t>
  </si>
  <si>
    <t>bee (small flying yellow animal)</t>
  </si>
  <si>
    <t>buffet (lots of food on plates on table)</t>
  </si>
  <si>
    <t>bagpipe (instrument)</t>
  </si>
  <si>
    <t>bath (tub)</t>
  </si>
  <si>
    <t>bike (transport bicycle)</t>
  </si>
  <si>
    <t>e,a,a</t>
  </si>
  <si>
    <t>badge (participation ribbon; trophy award)</t>
  </si>
  <si>
    <t>backpack (bag)</t>
  </si>
  <si>
    <t>balloons (blow up air float round sphere)</t>
  </si>
  <si>
    <t>o,a,o</t>
  </si>
  <si>
    <t>bomb (cartoon explosives)</t>
  </si>
  <si>
    <t>bandaid (medical bandage)</t>
  </si>
  <si>
    <t>bow (weapon arrow)</t>
  </si>
  <si>
    <t>u,u,a</t>
  </si>
  <si>
    <t>e,u,e</t>
  </si>
  <si>
    <t>a,a,oe</t>
  </si>
  <si>
    <t>o,u,a</t>
  </si>
  <si>
    <t>e,e,i</t>
  </si>
  <si>
    <t>_,i,i</t>
  </si>
  <si>
    <t>i,u,u</t>
  </si>
  <si>
    <t>o,a,u</t>
  </si>
  <si>
    <t>bust (statue of head and shoulders)</t>
  </si>
  <si>
    <t>bird (scooter)</t>
  </si>
  <si>
    <t>bus (double-decker red (large vehicle))</t>
  </si>
  <si>
    <t>bat (baseball toy OR animal fly)</t>
  </si>
  <si>
    <t>boomerang (toy)</t>
  </si>
  <si>
    <t>a,i,i</t>
  </si>
  <si>
    <t>beverage (sopa pop drink)</t>
  </si>
  <si>
    <t>a,e,e</t>
  </si>
  <si>
    <t>bouncer (trampoline)</t>
  </si>
  <si>
    <t>u,oe,u</t>
  </si>
  <si>
    <t>u,i,a</t>
  </si>
  <si>
    <t>e,oe,e</t>
  </si>
  <si>
    <t>i,o,i</t>
  </si>
  <si>
    <t>i,oe,i</t>
  </si>
  <si>
    <t>(milk)shake</t>
  </si>
  <si>
    <t>shabu (japanese food)</t>
  </si>
  <si>
    <t>shashlik (kebab food on stick)</t>
  </si>
  <si>
    <t>a,a,e</t>
  </si>
  <si>
    <t>shadow (black silhouette)</t>
  </si>
  <si>
    <t>sheep (animal wool)</t>
  </si>
  <si>
    <t>chef (person cook)</t>
  </si>
  <si>
    <t>sugar (small container for shaking)</t>
  </si>
  <si>
    <t>o,oe,o</t>
  </si>
  <si>
    <t>oe,oe,oe</t>
  </si>
  <si>
    <t>a,i,e</t>
  </si>
  <si>
    <t>R U^</t>
  </si>
  <si>
    <t>_,_,_</t>
  </si>
  <si>
    <t>i,i,o</t>
  </si>
  <si>
    <t>i,e,e</t>
  </si>
  <si>
    <t>a,o,a</t>
  </si>
  <si>
    <t>?,i,i</t>
  </si>
  <si>
    <t>_,u,_</t>
  </si>
  <si>
    <t>oe,e,O</t>
  </si>
  <si>
    <t>_,o,a</t>
  </si>
  <si>
    <t>i,a,a</t>
  </si>
  <si>
    <t>a,i,o</t>
  </si>
  <si>
    <t>shyguy (animated nintendo character)</t>
  </si>
  <si>
    <t>shajort (mark)</t>
  </si>
  <si>
    <t>shack (small building structure)</t>
  </si>
  <si>
    <t>shell (nintendo green/red attack item)</t>
  </si>
  <si>
    <t>champagne (alcohol bottle)</t>
  </si>
  <si>
    <t>chandelier (fancy lights on ceiling)</t>
  </si>
  <si>
    <t>showgirl (person wearing few clothes)</t>
  </si>
  <si>
    <t>ship (boat with mast and sails)</t>
  </si>
  <si>
    <t>o,a,e</t>
  </si>
  <si>
    <t>schist (kind of rock slabs)</t>
  </si>
  <si>
    <t>u,i,u</t>
  </si>
  <si>
    <t>shark (fish animal)</t>
  </si>
  <si>
    <t>chassis (car skeleton support frame support obj)</t>
  </si>
  <si>
    <t>o,a,i</t>
  </si>
  <si>
    <t>shit (poo)</t>
  </si>
  <si>
    <t>shoes (foot)</t>
  </si>
  <si>
    <t>e,u,a</t>
  </si>
  <si>
    <t>shovel (dig instrument tool)</t>
  </si>
  <si>
    <t>shower (floating shower head (bathtub))</t>
  </si>
  <si>
    <t>i,a,i</t>
  </si>
  <si>
    <t>O,O,O</t>
  </si>
  <si>
    <t>i,a,o</t>
  </si>
  <si>
    <t>a,i,oe</t>
  </si>
  <si>
    <t>U R^</t>
  </si>
  <si>
    <t>R2 U R’ U*</t>
  </si>
  <si>
    <t>daisy (nintendo princess)</t>
  </si>
  <si>
    <t>dubdub (rubber duck toy)</t>
  </si>
  <si>
    <t>a,a,o</t>
  </si>
  <si>
    <t>dishes (plates and bowls)</t>
  </si>
  <si>
    <t>dead (corpse body person)</t>
  </si>
  <si>
    <t>deodorant (product)</t>
  </si>
  <si>
    <t>duffel (sports bag)</t>
  </si>
  <si>
    <t>dagger (knife weapon)</t>
  </si>
  <si>
    <t>a,u,o</t>
  </si>
  <si>
    <t>death (dark black hooded person, grim reaper)</t>
  </si>
  <si>
    <t>die/dice (game cube roll)</t>
  </si>
  <si>
    <t>digit (finger)</t>
  </si>
  <si>
    <t>doctor (professional person health help)</t>
  </si>
  <si>
    <t>dildo (penis toy)</t>
  </si>
  <si>
    <t>dummy (crash test body)</t>
  </si>
  <si>
    <t>denture (teeth braces)</t>
  </si>
  <si>
    <t>donut (round circle hole food)</t>
  </si>
  <si>
    <t>diploma (rolled up paper)</t>
  </si>
  <si>
    <t>dustbin (garbage trash waste bin container)</t>
  </si>
  <si>
    <t>dart (pointed throw toy)</t>
  </si>
  <si>
    <t>disc (disk round hole CD)</t>
  </si>
  <si>
    <t>R’ F’ R U*</t>
  </si>
  <si>
    <t>detergent (laundry bottle)</t>
  </si>
  <si>
    <t>R^</t>
  </si>
  <si>
    <t>dew (mountain dew; drink)</t>
  </si>
  <si>
    <t>devil (red person with horns and stick)</t>
  </si>
  <si>
    <t>R’ F</t>
  </si>
  <si>
    <t>D R’ F</t>
  </si>
  <si>
    <t>dowel (ikea wooden connector)</t>
  </si>
  <si>
    <t>R’ F’</t>
  </si>
  <si>
    <t>R2’ F R U*</t>
  </si>
  <si>
    <t>R’ F R^</t>
  </si>
  <si>
    <t>R’ F R D’</t>
  </si>
  <si>
    <t>l’ D</t>
  </si>
  <si>
    <t>(U D) R^</t>
  </si>
  <si>
    <t>flake (snowflake)</t>
  </si>
  <si>
    <t>D’ R’ F’</t>
  </si>
  <si>
    <t>flashlight (torch)</t>
  </si>
  <si>
    <t>fludd (mario)</t>
  </si>
  <si>
    <t>fleece (my brown/orange fleece)</t>
  </si>
  <si>
    <t>flag (canada flag)</t>
  </si>
  <si>
    <t>a,e,a</t>
  </si>
  <si>
    <t>flytrap (venus flytrap flower plant)</t>
  </si>
  <si>
    <t>fledgling (baby bird still half in egg shell (no nest))</t>
  </si>
  <si>
    <t>flock (of birds/crows)</t>
  </si>
  <si>
    <t>u,a,a</t>
  </si>
  <si>
    <t>phlegm (nose snot)</t>
  </si>
  <si>
    <t>o,u,i</t>
  </si>
  <si>
    <t>flannel (shirt)</t>
  </si>
  <si>
    <t>a,i,a</t>
  </si>
  <si>
    <t>floe (ice)</t>
  </si>
  <si>
    <t>flipper (scuba foot shoe gear)</t>
  </si>
  <si>
    <t>fluster (mini ufo, fluster cluck)</t>
  </si>
  <si>
    <t>floorboard (old rotting piece of wood with nails in it)</t>
  </si>
  <si>
    <t>flask (red one)</t>
  </si>
  <si>
    <t>flatworm (animal)</t>
  </si>
  <si>
    <t>flume (log flume on track at pne)</t>
  </si>
  <si>
    <t>flavia (coffee machine)</t>
  </si>
  <si>
    <t>flour (dough)</t>
  </si>
  <si>
    <t>face (person head)</t>
  </si>
  <si>
    <t>fob (pocketwatch)</t>
  </si>
  <si>
    <t>fish (swimming animal)</t>
  </si>
  <si>
    <t>fiddle (violin string instrument)</t>
  </si>
  <si>
    <t>femur (long bone)</t>
  </si>
  <si>
    <t>fifty (birthday candle)</t>
  </si>
  <si>
    <t>figurine (little plastic person)</t>
  </si>
  <si>
    <t>feather (bird)</t>
  </si>
  <si>
    <t>fire (camping fire, ember)</t>
  </si>
  <si>
    <t>fudge (food brown desert in cup packaging)</t>
  </si>
  <si>
    <t>fixture (light bulb)</t>
  </si>
  <si>
    <t>filter (water filter)</t>
  </si>
  <si>
    <t>family (2 parents and 2 children)</t>
  </si>
  <si>
    <t>fan (hand held OR electric)</t>
  </si>
  <si>
    <t>phone (old-fashion dial phone)</t>
  </si>
  <si>
    <t>fipple (flute mouth air)</t>
  </si>
  <si>
    <t>fastfood (junk food)</t>
  </si>
  <si>
    <t>fork (utensil)</t>
  </si>
  <si>
    <t>fossil (yellow translucent fossilized stone gem thing)</t>
  </si>
  <si>
    <t>foot (human feet body)</t>
  </si>
  <si>
    <t>foosball (table top game)</t>
  </si>
  <si>
    <t>favia (coral reef)</t>
  </si>
  <si>
    <t>fountain (fancy water)</t>
  </si>
  <si>
    <t>gator (alligator/crocodile)</t>
  </si>
  <si>
    <t>goblet (fancy cup drink)</t>
  </si>
  <si>
    <t>e,u,oe</t>
  </si>
  <si>
    <t>gusher (candy food)</t>
  </si>
  <si>
    <t>godzilla (giant ape monkey)</t>
  </si>
  <si>
    <t>o,a,a</t>
  </si>
  <si>
    <t>guillotine (killing machine)</t>
  </si>
  <si>
    <t>gift (present box)</t>
  </si>
  <si>
    <t>goggles (wear on head/face for eyes)</t>
  </si>
  <si>
    <t>goth (black makeup person)</t>
  </si>
  <si>
    <t>guy (food person)</t>
  </si>
  <si>
    <t>gadget (swiss army knife)</t>
  </si>
  <si>
    <t>a,u,u</t>
  </si>
  <si>
    <t>gecko (animal lizard)</t>
  </si>
  <si>
    <t>o,i,i</t>
  </si>
  <si>
    <t>golf (clubs)</t>
  </si>
  <si>
    <t>e,oi,i</t>
  </si>
  <si>
    <t>gamp (umbrella)</t>
  </si>
  <si>
    <t>gondola (transport thing)</t>
  </si>
  <si>
    <t>ghost (float white clothe person dead)</t>
  </si>
  <si>
    <t>u,e,e</t>
  </si>
  <si>
    <t>_,e,e</t>
  </si>
  <si>
    <t>i,e,i</t>
  </si>
  <si>
    <t>e,i,e</t>
  </si>
  <si>
    <t>u,a,o</t>
  </si>
  <si>
    <t>o,o,e</t>
  </si>
  <si>
    <t>a,_,a</t>
  </si>
  <si>
    <t>u,i,i</t>
  </si>
  <si>
    <t>a,u,e</t>
  </si>
  <si>
    <t>gargoyle (small stone statue)</t>
  </si>
  <si>
    <t>a,u,i</t>
  </si>
  <si>
    <t>gas (pump at gas station)</t>
  </si>
  <si>
    <t>guitar (strings instrument)</t>
  </si>
  <si>
    <t>goose (bird animal)</t>
  </si>
  <si>
    <t>gavel (justice judge hammer)</t>
  </si>
  <si>
    <t>gown (fancy dress clothes)</t>
  </si>
  <si>
    <t>O,o,oe</t>
  </si>
  <si>
    <t>hay (straw stack)</t>
  </si>
  <si>
    <t>oe,o,oe</t>
  </si>
  <si>
    <t>hobbit (small person)</t>
  </si>
  <si>
    <t>hash (bag of weed (drug smoke weed))</t>
  </si>
  <si>
    <t>u,o,o</t>
  </si>
  <si>
    <t>head (body face)</t>
  </si>
  <si>
    <t>helix (winding DNA thing)</t>
  </si>
  <si>
    <t>hoof (horse shoe)</t>
  </si>
  <si>
    <t>haagen (ice cream bucket)</t>
  </si>
  <si>
    <t>hatha (someone doing yoga stretches)</t>
  </si>
  <si>
    <t>oe,i,a</t>
  </si>
  <si>
    <t>hydrant (red fire)</t>
  </si>
  <si>
    <t>a,o,o</t>
  </si>
  <si>
    <t>hedgehog (porcupine animal)</t>
  </si>
  <si>
    <t>hawk (animal bird)</t>
  </si>
  <si>
    <t>helmet (bike safety head)</t>
  </si>
  <si>
    <t>hammer (tool)</t>
  </si>
  <si>
    <t>honey (food bottle)</t>
  </si>
  <si>
    <t>o,o,a</t>
  </si>
  <si>
    <t>hose (rubber string tube water)</t>
  </si>
  <si>
    <t>hippo (animal)</t>
  </si>
  <si>
    <t>histogram (chart (diagram graph))</t>
  </si>
  <si>
    <t>heart (organ beating red blood)</t>
  </si>
  <si>
    <t>husky (dog animal)</t>
  </si>
  <si>
    <t>hotdog (food sausage weiner)</t>
  </si>
  <si>
    <t>hoop (round circle toy)</t>
  </si>
  <si>
    <t>heavy (weight; sumo wrestler)</t>
  </si>
  <si>
    <t>hound (big droppy ears (dog animal))</t>
  </si>
  <si>
    <t>chains</t>
  </si>
  <si>
    <t>oe,o,o</t>
  </si>
  <si>
    <t>cebula (onion food vegetable)</t>
  </si>
  <si>
    <t>cheshire (cat alice)</t>
  </si>
  <si>
    <t>R (U D) R’ U*</t>
  </si>
  <si>
    <t>cheddar (cheese)</t>
  </si>
  <si>
    <t>cheerios (food cereal box)</t>
  </si>
  <si>
    <t>chaff (crust (pizza/bread/toast) or confetti)</t>
  </si>
  <si>
    <t>R D R’ U^</t>
  </si>
  <si>
    <t>a,a,i</t>
  </si>
  <si>
    <t>chug (dog animal small)</t>
  </si>
  <si>
    <t>l (D U*)</t>
  </si>
  <si>
    <t>cheth (white wood fence)</t>
  </si>
  <si>
    <t>chime (hanging metal bars for wind)</t>
  </si>
  <si>
    <t>e,a,e</t>
  </si>
  <si>
    <t>chuj (pineapple)</t>
  </si>
  <si>
    <t>R’ D’ R (D U*)</t>
  </si>
  <si>
    <t>oe,o,e</t>
  </si>
  <si>
    <t>chicken (bird animal)</t>
  </si>
  <si>
    <t>R D R’ U’^</t>
  </si>
  <si>
    <t>o,i,e</t>
  </si>
  <si>
    <t>R D</t>
  </si>
  <si>
    <t>cello (big string instrument)</t>
  </si>
  <si>
    <t>i,u,o</t>
  </si>
  <si>
    <t>chomp (nintendo spherical shark)</t>
  </si>
  <si>
    <t>(D U*)</t>
  </si>
  <si>
    <t>channel (radio with antenna)</t>
  </si>
  <si>
    <t>D R’ D R^</t>
  </si>
  <si>
    <t>cho (orphan black)</t>
  </si>
  <si>
    <t>U*</t>
  </si>
  <si>
    <t>chopsticks</t>
  </si>
  <si>
    <t>.</t>
  </si>
  <si>
    <t>chest (treasure, zelda)</t>
  </si>
  <si>
    <t>chair (furniture)</t>
  </si>
  <si>
    <t>chess (board and pieces)</t>
  </si>
  <si>
    <t>R’ D’ R (D’ U*)</t>
  </si>
  <si>
    <t>chattel (slave)</t>
  </si>
  <si>
    <t>D’</t>
  </si>
  <si>
    <t>chewy (granola bar)</t>
  </si>
  <si>
    <t>D’ R’ D R^</t>
  </si>
  <si>
    <t>chowder (soup/stew)</t>
  </si>
  <si>
    <t>e,i,i</t>
  </si>
  <si>
    <t>O,i,a</t>
  </si>
  <si>
    <t>R’ D R^</t>
  </si>
  <si>
    <t>(D’ U*)</t>
  </si>
  <si>
    <t>oe,e,e</t>
  </si>
  <si>
    <t>jade (green gem/jewel)</t>
  </si>
  <si>
    <t>jib (crane arm)</t>
  </si>
  <si>
    <t>u,o,oe</t>
  </si>
  <si>
    <t>josh (bong)</t>
  </si>
  <si>
    <t>jedi (star wars with light saber)</t>
  </si>
  <si>
    <t>jeep (car vehicle)</t>
  </si>
  <si>
    <t>jeff (survivor torch)</t>
  </si>
  <si>
    <t>e,u,u</t>
  </si>
  <si>
    <t>jigsaw (puzzle pieces)</t>
  </si>
  <si>
    <t>jethro (merlin)</t>
  </si>
  <si>
    <t>e,u,o</t>
  </si>
  <si>
    <t>gyro (rotisserie spinning stick with meat)</t>
  </si>
  <si>
    <t>jellyfish (animal float)</t>
  </si>
  <si>
    <t>o,e,u</t>
  </si>
  <si>
    <t>jam (jar of condiment)</t>
  </si>
  <si>
    <t>jenga (puzzle game pieces)</t>
  </si>
  <si>
    <t>joker (batman character OR playing card)</t>
  </si>
  <si>
    <t>japanese (R2D2)</t>
  </si>
  <si>
    <t>o,o,i</t>
  </si>
  <si>
    <t>jester (funny colourful person with hat)</t>
  </si>
  <si>
    <t>giraffe (animal tall)</t>
  </si>
  <si>
    <t>O,i,i</t>
  </si>
  <si>
    <t>jet (jetpack)</t>
  </si>
  <si>
    <t>juice (watermelon juice style)</t>
  </si>
  <si>
    <t>javelin (spear)</t>
  </si>
  <si>
    <t>jowl (meat food)</t>
  </si>
  <si>
    <t>e,i,o</t>
  </si>
  <si>
    <t>oe,i,i</t>
  </si>
  <si>
    <t>cake (food candy)</t>
  </si>
  <si>
    <t>i,o,e</t>
  </si>
  <si>
    <t>cob (corn)</t>
  </si>
  <si>
    <t>cushion (pillow)</t>
  </si>
  <si>
    <t>cadbury (chocolate bunny; food rabbit hare)</t>
  </si>
  <si>
    <t>key (lock open)</t>
  </si>
  <si>
    <t>coffin (dead bury casket)</t>
  </si>
  <si>
    <t>keg (big beer container alcohol)</t>
  </si>
  <si>
    <t>cathode (beaker with water and batteries)</t>
  </si>
  <si>
    <t>kite (fly toy)</t>
  </si>
  <si>
    <t>e,a,o</t>
  </si>
  <si>
    <t>kudgel (rolling sideways barrel)</t>
  </si>
  <si>
    <t>cactus (dry plant)</t>
  </si>
  <si>
    <t>collar (leash neck round name tag made of leather, thick)</t>
  </si>
  <si>
    <t>camera (phone record picture image)</t>
  </si>
  <si>
    <t>cannon</t>
  </si>
  <si>
    <t>comb (brush hair)</t>
  </si>
  <si>
    <t>cap (baseball hat)</t>
  </si>
  <si>
    <t>costume (fairy wings and wand)</t>
  </si>
  <si>
    <t>kirby (nintendo)</t>
  </si>
  <si>
    <t>kiss (hershey’s chocolate)</t>
  </si>
  <si>
    <t>cat (pet animal)</t>
  </si>
  <si>
    <t>koopa (cartoon nintendo character)</t>
  </si>
  <si>
    <t>cover (cube cover)</t>
  </si>
  <si>
    <t>cow (animal)</t>
  </si>
  <si>
    <t>[L’: U R U’]</t>
  </si>
  <si>
    <t>U R’^</t>
  </si>
  <si>
    <t>laces (shoe laces)</t>
  </si>
  <si>
    <t>lobster (food animal)</t>
  </si>
  <si>
    <t>u,e,u</t>
  </si>
  <si>
    <t>lashes (eye)</t>
  </si>
  <si>
    <t>ladder (steps climb)</t>
  </si>
  <si>
    <t>leaf (tree plant)</t>
  </si>
  <si>
    <t>e,_,e</t>
  </si>
  <si>
    <t>lift (elevator)</t>
  </si>
  <si>
    <t>lego (toy game bricks)</t>
  </si>
  <si>
    <t>_,e,_</t>
  </si>
  <si>
    <t>leather (leather jacket coat)</t>
  </si>
  <si>
    <t>lyre (harp instrument strings)</t>
  </si>
  <si>
    <t>ledge (single bookshelf with books)</t>
  </si>
  <si>
    <t>lectern (podium stand)</t>
  </si>
  <si>
    <t>lolli (popsicle junk food candy)</t>
  </si>
  <si>
    <t>lamp (light stand)</t>
  </si>
  <si>
    <t>laundry (basket clothes dirty)</t>
  </si>
  <si>
    <t>loaf (bread food)</t>
  </si>
  <si>
    <t>laptop (computer device)</t>
  </si>
  <si>
    <t>listerine (bottle blue liquid mouth wash)</t>
  </si>
  <si>
    <t>larva (catapillar type small bug)</t>
  </si>
  <si>
    <t>l U*</t>
  </si>
  <si>
    <t>lasso (rope tied in circle loop)</t>
  </si>
  <si>
    <t>R’ F’ R (D U*)</t>
  </si>
  <si>
    <t>letter (envelope mail writing)</t>
  </si>
  <si>
    <t>R’^</t>
  </si>
  <si>
    <t>lube (small bottle)</t>
  </si>
  <si>
    <t>U’ R^</t>
  </si>
  <si>
    <t>lever (pull to activate turn on)</t>
  </si>
  <si>
    <t>U2! R’ F’</t>
  </si>
  <si>
    <t>loudspeaker (big black box audio)</t>
  </si>
  <si>
    <t>R’ D</t>
  </si>
  <si>
    <t>R’ F R2 U’</t>
  </si>
  <si>
    <t>e,oe,oe</t>
  </si>
  <si>
    <t>R’ U’^</t>
  </si>
  <si>
    <t>o,e,a</t>
  </si>
  <si>
    <t>R’ U’ R^</t>
  </si>
  <si>
    <t>R B2 R’ U^</t>
  </si>
  <si>
    <t>U R B’</t>
  </si>
  <si>
    <t>mail (box; post office)</t>
  </si>
  <si>
    <t>R’ (D U’^)</t>
  </si>
  <si>
    <t>mobius (strip of paper)</t>
  </si>
  <si>
    <t>D’ R’^</t>
  </si>
  <si>
    <t>medal (to hang around neck)</t>
  </si>
  <si>
    <t>meter (parking meter; metal pole)</t>
  </si>
  <si>
    <t>muffin (food pastry)</t>
  </si>
  <si>
    <t>magnet</t>
  </si>
  <si>
    <t>moth (butterfly insect animal)</t>
  </si>
  <si>
    <t>microwave</t>
  </si>
  <si>
    <t>e,e,a</t>
  </si>
  <si>
    <t>midget (small short person with beard)</t>
  </si>
  <si>
    <t>i,O,O</t>
  </si>
  <si>
    <t>mach (my bike in mario kart)</t>
  </si>
  <si>
    <t>melon (watermelon; big round fruit)</t>
  </si>
  <si>
    <t>o,e,o</t>
  </si>
  <si>
    <t>mummy (person wrapped in toilet paper)</t>
  </si>
  <si>
    <t>a,i,u</t>
  </si>
  <si>
    <t>minion (stupid yellow animated)</t>
  </si>
  <si>
    <t>mower (grass cutter machine)</t>
  </si>
  <si>
    <t>map (paper chart)</t>
  </si>
  <si>
    <t>u,a,u</t>
  </si>
  <si>
    <t>mast (wooden pole sails)</t>
  </si>
  <si>
    <t>mirror (reflect)</t>
  </si>
  <si>
    <t>mask (face cover feather)</t>
  </si>
  <si>
    <t>o,e,i</t>
  </si>
  <si>
    <t>mattress (bed rectangle)</t>
  </si>
  <si>
    <t>moon (big round white sphere planet)</t>
  </si>
  <si>
    <t>mound (pile of rocks/stones)</t>
  </si>
  <si>
    <t>o,i,a</t>
  </si>
  <si>
    <t>e,e,o</t>
  </si>
  <si>
    <t>nail (screw for hammer)</t>
  </si>
  <si>
    <t>knob (door open)</t>
  </si>
  <si>
    <t>a,oe,a</t>
  </si>
  <si>
    <t>i,i,u</t>
  </si>
  <si>
    <t>a,oe,i</t>
  </si>
  <si>
    <t>nationalist (person carrying a flag(pole))</t>
  </si>
  <si>
    <t>needle (knitting)</t>
  </si>
  <si>
    <t>nephron (kidney unit body part)</t>
  </si>
  <si>
    <t>nigger (black male man person)</t>
  </si>
  <si>
    <t>nothing (no obj)</t>
  </si>
  <si>
    <t>i,oe,a</t>
  </si>
  <si>
    <t>knight (armour)</t>
  </si>
  <si>
    <t>O,O,i</t>
  </si>
  <si>
    <t>nodule (living ball covered in swelling skin)</t>
  </si>
  <si>
    <t>necklace (gem/jewel)</t>
  </si>
  <si>
    <t>nimbus (broomstick)</t>
  </si>
  <si>
    <t>ninja (black clothed stealth person)</t>
  </si>
  <si>
    <t>gnome (gravity falls)</t>
  </si>
  <si>
    <t>napkin (cloth for wiping)</t>
  </si>
  <si>
    <t>nest (twigs sticks birds eggs)</t>
  </si>
  <si>
    <t>neuron (tentacle cell)</t>
  </si>
  <si>
    <t>nascar (race car)</t>
  </si>
  <si>
    <t>nuts (bag of assorted nuts)</t>
  </si>
  <si>
    <t>newspaper (black white print)</t>
  </si>
  <si>
    <t>novel (book)</t>
  </si>
  <si>
    <t>gnau (deck of playing cards)</t>
  </si>
  <si>
    <t>oe,oe,a</t>
  </si>
  <si>
    <t>e,u,i</t>
  </si>
  <si>
    <t>o,u,o</t>
  </si>
  <si>
    <t>u,o,a</t>
  </si>
  <si>
    <t>i,o,u</t>
  </si>
  <si>
    <t>crayon (colourful pencil)</t>
  </si>
  <si>
    <t>crab (lobster food animal water)</t>
  </si>
  <si>
    <t>creche (scene depicting jesus’ birth)</t>
  </si>
  <si>
    <t>crud (tightly packed snow)</t>
  </si>
  <si>
    <t>cream (whipcream)</t>
  </si>
  <si>
    <t>i,O,a</t>
  </si>
  <si>
    <t>kraft (dinner)</t>
  </si>
  <si>
    <t>e,o,u</t>
  </si>
  <si>
    <t>craig</t>
  </si>
  <si>
    <t>R D R’ (D’ U*)</t>
  </si>
  <si>
    <t>[R, U’ L’ U]</t>
  </si>
  <si>
    <t>U R’ F</t>
  </si>
  <si>
    <t>(U D’) R U’</t>
  </si>
  <si>
    <t>R U R’^</t>
  </si>
  <si>
    <t>[U R U’, L]</t>
  </si>
  <si>
    <t>U R U’</t>
  </si>
  <si>
    <t>D’ R U</t>
  </si>
  <si>
    <t>[R’, U’ L’ U]</t>
  </si>
  <si>
    <t>R’ U R^</t>
  </si>
  <si>
    <t>R U</t>
  </si>
  <si>
    <t>R U*</t>
  </si>
  <si>
    <t>i,_,i</t>
  </si>
  <si>
    <t>R’ F’ R U’^</t>
  </si>
  <si>
    <t>cracker (christmas cracker)</t>
  </si>
  <si>
    <t>R2’ U R^</t>
  </si>
  <si>
    <t>crawly (centipede)</t>
  </si>
  <si>
    <t>crumbs (like fairy tale)</t>
  </si>
  <si>
    <t>crunch (candy bar chocolate)</t>
  </si>
  <si>
    <t>croquet (bat and ball and hoop)</t>
  </si>
  <si>
    <t>crops (wheat field)</t>
  </si>
  <si>
    <t>crystal (formed on large rock, pointy)</t>
  </si>
  <si>
    <t>krar (t-shirt with custom ink squid)</t>
  </si>
  <si>
    <t>cross (religion)</t>
  </si>
  <si>
    <t>critter (grasshopper)</t>
  </si>
  <si>
    <t>crucible (containing melted metal)</t>
  </si>
  <si>
    <t>a,e,i</t>
  </si>
  <si>
    <t>cravatte (tie)</t>
  </si>
  <si>
    <t>crown (fancy head hat)</t>
  </si>
  <si>
    <t>i,i,e</t>
  </si>
  <si>
    <t>paint (buckets colour)</t>
  </si>
  <si>
    <t>pebble (small rock/stone for skipping on water)</t>
  </si>
  <si>
    <t>pusher (sketchy person dealer drugs in coat pocket)</t>
  </si>
  <si>
    <t>paddle (oar)</t>
  </si>
  <si>
    <t>piano (instrument)</t>
  </si>
  <si>
    <t>puff-fish (expanded round fish)</t>
  </si>
  <si>
    <t>pig (animal)</t>
  </si>
  <si>
    <t>pith (sponge)</t>
  </si>
  <si>
    <t>pie (pudding food circle)</t>
  </si>
  <si>
    <t>pigeon (small bird animal)</t>
  </si>
  <si>
    <t>pickle (food)</t>
  </si>
  <si>
    <t>pulley (rope/wheel system)</t>
  </si>
  <si>
    <t>pumkpin</t>
  </si>
  <si>
    <t>pendulum (swinging fancy clock)</t>
  </si>
  <si>
    <t>postcard (picture flat text)</t>
  </si>
  <si>
    <t>pepper (red pepper)</t>
  </si>
  <si>
    <t>pasta (food)</t>
  </si>
  <si>
    <t>portal (gun from rm)</t>
  </si>
  <si>
    <t>pacifier (mouth suck)</t>
  </si>
  <si>
    <t>pot (cooking)</t>
  </si>
  <si>
    <t>pool (water)</t>
  </si>
  <si>
    <t>pavilion (chinese roof structure)</t>
  </si>
  <si>
    <t>powder (white powder on ground)</t>
  </si>
  <si>
    <t>R D R’ U*</t>
  </si>
  <si>
    <t>D U^</t>
  </si>
  <si>
    <t>R F’</t>
  </si>
  <si>
    <t>U^</t>
  </si>
  <si>
    <t>D2'! R’ D R^</t>
  </si>
  <si>
    <t>stapler (office tool)</t>
  </si>
  <si>
    <t>stubble (cut stalks of plants stuck in ground)</t>
  </si>
  <si>
    <t>stache (mustache fake)</t>
  </si>
  <si>
    <t>studs (soccer cleats)</t>
  </si>
  <si>
    <t>steel (long metal pipes)</t>
  </si>
  <si>
    <t>staff (long curly magic stick)</t>
  </si>
  <si>
    <t>stag (deer animal)</t>
  </si>
  <si>
    <t>stethoscope (heart measure monitor medical device)</t>
  </si>
  <si>
    <t>stile (3 steps up and down)</t>
  </si>
  <si>
    <t>stocking (christmas sock for gifts/presents)</t>
  </si>
  <si>
    <t>stilts (two long sticks/poles)</t>
  </si>
  <si>
    <t>stump (cut down tree)</t>
  </si>
  <si>
    <t>stencil (toy to draw/write/trace)</t>
  </si>
  <si>
    <t>stone (large rock)</t>
  </si>
  <si>
    <t>stop sign (red signal traffic)</t>
  </si>
  <si>
    <t>stastny (hockey stick)</t>
  </si>
  <si>
    <t>starfish (animal water)</t>
  </si>
  <si>
    <t>stastna (whiteboard marker)</t>
  </si>
  <si>
    <t>stats (pie graphs on board)</t>
  </si>
  <si>
    <t>stool (short furniture sit)</t>
  </si>
  <si>
    <t>stout (beer alcohol drink)</t>
  </si>
  <si>
    <t>rake (tool mop sweep)</t>
  </si>
  <si>
    <t>rabbit (hare animal)</t>
  </si>
  <si>
    <t>rash (itch cream toothpaste container tube)</t>
  </si>
  <si>
    <t>rod (fishing rod pole)</t>
  </si>
  <si>
    <t>wreath (christmas green leaf thing)</t>
  </si>
  <si>
    <t>raft (blow-up boat inflate)</t>
  </si>
  <si>
    <t>rug (circular round carpet)</t>
  </si>
  <si>
    <t>rutherford (waterloo runner)</t>
  </si>
  <si>
    <t>rice (white grain food)</t>
  </si>
  <si>
    <t>ridges (megaminx)</t>
  </si>
  <si>
    <t>rocket (launch)</t>
  </si>
  <si>
    <t>relic (old artifact from age of empires 2)</t>
  </si>
  <si>
    <t>ram (battering ram)</t>
  </si>
  <si>
    <t>R B R’ (U* D’)</t>
  </si>
  <si>
    <t>wrench (spanner tool)</t>
  </si>
  <si>
    <t>robot (butter robot from rm)</t>
  </si>
  <si>
    <t>R’ D’</t>
  </si>
  <si>
    <t>raptor (flying dinosaur)</t>
  </si>
  <si>
    <t>D R’ (D U*)</t>
  </si>
  <si>
    <t>restaurant (table with benches and menu)</t>
  </si>
  <si>
    <t>rearview (mirror)</t>
  </si>
  <si>
    <t>l</t>
  </si>
  <si>
    <t>recipe (cook book)</t>
  </si>
  <si>
    <t>U R’ F’ R^</t>
  </si>
  <si>
    <t>rattle (baby toy shake)</t>
  </si>
  <si>
    <t>D R’^</t>
  </si>
  <si>
    <t>ruler (stick)</t>
  </si>
  <si>
    <t>R’ U*</t>
  </si>
  <si>
    <t>revolver (old hand gun weapon)</t>
  </si>
  <si>
    <t>l D</t>
  </si>
  <si>
    <t>router (internet device with antenna sticking up)</t>
  </si>
  <si>
    <t>R’ U R D</t>
  </si>
  <si>
    <t>safe (box with lock)</t>
  </si>
  <si>
    <t>sub (sandwich food)</t>
  </si>
  <si>
    <t>sachet (small bag filled with powder)</t>
  </si>
  <si>
    <t>saddle (for horse)</t>
  </si>
  <si>
    <t>seashell (beach creature)</t>
  </si>
  <si>
    <t>cephalopod (octopus/squid; animal water)</t>
  </si>
  <si>
    <t>cigar (cigarette smoke)</t>
  </si>
  <si>
    <t>scythe (knife blade)</t>
  </si>
  <si>
    <t>cyber (man; dw robot)</t>
  </si>
  <si>
    <t>sock (clothing foot)</t>
  </si>
  <si>
    <t>celery (vegetable food green)</t>
  </si>
  <si>
    <t>cymbals (instrument)</t>
  </si>
  <si>
    <t>sonic (screwdriver, dw)</t>
  </si>
  <si>
    <t>soap (clean bar wash)</t>
  </si>
  <si>
    <t>sap (liquid from tree)</t>
  </si>
  <si>
    <t>cyst (cavity sac growing on something containing fluid)</t>
  </si>
  <si>
    <t>surf (beach board)</t>
  </si>
  <si>
    <t>sauce (dipping)</t>
  </si>
  <si>
    <t>satellite (orbit machine)</t>
  </si>
  <si>
    <t>suitcase (luggage suitcases baggage)</t>
  </si>
  <si>
    <t>sieve (fine filter)</t>
  </si>
  <si>
    <t>southpole (santa spinning stick in ground)</t>
  </si>
  <si>
    <t>tape (scotch tape)</t>
  </si>
  <si>
    <t>toboggan (sled)</t>
  </si>
  <si>
    <t>tissue (cloth for blowing nose)</t>
  </si>
  <si>
    <t>teddy (stuffed bear)</t>
  </si>
  <si>
    <t xml:space="preserve"> </t>
  </si>
  <si>
    <t>tea (teapot with cup of tea on saucer)</t>
  </si>
  <si>
    <t>toffee (candy junk food)</t>
  </si>
  <si>
    <t>tugboat (barge boat which pulls stuff)</t>
  </si>
  <si>
    <t>tether (coild of rope wound around ship docking thing)</t>
  </si>
  <si>
    <t>tire (wheel car rubber)</t>
  </si>
  <si>
    <t>tajine (earthenware pot for cooking)</t>
  </si>
  <si>
    <t>taco (food)</t>
  </si>
  <si>
    <t>tele (television, tv)</t>
  </si>
  <si>
    <t>tambourine (hitting drum instrument)</t>
  </si>
  <si>
    <t>tent (tarp camp)</t>
  </si>
  <si>
    <t>totem (native pole)</t>
  </si>
  <si>
    <t>tupperwear (plastic container)</t>
  </si>
  <si>
    <t>testicle (male balls)</t>
  </si>
  <si>
    <t>tardis (dw)</t>
  </si>
  <si>
    <t>tusk (horn)</t>
  </si>
  <si>
    <t>tetrahedron (pyraminx)</t>
  </si>
  <si>
    <t>tomb(stone) (grave)</t>
  </si>
  <si>
    <t>tavel (wine)</t>
  </si>
  <si>
    <t>towel (cloth for drying)</t>
  </si>
  <si>
    <t>train (toy version; vehicle)</t>
  </si>
  <si>
    <t>trebuchet (catapault launch)</t>
  </si>
  <si>
    <t>trash (black tied up bag; waste trash)</t>
  </si>
  <si>
    <t>treadmill (exercise device machine)</t>
  </si>
  <si>
    <t>tree (wood plant)</t>
  </si>
  <si>
    <t>traffic (traffic lights, red green yellow)</t>
  </si>
  <si>
    <t>troth (for feeding pigs)</t>
  </si>
  <si>
    <t>trident (pitchfork)</t>
  </si>
  <si>
    <t>tragedy (crime scene, body outline, police tape)</t>
  </si>
  <si>
    <t>tractor (farm equipment tool)</t>
  </si>
  <si>
    <t>trolley (tram train cart; from that mario kart level)</t>
  </si>
  <si>
    <t>trumpet (wind instrument)</t>
  </si>
  <si>
    <t>transformer (transformers)</t>
  </si>
  <si>
    <t>trojan (condom)</t>
  </si>
  <si>
    <t>triptech (triple-photograph picture frame)</t>
  </si>
  <si>
    <t>tress (long lock of hair)</t>
  </si>
  <si>
    <t>trotter (race horse)</t>
  </si>
  <si>
    <t>troop (army guy)</t>
  </si>
  <si>
    <t>travelogue (paper pamphlet)</t>
  </si>
  <si>
    <t>trousers (pants, jeans, clothes)</t>
  </si>
  <si>
    <t>veil (head cover clothe)</t>
  </si>
  <si>
    <t>vishnu (religious thing with multiple arms)</t>
  </si>
  <si>
    <t>video (tape movie cassette)</t>
  </si>
  <si>
    <t>visa (credit/debit card)</t>
  </si>
  <si>
    <t>veff (tripod)</t>
  </si>
  <si>
    <t>vagabond (stacks of cash)</t>
  </si>
  <si>
    <t>viper (snake)</t>
  </si>
  <si>
    <t>veggies (bag full of vegetables)</t>
  </si>
  <si>
    <t>vacuum (suck machine appliance)</t>
  </si>
  <si>
    <t>volcano (erupting lava mountain)</t>
  </si>
  <si>
    <t>vomit (puke throw up)</t>
  </si>
  <si>
    <t>vender (vending machine)</t>
  </si>
  <si>
    <t>vest (sleeveless coat jacket clothing)</t>
  </si>
  <si>
    <t>vermin (rats/mice/mouse/rodent)</t>
  </si>
  <si>
    <t>vaseline (cream in tub/jar/container)</t>
  </si>
  <si>
    <t>vat (large cylinder container of liquid)</t>
  </si>
  <si>
    <t>voodoo (doll)</t>
  </si>
  <si>
    <t>vavasis (person prof waterloo)</t>
  </si>
  <si>
    <t>vowel (music sheet)</t>
  </si>
  <si>
    <t>weight (justice scale)</t>
  </si>
  <si>
    <t>web (net)</t>
  </si>
  <si>
    <t>washer (washing machine dryer)</t>
  </si>
  <si>
    <t>wood (pile of logs)</t>
  </si>
  <si>
    <t>wheel (steering wheel, maybe wii; round tire steering)</t>
  </si>
  <si>
    <t>waffle (food pancake)</t>
  </si>
  <si>
    <t>wagon (small toy cart)</t>
  </si>
  <si>
    <t>weather (vane)</t>
  </si>
  <si>
    <t>wire (coil of metal string)</t>
  </si>
  <si>
    <t>wedge (door stop)</t>
  </si>
  <si>
    <t>walker (for old people)</t>
  </si>
  <si>
    <t>wallet (money holder cash cards)</t>
  </si>
  <si>
    <t>wimble (hand-held drill)</t>
  </si>
  <si>
    <t>windmill (building with rotating arms)</t>
  </si>
  <si>
    <t>whip</t>
  </si>
  <si>
    <t>wardrobe (big closet furniture)</t>
  </si>
  <si>
    <t>whistle (life guard sound)</t>
  </si>
  <si>
    <t>waterfall</t>
  </si>
  <si>
    <t>wuque (4x4 cube puzzle in cosmic bag)</t>
  </si>
  <si>
    <t>U R U*</t>
  </si>
  <si>
    <t>(U D’) R^</t>
  </si>
  <si>
    <t>U’ R’^</t>
  </si>
  <si>
    <t>U’ R’ U*</t>
  </si>
  <si>
    <t>R’ F’ R^</t>
  </si>
  <si>
    <t>(U’ D) R’^</t>
  </si>
  <si>
    <t>R B R’ U*</t>
  </si>
  <si>
    <t>R’ F’ R (D’ U*)</t>
  </si>
  <si>
    <t>(U’ D’) R’^</t>
  </si>
  <si>
    <t>R F'</t>
  </si>
  <si>
    <t>(U D’) R D’ R’^</t>
  </si>
  <si>
    <t>U R D’ R’^</t>
  </si>
  <si>
    <t>U’ R’ D R^</t>
  </si>
  <si>
    <t>[U’ L’ U, R]</t>
  </si>
  <si>
    <t>(U D) R’ U’</t>
  </si>
  <si>
    <t>R’ U</t>
  </si>
  <si>
    <t>R U’</t>
  </si>
  <si>
    <t>D R’ U</t>
  </si>
  <si>
    <t>[U’ L U, R]</t>
  </si>
  <si>
    <t>D R U’</t>
  </si>
  <si>
    <t>R’ (U D) R U*</t>
  </si>
  <si>
    <t>R (U’ D) R’ U*</t>
  </si>
  <si>
    <t>D’ R’ U</t>
  </si>
  <si>
    <t>(U D) R’ F’</t>
  </si>
  <si>
    <t>D R U’ R’^</t>
  </si>
  <si>
    <t>U</t>
  </si>
  <si>
    <t>U R U’ R’^</t>
  </si>
  <si>
    <t>D R’ D’ R^</t>
  </si>
  <si>
    <t>D R’ F’</t>
  </si>
  <si>
    <t>l D’</t>
  </si>
  <si>
    <t>R’ U R U*</t>
  </si>
  <si>
    <t>R’ F’ R D’</t>
  </si>
  <si>
    <t>R2’ U</t>
  </si>
  <si>
    <t>R’ F R U’^</t>
  </si>
  <si>
    <t>D’ R’ U R^</t>
  </si>
  <si>
    <t>R B R’^</t>
  </si>
  <si>
    <t>R2’ F</t>
  </si>
  <si>
    <t>R’ U R (D U*)</t>
  </si>
  <si>
    <t>R U’ R’^</t>
  </si>
  <si>
    <t>D^</t>
  </si>
  <si>
    <t>U’</t>
  </si>
  <si>
    <t>U R (U’ D*)</t>
  </si>
  <si>
    <t>U R B</t>
  </si>
  <si>
    <t>[R’, U’ L U]</t>
  </si>
  <si>
    <t>D*</t>
  </si>
  <si>
    <t>(U D) R D’ R’^</t>
  </si>
  <si>
    <t>D’ R U’ R’^</t>
  </si>
  <si>
    <t>R’ (U D) R^</t>
  </si>
  <si>
    <t>R’ U R (D’ U*)</t>
  </si>
  <si>
    <t>D R’ D’</t>
  </si>
  <si>
    <t>D R’ U R^</t>
  </si>
  <si>
    <t>(D’ U^)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</si>
</sst>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0.0"/>
    </font>
    <font>
      <b/>
    </font>
    <font>
      <sz val="10.0"/>
    </font>
    <font/>
    <font>
      <color rgb="FF000000"/>
      <name val="Arial"/>
    </font>
    <font>
      <sz val="10.0"/>
      <color rgb="FF000000"/>
    </font>
    <font>
      <sz val="11.0"/>
      <color rgb="FF000000"/>
      <name val="Inconsolata"/>
    </font>
    <font>
      <b/>
      <sz val="10.0"/>
      <color rgb="FF000000"/>
    </font>
    <font>
      <sz val="11.0"/>
      <color rgb="FF000000"/>
      <name val="Arial"/>
    </font>
    <font>
      <name val="Arial"/>
    </font>
    <font>
      <b/>
      <sz val="10.0"/>
      <color rgb="FF000000"/>
      <name val="Arial"/>
    </font>
    <font>
      <color rgb="FFFF9900"/>
    </font>
    <font>
      <color rgb="FF000000"/>
    </font>
    <font>
      <b/>
      <sz val="10.0"/>
      <name val="Arial"/>
    </font>
    <font>
      <color rgb="FFFF00FF"/>
    </font>
    <font>
      <color rgb="FFFF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99FF"/>
        <bgColor rgb="FFFF99FF"/>
      </patternFill>
    </fill>
    <fill>
      <patternFill patternType="solid">
        <fgColor rgb="FF6666FF"/>
        <bgColor rgb="FF6666FF"/>
      </patternFill>
    </fill>
    <fill>
      <patternFill patternType="solid">
        <fgColor rgb="FFFFFF00"/>
        <bgColor rgb="FFFFFF00"/>
      </patternFill>
    </fill>
    <fill>
      <patternFill patternType="solid">
        <fgColor rgb="FFFF6600"/>
        <bgColor rgb="FFFF6600"/>
      </patternFill>
    </fill>
    <fill>
      <patternFill patternType="solid">
        <fgColor rgb="FF009900"/>
        <bgColor rgb="FF009900"/>
      </patternFill>
    </fill>
    <fill>
      <patternFill patternType="solid">
        <fgColor rgb="FFFF3333"/>
        <bgColor rgb="FFFF333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3" fontId="1" numFmtId="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4" fontId="2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vertical="center"/>
    </xf>
    <xf borderId="0" fillId="5" fontId="2" numFmtId="0" xfId="0" applyAlignment="1" applyFont="1">
      <alignment horizontal="center" readingOrder="0"/>
    </xf>
    <xf borderId="1" fillId="9" fontId="3" numFmtId="0" xfId="0" applyAlignment="1" applyBorder="1" applyFill="1" applyFont="1">
      <alignment horizontal="left" readingOrder="0" vertical="center"/>
    </xf>
    <xf borderId="2" fillId="9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readingOrder="0" vertical="center"/>
    </xf>
    <xf borderId="2" fillId="9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left" readingOrder="0" vertical="center"/>
    </xf>
    <xf borderId="0" fillId="0" fontId="3" numFmtId="4" xfId="0" applyAlignment="1" applyFont="1" applyNumberFormat="1">
      <alignment horizontal="center" readingOrder="0" vertical="center"/>
    </xf>
    <xf borderId="4" fillId="9" fontId="3" numFmtId="4" xfId="0" applyAlignment="1" applyBorder="1" applyFont="1" applyNumberFormat="1">
      <alignment horizontal="center" vertical="center"/>
    </xf>
    <xf borderId="5" fillId="9" fontId="3" numFmtId="4" xfId="0" applyAlignment="1" applyBorder="1" applyFont="1" applyNumberFormat="1">
      <alignment horizontal="center" vertical="center"/>
    </xf>
    <xf borderId="5" fillId="0" fontId="3" numFmtId="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5" fillId="9" fontId="3" numFmtId="4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6" fillId="0" fontId="3" numFmtId="4" xfId="0" applyAlignment="1" applyBorder="1" applyFont="1" applyNumberFormat="1">
      <alignment horizontal="center" readingOrder="0" vertical="center"/>
    </xf>
    <xf borderId="1" fillId="9" fontId="3" numFmtId="0" xfId="0" applyAlignment="1" applyBorder="1" applyFont="1">
      <alignment horizontal="left" vertical="center"/>
    </xf>
    <xf borderId="0" fillId="8" fontId="5" numFmtId="0" xfId="0" applyAlignment="1" applyFont="1">
      <alignment horizontal="left" readingOrder="0"/>
    </xf>
    <xf borderId="0" fillId="6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2" fillId="0" fontId="4" numFmtId="0" xfId="0" applyBorder="1" applyFont="1"/>
    <xf borderId="0" fillId="8" fontId="2" numFmtId="0" xfId="0" applyAlignment="1" applyFont="1">
      <alignment horizontal="center" readingOrder="0"/>
    </xf>
    <xf borderId="2" fillId="4" fontId="4" numFmtId="0" xfId="0" applyAlignment="1" applyBorder="1" applyFont="1">
      <alignment horizontal="center" readingOrder="0" vertical="center"/>
    </xf>
    <xf borderId="3" fillId="0" fontId="4" numFmtId="0" xfId="0" applyBorder="1" applyFont="1"/>
    <xf borderId="0" fillId="0" fontId="2" numFmtId="0" xfId="0" applyAlignment="1" applyFont="1">
      <alignment horizontal="center" readingOrder="0"/>
    </xf>
    <xf borderId="7" fillId="0" fontId="4" numFmtId="0" xfId="0" applyBorder="1" applyFont="1"/>
    <xf borderId="5" fillId="0" fontId="3" numFmtId="4" xfId="0" applyAlignment="1" applyBorder="1" applyFont="1" applyNumberFormat="1">
      <alignment horizontal="center" vertical="center"/>
    </xf>
    <xf borderId="6" fillId="0" fontId="3" numFmtId="4" xfId="0" applyAlignment="1" applyBorder="1" applyFont="1" applyNumberFormat="1">
      <alignment horizontal="center" vertical="center"/>
    </xf>
    <xf borderId="8" fillId="0" fontId="4" numFmtId="0" xfId="0" applyBorder="1" applyFont="1"/>
    <xf borderId="1" fillId="0" fontId="3" numFmtId="0" xfId="0" applyAlignment="1" applyBorder="1" applyFont="1">
      <alignment horizontal="left" readingOrder="0" vertical="center"/>
    </xf>
    <xf borderId="2" fillId="9" fontId="3" numFmtId="0" xfId="0" applyAlignment="1" applyBorder="1" applyFont="1">
      <alignment horizontal="left" vertical="center"/>
    </xf>
    <xf borderId="0" fillId="3" fontId="2" numFmtId="0" xfId="0" applyAlignment="1" applyFont="1">
      <alignment horizontal="center" readingOrder="0" vertical="center"/>
    </xf>
    <xf borderId="1" fillId="9" fontId="4" numFmtId="0" xfId="0" applyAlignment="1" applyBorder="1" applyFont="1">
      <alignment horizontal="left"/>
    </xf>
    <xf borderId="0" fillId="0" fontId="4" numFmtId="0" xfId="0" applyAlignment="1" applyFont="1">
      <alignment horizontal="center" readingOrder="0" vertical="center"/>
    </xf>
    <xf borderId="4" fillId="0" fontId="3" numFmtId="4" xfId="0" applyAlignment="1" applyBorder="1" applyFont="1" applyNumberFormat="1">
      <alignment horizontal="center" readingOrder="0" vertical="center"/>
    </xf>
    <xf borderId="7" fillId="4" fontId="4" numFmtId="0" xfId="0" applyAlignment="1" applyBorder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2" fillId="9" fontId="4" numFmtId="0" xfId="0" applyAlignment="1" applyBorder="1" applyFont="1">
      <alignment horizontal="left"/>
    </xf>
    <xf borderId="3" fillId="9" fontId="4" numFmtId="0" xfId="0" applyAlignment="1" applyBorder="1" applyFont="1">
      <alignment horizontal="left"/>
    </xf>
    <xf borderId="4" fillId="9" fontId="4" numFmtId="4" xfId="0" applyAlignment="1" applyBorder="1" applyFont="1" applyNumberFormat="1">
      <alignment horizontal="center" vertical="center"/>
    </xf>
    <xf borderId="5" fillId="9" fontId="4" numFmtId="4" xfId="0" applyAlignment="1" applyBorder="1" applyFont="1" applyNumberFormat="1">
      <alignment horizontal="center" vertical="center"/>
    </xf>
    <xf borderId="4" fillId="0" fontId="4" numFmtId="0" xfId="0" applyBorder="1" applyFont="1"/>
    <xf borderId="6" fillId="9" fontId="4" numFmtId="4" xfId="0" applyAlignment="1" applyBorder="1" applyFont="1" applyNumberFormat="1">
      <alignment horizontal="center" vertical="center"/>
    </xf>
    <xf borderId="0" fillId="4" fontId="2" numFmtId="0" xfId="0" applyAlignment="1" applyFont="1">
      <alignment horizontal="center" readingOrder="0" vertical="center"/>
    </xf>
    <xf borderId="1" fillId="9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 readingOrder="0"/>
    </xf>
    <xf borderId="3" fillId="9" fontId="3" numFmtId="0" xfId="0" applyAlignment="1" applyBorder="1" applyFont="1">
      <alignment horizontal="left" readingOrder="0" vertical="center"/>
    </xf>
    <xf borderId="5" fillId="0" fontId="4" numFmtId="0" xfId="0" applyBorder="1" applyFont="1"/>
    <xf borderId="6" fillId="0" fontId="4" numFmtId="0" xfId="0" applyBorder="1" applyFont="1"/>
    <xf borderId="1" fillId="10" fontId="4" numFmtId="0" xfId="0" applyAlignment="1" applyBorder="1" applyFill="1" applyFont="1">
      <alignment horizontal="center" readingOrder="0" vertical="center"/>
    </xf>
    <xf borderId="4" fillId="9" fontId="3" numFmtId="4" xfId="0" applyAlignment="1" applyBorder="1" applyFont="1" applyNumberFormat="1">
      <alignment horizontal="center" readingOrder="0" vertical="center"/>
    </xf>
    <xf borderId="6" fillId="9" fontId="3" numFmtId="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left" readingOrder="0"/>
    </xf>
    <xf borderId="2" fillId="10" fontId="4" numFmtId="0" xfId="0" applyAlignment="1" applyBorder="1" applyFont="1">
      <alignment horizontal="center" readingOrder="0" vertical="center"/>
    </xf>
    <xf borderId="5" fillId="9" fontId="4" numFmtId="4" xfId="0" applyAlignment="1" applyBorder="1" applyFont="1" applyNumberFormat="1">
      <alignment horizontal="center"/>
    </xf>
    <xf borderId="7" fillId="11" fontId="4" numFmtId="0" xfId="0" applyAlignment="1" applyBorder="1" applyFill="1" applyFont="1">
      <alignment horizontal="center" readingOrder="0" vertical="center"/>
    </xf>
    <xf borderId="5" fillId="0" fontId="4" numFmtId="4" xfId="0" applyAlignment="1" applyBorder="1" applyFont="1" applyNumberFormat="1">
      <alignment horizontal="center"/>
    </xf>
    <xf borderId="5" fillId="0" fontId="4" numFmtId="4" xfId="0" applyAlignment="1" applyBorder="1" applyFont="1" applyNumberFormat="1">
      <alignment horizontal="center" readingOrder="0"/>
    </xf>
    <xf borderId="5" fillId="0" fontId="4" numFmtId="4" xfId="0" applyAlignment="1" applyBorder="1" applyFont="1" applyNumberFormat="1">
      <alignment horizontal="center" vertical="center"/>
    </xf>
    <xf borderId="5" fillId="0" fontId="4" numFmtId="4" xfId="0" applyAlignment="1" applyBorder="1" applyFont="1" applyNumberFormat="1">
      <alignment horizontal="center" readingOrder="0" vertical="center"/>
    </xf>
    <xf borderId="0" fillId="11" fontId="4" numFmtId="0" xfId="0" applyAlignment="1" applyFont="1">
      <alignment horizontal="center" readingOrder="0" vertical="center"/>
    </xf>
    <xf borderId="6" fillId="0" fontId="4" numFmtId="4" xfId="0" applyAlignment="1" applyBorder="1" applyFont="1" applyNumberFormat="1">
      <alignment horizontal="center" vertical="center"/>
    </xf>
    <xf borderId="1" fillId="12" fontId="4" numFmtId="0" xfId="0" applyAlignment="1" applyBorder="1" applyFill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2" fillId="12" fontId="4" numFmtId="0" xfId="0" applyAlignment="1" applyBorder="1" applyFont="1">
      <alignment horizontal="center" readingOrder="0" vertical="center"/>
    </xf>
    <xf borderId="1" fillId="13" fontId="4" numFmtId="0" xfId="0" applyAlignment="1" applyBorder="1" applyFill="1" applyFont="1">
      <alignment horizontal="center" readingOrder="0" vertical="center"/>
    </xf>
    <xf borderId="2" fillId="13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7" fillId="10" fontId="4" numFmtId="0" xfId="0" applyAlignment="1" applyBorder="1" applyFont="1">
      <alignment horizontal="center" readingOrder="0" vertical="center"/>
    </xf>
    <xf borderId="0" fillId="10" fontId="4" numFmtId="0" xfId="0" applyAlignment="1" applyFont="1">
      <alignment horizontal="center" readingOrder="0" vertical="center"/>
    </xf>
    <xf borderId="0" fillId="11" fontId="3" numFmtId="4" xfId="0" applyAlignment="1" applyFont="1" applyNumberFormat="1">
      <alignment horizontal="center" readingOrder="0" vertical="center"/>
    </xf>
    <xf borderId="7" fillId="12" fontId="4" numFmtId="0" xfId="0" applyAlignment="1" applyBorder="1" applyFon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7" fillId="13" fontId="4" numFmtId="0" xfId="0" applyAlignment="1" applyBorder="1" applyFont="1">
      <alignment horizontal="center" readingOrder="0" vertical="center"/>
    </xf>
    <xf borderId="0" fillId="13" fontId="4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6" fillId="0" fontId="4" numFmtId="4" xfId="0" applyAlignment="1" applyBorder="1" applyFont="1" applyNumberForma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3" fillId="9" fontId="3" numFmtId="0" xfId="0" applyAlignment="1" applyBorder="1" applyFont="1">
      <alignment horizontal="left" vertical="center"/>
    </xf>
    <xf borderId="0" fillId="6" fontId="2" numFmtId="0" xfId="0" applyAlignment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2" fillId="0" fontId="4" numFmtId="0" xfId="0" applyAlignment="1" applyBorder="1" applyFont="1">
      <alignment horizontal="left" readingOrder="0"/>
    </xf>
    <xf borderId="0" fillId="0" fontId="1" numFmtId="4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6" numFmtId="3" xfId="0" applyAlignment="1" applyFont="1" applyNumberFormat="1">
      <alignment horizontal="center" vertical="center"/>
    </xf>
    <xf borderId="1" fillId="9" fontId="3" numFmtId="0" xfId="0" applyAlignment="1" applyBorder="1" applyFont="1">
      <alignment horizontal="left"/>
    </xf>
    <xf borderId="2" fillId="9" fontId="3" numFmtId="0" xfId="0" applyAlignment="1" applyBorder="1" applyFont="1">
      <alignment horizontal="left"/>
    </xf>
    <xf borderId="0" fillId="0" fontId="6" numFmtId="3" xfId="0" applyAlignment="1" applyFont="1" applyNumberFormat="1">
      <alignment horizontal="center" readingOrder="0" vertical="center"/>
    </xf>
    <xf borderId="3" fillId="9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8" fontId="7" numFmtId="3" xfId="0" applyAlignment="1" applyFont="1" applyNumberFormat="1">
      <alignment horizontal="center"/>
    </xf>
    <xf borderId="4" fillId="9" fontId="3" numFmtId="4" xfId="0" applyAlignment="1" applyBorder="1" applyFont="1" applyNumberFormat="1">
      <alignment horizontal="left"/>
    </xf>
    <xf borderId="5" fillId="9" fontId="3" numFmtId="4" xfId="0" applyAlignment="1" applyBorder="1" applyFont="1" applyNumberFormat="1">
      <alignment horizontal="left"/>
    </xf>
    <xf borderId="5" fillId="9" fontId="3" numFmtId="4" xfId="0" applyAlignment="1" applyBorder="1" applyFont="1" applyNumberFormat="1">
      <alignment horizontal="center"/>
    </xf>
    <xf borderId="6" fillId="9" fontId="3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/>
    </xf>
    <xf borderId="1" fillId="9" fontId="3" numFmtId="0" xfId="0" applyAlignment="1" applyBorder="1" applyFont="1">
      <alignment horizontal="left"/>
    </xf>
    <xf borderId="0" fillId="8" fontId="2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5" fillId="0" fontId="3" numFmtId="4" xfId="0" applyAlignment="1" applyBorder="1" applyFont="1" applyNumberFormat="1">
      <alignment horizontal="left"/>
    </xf>
    <xf borderId="5" fillId="0" fontId="3" numFmtId="4" xfId="0" applyAlignment="1" applyBorder="1" applyFont="1" applyNumberFormat="1">
      <alignment horizontal="center"/>
    </xf>
    <xf borderId="6" fillId="0" fontId="3" numFmtId="4" xfId="0" applyAlignment="1" applyBorder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0" fillId="0" fontId="8" numFmtId="3" xfId="0" applyAlignment="1" applyFont="1" applyNumberFormat="1">
      <alignment horizontal="center" readingOrder="0" vertical="center"/>
    </xf>
    <xf borderId="4" fillId="9" fontId="3" numFmtId="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 readingOrder="0"/>
    </xf>
    <xf borderId="6" fillId="0" fontId="3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left" readingOrder="0"/>
    </xf>
    <xf quotePrefix="1" borderId="0" fillId="0" fontId="6" numFmtId="0" xfId="0" applyAlignment="1" applyFont="1">
      <alignment horizontal="center" readingOrder="0" vertical="center"/>
    </xf>
    <xf borderId="5" fillId="0" fontId="3" numFmtId="4" xfId="0" applyAlignment="1" applyBorder="1" applyFont="1" applyNumberFormat="1">
      <alignment horizontal="left" readingOrder="0"/>
    </xf>
    <xf quotePrefix="1" borderId="0" fillId="8" fontId="9" numFmtId="0" xfId="0" applyAlignment="1" applyFont="1">
      <alignment horizontal="center" readingOrder="0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4" fillId="0" fontId="3" numFmtId="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0" fillId="0" fontId="3" numFmtId="4" xfId="0" applyAlignment="1" applyFont="1" applyNumberFormat="1">
      <alignment horizontal="left"/>
    </xf>
    <xf borderId="0" fillId="0" fontId="3" numFmtId="4" xfId="0" applyAlignment="1" applyFont="1" applyNumberFormat="1">
      <alignment horizontal="right" readingOrder="0"/>
    </xf>
    <xf borderId="0" fillId="0" fontId="3" numFmtId="4" xfId="0" applyAlignment="1" applyFont="1" applyNumberFormat="1">
      <alignment horizontal="left" readingOrder="0" vertical="center"/>
    </xf>
    <xf borderId="1" fillId="9" fontId="4" numFmtId="0" xfId="0" applyBorder="1" applyFont="1"/>
    <xf borderId="2" fillId="0" fontId="4" numFmtId="0" xfId="0" applyAlignment="1" applyBorder="1" applyFont="1">
      <alignment readingOrder="0"/>
    </xf>
    <xf borderId="2" fillId="9" fontId="4" numFmtId="0" xfId="0" applyBorder="1" applyFont="1"/>
    <xf borderId="3" fillId="9" fontId="4" numFmtId="0" xfId="0" applyBorder="1" applyFont="1"/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horizontal="center" readingOrder="0" vertical="center"/>
    </xf>
    <xf borderId="1" fillId="0" fontId="4" numFmtId="0" xfId="0" applyBorder="1" applyFont="1"/>
    <xf borderId="9" fillId="2" fontId="1" numFmtId="0" xfId="0" applyAlignment="1" applyBorder="1" applyFont="1">
      <alignment horizontal="center" readingOrder="0" vertical="center"/>
    </xf>
    <xf borderId="4" fillId="0" fontId="4" numFmtId="4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readingOrder="0"/>
    </xf>
    <xf borderId="9" fillId="0" fontId="2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horizontal="center" readingOrder="0"/>
    </xf>
    <xf borderId="0" fillId="9" fontId="4" numFmtId="0" xfId="0" applyFont="1"/>
    <xf borderId="0" fillId="9" fontId="4" numFmtId="0" xfId="0" applyAlignment="1" applyFont="1">
      <alignment readingOrder="0"/>
    </xf>
    <xf borderId="0" fillId="9" fontId="4" numFmtId="2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2" fillId="9" fontId="4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9" fontId="4" numFmtId="2" xfId="0" applyFont="1" applyNumberFormat="1"/>
    <xf borderId="2" fillId="9" fontId="3" numFmtId="2" xfId="0" applyAlignment="1" applyBorder="1" applyFont="1" applyNumberFormat="1">
      <alignment horizontal="left" readingOrder="0" vertical="center"/>
    </xf>
    <xf borderId="2" fillId="0" fontId="4" numFmtId="2" xfId="0" applyAlignment="1" applyBorder="1" applyFont="1" applyNumberFormat="1">
      <alignment readingOrder="0"/>
    </xf>
    <xf borderId="2" fillId="0" fontId="4" numFmtId="2" xfId="0" applyBorder="1" applyFont="1" applyNumberFormat="1"/>
    <xf borderId="3" fillId="0" fontId="4" numFmtId="2" xfId="0" applyBorder="1" applyFont="1" applyNumberFormat="1"/>
    <xf borderId="0" fillId="0" fontId="4" numFmtId="2" xfId="0" applyAlignment="1" applyFont="1" applyNumberFormat="1">
      <alignment horizontal="center" readingOrder="0" vertical="center"/>
    </xf>
    <xf borderId="0" fillId="9" fontId="3" numFmtId="2" xfId="0" applyAlignment="1" applyFont="1" applyNumberFormat="1">
      <alignment horizontal="center" readingOrder="0" vertical="center"/>
    </xf>
    <xf borderId="0" fillId="0" fontId="4" numFmtId="2" xfId="0" applyAlignment="1" applyFont="1" applyNumberFormat="1">
      <alignment horizontal="center" vertical="center"/>
    </xf>
    <xf borderId="8" fillId="0" fontId="4" numFmtId="2" xfId="0" applyAlignment="1" applyBorder="1" applyFont="1" applyNumberFormat="1">
      <alignment horizontal="center" vertical="center"/>
    </xf>
    <xf borderId="2" fillId="9" fontId="10" numFmtId="2" xfId="0" applyBorder="1" applyFont="1" applyNumberFormat="1"/>
    <xf borderId="0" fillId="9" fontId="10" numFmtId="2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4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4" fontId="4" numFmtId="0" xfId="0" applyAlignment="1" applyFont="1">
      <alignment horizontal="left" readingOrder="0"/>
    </xf>
    <xf borderId="0" fillId="8" fontId="11" numFmtId="10" xfId="0" applyFont="1" applyNumberFormat="1"/>
    <xf borderId="0" fillId="14" fontId="4" numFmtId="0" xfId="0" applyFill="1" applyFont="1"/>
    <xf borderId="2" fillId="9" fontId="10" numFmtId="2" xfId="0" applyAlignment="1" applyBorder="1" applyFont="1" applyNumberFormat="1">
      <alignment vertical="bottom"/>
    </xf>
    <xf borderId="3" fillId="9" fontId="10" numFmtId="2" xfId="0" applyAlignment="1" applyBorder="1" applyFont="1" applyNumberFormat="1">
      <alignment vertical="bottom"/>
    </xf>
    <xf borderId="8" fillId="9" fontId="10" numFmtId="2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4" fontId="13" numFmtId="0" xfId="0" applyAlignment="1" applyFont="1">
      <alignment horizontal="left" readingOrder="0"/>
    </xf>
    <xf borderId="5" fillId="9" fontId="10" numFmtId="2" xfId="0" applyAlignment="1" applyBorder="1" applyFont="1" applyNumberFormat="1">
      <alignment horizontal="center" vertical="center"/>
    </xf>
    <xf borderId="5" fillId="0" fontId="4" numFmtId="2" xfId="0" applyAlignment="1" applyBorder="1" applyFont="1" applyNumberFormat="1">
      <alignment horizontal="center" vertical="center"/>
    </xf>
    <xf borderId="6" fillId="0" fontId="4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4" numFmtId="10" xfId="0" applyFont="1" applyNumberFormat="1"/>
    <xf borderId="0" fillId="0" fontId="4" numFmtId="0" xfId="0" applyAlignment="1" applyFont="1">
      <alignment horizontal="right"/>
    </xf>
    <xf borderId="0" fillId="9" fontId="4" numFmtId="0" xfId="0" applyAlignment="1" applyFont="1">
      <alignment horizontal="left"/>
    </xf>
    <xf borderId="0" fillId="0" fontId="15" numFmtId="0" xfId="0" applyAlignment="1" applyFont="1">
      <alignment readingOrder="0"/>
    </xf>
    <xf borderId="0" fillId="9" fontId="4" numFmtId="0" xfId="0" applyAlignment="1" applyFont="1">
      <alignment horizontal="left" readingOrder="0"/>
    </xf>
    <xf borderId="0" fillId="4" fontId="5" numFmtId="0" xfId="0" applyAlignment="1" applyFont="1">
      <alignment horizontal="left" readingOrder="0"/>
    </xf>
    <xf borderId="1" fillId="9" fontId="3" numFmtId="0" xfId="0" applyAlignment="1" applyBorder="1" applyFont="1">
      <alignment horizontal="center" vertical="center"/>
    </xf>
    <xf borderId="0" fillId="0" fontId="15" numFmtId="0" xfId="0" applyAlignment="1" applyFont="1">
      <alignment horizontal="left" readingOrder="0"/>
    </xf>
    <xf borderId="2" fillId="9" fontId="3" numFmtId="0" xfId="0" applyAlignment="1" applyBorder="1" applyFont="1">
      <alignment horizontal="center" vertical="center"/>
    </xf>
    <xf borderId="0" fillId="4" fontId="15" numFmtId="0" xfId="0" applyAlignment="1" applyFont="1">
      <alignment horizontal="left" readingOrder="0"/>
    </xf>
    <xf borderId="2" fillId="0" fontId="3" numFmtId="0" xfId="0" applyAlignment="1" applyBorder="1" applyFont="1">
      <alignment horizontal="center" readingOrder="0" vertical="center"/>
    </xf>
    <xf borderId="2" fillId="9" fontId="3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3" fillId="0" fontId="3" numFmtId="0" xfId="0" applyAlignment="1" applyBorder="1" applyFont="1">
      <alignment horizontal="center" readingOrder="0" vertical="center"/>
    </xf>
    <xf borderId="0" fillId="9" fontId="4" numFmtId="0" xfId="0" applyAlignment="1" applyFont="1">
      <alignment horizontal="center" readingOrder="0"/>
    </xf>
    <xf borderId="0" fillId="8" fontId="16" numFmtId="0" xfId="0" applyAlignment="1" applyFont="1">
      <alignment readingOrder="0"/>
    </xf>
    <xf borderId="0" fillId="3" fontId="3" numFmtId="4" xfId="0" applyAlignment="1" applyFont="1" applyNumberFormat="1">
      <alignment horizontal="center" vertical="center"/>
    </xf>
    <xf borderId="0" fillId="4" fontId="3" numFmtId="4" xfId="0" applyAlignment="1" applyFont="1" applyNumberFormat="1">
      <alignment horizontal="center" vertical="center"/>
    </xf>
    <xf borderId="0" fillId="4" fontId="10" numFmtId="0" xfId="0" applyAlignment="1" applyFont="1">
      <alignment readingOrder="0"/>
    </xf>
    <xf borderId="0" fillId="5" fontId="3" numFmtId="4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4" fontId="15" numFmtId="0" xfId="0" applyAlignment="1" applyFont="1">
      <alignment readingOrder="0"/>
    </xf>
    <xf quotePrefix="1" borderId="0" fillId="0" fontId="4" numFmtId="0" xfId="0" applyAlignment="1" applyFont="1">
      <alignment horizontal="left" readingOrder="0"/>
    </xf>
    <xf borderId="0" fillId="8" fontId="5" numFmtId="0" xfId="0" applyAlignment="1" applyFont="1">
      <alignment readingOrder="0"/>
    </xf>
    <xf borderId="0" fillId="6" fontId="3" numFmtId="4" xfId="0" applyAlignment="1" applyFont="1" applyNumberFormat="1">
      <alignment horizontal="center" vertical="center"/>
    </xf>
    <xf borderId="3" fillId="9" fontId="3" numFmtId="0" xfId="0" applyAlignment="1" applyBorder="1" applyFont="1">
      <alignment horizontal="center" vertical="center"/>
    </xf>
    <xf borderId="0" fillId="7" fontId="3" numFmtId="4" xfId="0" applyAlignment="1" applyFont="1" applyNumberFormat="1">
      <alignment horizontal="center" vertical="center"/>
    </xf>
    <xf borderId="0" fillId="8" fontId="3" numFmtId="4" xfId="0" applyAlignment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7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8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9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75"/>
  <cols>
    <col customWidth="1" min="1" max="20" width="3.0"/>
  </cols>
  <sheetData>
    <row r="1">
      <c r="A1" s="24"/>
      <c r="B1" s="24"/>
      <c r="C1" s="24"/>
      <c r="D1" s="24"/>
      <c r="E1" s="24"/>
      <c r="F1" s="26" t="s">
        <v>51</v>
      </c>
      <c r="G1" s="32"/>
      <c r="H1" s="32"/>
      <c r="I1" s="34" t="s">
        <v>83</v>
      </c>
      <c r="J1" s="35"/>
      <c r="K1" s="24"/>
      <c r="L1" s="24"/>
      <c r="M1" s="24"/>
      <c r="N1" s="24"/>
      <c r="O1" s="24"/>
      <c r="P1" s="24"/>
      <c r="Q1" s="24"/>
      <c r="R1" s="24"/>
      <c r="S1" s="24"/>
      <c r="T1" s="24"/>
    </row>
    <row r="2">
      <c r="A2" s="24"/>
      <c r="B2" s="24"/>
      <c r="C2" s="24"/>
      <c r="D2" s="24"/>
      <c r="E2" s="24"/>
      <c r="F2" s="37"/>
      <c r="J2" s="40"/>
      <c r="K2" s="24"/>
      <c r="L2" s="24"/>
      <c r="M2" s="24"/>
      <c r="N2" s="24"/>
      <c r="O2" s="45"/>
      <c r="P2" s="24"/>
      <c r="Q2" s="24"/>
      <c r="R2" s="24"/>
      <c r="S2" s="24"/>
      <c r="T2" s="24"/>
    </row>
    <row r="3">
      <c r="A3" s="24"/>
      <c r="B3" s="24"/>
      <c r="C3" s="24"/>
      <c r="D3" s="24"/>
      <c r="E3" s="24"/>
      <c r="F3" s="47" t="s">
        <v>126</v>
      </c>
      <c r="H3" s="48"/>
      <c r="J3" s="40"/>
      <c r="K3" s="24"/>
      <c r="L3" s="24"/>
      <c r="M3" s="24"/>
      <c r="N3" s="24"/>
      <c r="O3" s="45"/>
      <c r="P3" s="24"/>
      <c r="Q3" s="24"/>
      <c r="R3" s="24"/>
      <c r="S3" s="24"/>
      <c r="T3" s="24"/>
    </row>
    <row r="4">
      <c r="A4" s="24"/>
      <c r="B4" s="24"/>
      <c r="C4" s="24"/>
      <c r="D4" s="24"/>
      <c r="E4" s="24"/>
      <c r="F4" s="37"/>
      <c r="H4" s="48"/>
      <c r="J4" s="40"/>
      <c r="K4" s="24"/>
      <c r="L4" s="24"/>
      <c r="M4" s="45"/>
      <c r="N4" s="24"/>
      <c r="O4" s="45"/>
      <c r="P4" s="45"/>
      <c r="Q4" s="45"/>
      <c r="R4" s="45"/>
      <c r="S4" s="45"/>
      <c r="T4" s="24"/>
    </row>
    <row r="5">
      <c r="A5" s="24"/>
      <c r="B5" s="24"/>
      <c r="C5" s="24"/>
      <c r="D5" s="24"/>
      <c r="E5" s="24"/>
      <c r="F5" s="53"/>
      <c r="G5" s="59"/>
      <c r="H5" s="59"/>
      <c r="I5" s="59"/>
      <c r="J5" s="60"/>
      <c r="K5" s="24"/>
      <c r="L5" s="24"/>
      <c r="M5" s="24"/>
      <c r="N5" s="24"/>
      <c r="O5" s="24"/>
      <c r="P5" s="24"/>
      <c r="Q5" s="24"/>
      <c r="R5" s="24"/>
      <c r="S5" s="24"/>
      <c r="T5" s="24"/>
    </row>
    <row r="6">
      <c r="A6" s="61" t="s">
        <v>239</v>
      </c>
      <c r="B6" s="32"/>
      <c r="C6" s="32"/>
      <c r="D6" s="65" t="s">
        <v>240</v>
      </c>
      <c r="E6" s="35"/>
      <c r="F6" s="67" t="s">
        <v>259</v>
      </c>
      <c r="I6" s="72" t="s">
        <v>260</v>
      </c>
      <c r="K6" s="74" t="s">
        <v>298</v>
      </c>
      <c r="L6" s="32"/>
      <c r="M6" s="32"/>
      <c r="N6" s="76" t="s">
        <v>317</v>
      </c>
      <c r="O6" s="35"/>
      <c r="P6" s="77" t="s">
        <v>329</v>
      </c>
      <c r="Q6" s="32"/>
      <c r="R6" s="32"/>
      <c r="S6" s="78" t="s">
        <v>351</v>
      </c>
      <c r="T6" s="35"/>
    </row>
    <row r="7">
      <c r="A7" s="37"/>
      <c r="E7" s="40"/>
      <c r="F7" s="37"/>
      <c r="K7" s="37"/>
      <c r="O7" s="40"/>
      <c r="P7" s="37"/>
      <c r="T7" s="40"/>
    </row>
    <row r="8">
      <c r="A8" s="80" t="s">
        <v>358</v>
      </c>
      <c r="C8" s="81"/>
      <c r="E8" s="40"/>
      <c r="F8" s="67" t="s">
        <v>386</v>
      </c>
      <c r="H8" s="82"/>
      <c r="K8" s="83" t="s">
        <v>401</v>
      </c>
      <c r="M8" s="84"/>
      <c r="O8" s="40"/>
      <c r="P8" s="85" t="s">
        <v>417</v>
      </c>
      <c r="R8" s="86"/>
      <c r="T8" s="40"/>
    </row>
    <row r="9">
      <c r="A9" s="37"/>
      <c r="C9" s="81" t="s">
        <v>436</v>
      </c>
      <c r="E9" s="40"/>
      <c r="F9" s="37"/>
      <c r="H9" s="72" t="s">
        <v>437</v>
      </c>
      <c r="K9" s="37"/>
      <c r="M9" s="84" t="s">
        <v>438</v>
      </c>
      <c r="O9" s="40"/>
      <c r="P9" s="37"/>
      <c r="R9" s="86" t="s">
        <v>440</v>
      </c>
      <c r="T9" s="40"/>
    </row>
    <row r="10">
      <c r="A10" s="53"/>
      <c r="B10" s="59"/>
      <c r="C10" s="59"/>
      <c r="D10" s="59"/>
      <c r="E10" s="60"/>
      <c r="F10" s="37"/>
      <c r="K10" s="53"/>
      <c r="L10" s="59"/>
      <c r="M10" s="59"/>
      <c r="N10" s="59"/>
      <c r="O10" s="60"/>
      <c r="P10" s="53"/>
      <c r="Q10" s="59"/>
      <c r="R10" s="59"/>
      <c r="S10" s="59"/>
      <c r="T10" s="60"/>
    </row>
    <row r="11">
      <c r="A11" s="24"/>
      <c r="B11" s="24"/>
      <c r="C11" s="24"/>
      <c r="D11" s="24"/>
      <c r="E11" s="24"/>
      <c r="F11" s="87" t="s">
        <v>479</v>
      </c>
      <c r="G11" s="32"/>
      <c r="H11" s="32"/>
      <c r="I11" s="89" t="s">
        <v>481</v>
      </c>
      <c r="J11" s="35"/>
      <c r="K11" s="24"/>
      <c r="L11" s="24"/>
      <c r="M11" s="24"/>
      <c r="N11" s="24"/>
      <c r="O11" s="24"/>
      <c r="P11" s="24"/>
      <c r="Q11" s="24"/>
      <c r="R11" s="24"/>
      <c r="S11" s="24"/>
      <c r="T11" s="24"/>
    </row>
    <row r="12">
      <c r="A12" s="24"/>
      <c r="B12" s="24"/>
      <c r="C12" s="24"/>
      <c r="D12" s="24"/>
      <c r="E12" s="24"/>
      <c r="F12" s="37"/>
      <c r="J12" s="40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>
      <c r="A13" s="24"/>
      <c r="B13" s="24"/>
      <c r="C13" s="24"/>
      <c r="D13" s="24"/>
      <c r="E13" s="24"/>
      <c r="F13" s="92" t="s">
        <v>500</v>
      </c>
      <c r="H13" s="45"/>
      <c r="J13" s="40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>
      <c r="A14" s="24"/>
      <c r="B14" s="24"/>
      <c r="C14" s="24"/>
      <c r="D14" s="24"/>
      <c r="E14" s="24"/>
      <c r="F14" s="37"/>
      <c r="H14" s="45" t="s">
        <v>518</v>
      </c>
      <c r="J14" s="40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>
      <c r="A15" s="24"/>
      <c r="B15" s="24"/>
      <c r="C15" s="24"/>
      <c r="D15" s="24"/>
      <c r="E15" s="24"/>
      <c r="F15" s="53"/>
      <c r="G15" s="59"/>
      <c r="H15" s="59"/>
      <c r="I15" s="59"/>
      <c r="J15" s="60"/>
      <c r="K15" s="24"/>
      <c r="L15" s="24"/>
      <c r="M15" s="24"/>
      <c r="N15" s="24"/>
      <c r="O15" s="24"/>
      <c r="P15" s="24"/>
      <c r="Q15" s="24"/>
      <c r="R15" s="24"/>
      <c r="S15" s="24"/>
      <c r="T15" s="24"/>
    </row>
  </sheetData>
  <mergeCells count="24">
    <mergeCell ref="R9:T10"/>
    <mergeCell ref="S6:T8"/>
    <mergeCell ref="F3:G5"/>
    <mergeCell ref="F1:H2"/>
    <mergeCell ref="F6:H7"/>
    <mergeCell ref="H4:J5"/>
    <mergeCell ref="H14:J15"/>
    <mergeCell ref="F13:G15"/>
    <mergeCell ref="F11:H12"/>
    <mergeCell ref="I11:J13"/>
    <mergeCell ref="I1:J3"/>
    <mergeCell ref="F8:G10"/>
    <mergeCell ref="K6:M7"/>
    <mergeCell ref="A6:C7"/>
    <mergeCell ref="D6:E8"/>
    <mergeCell ref="C9:E10"/>
    <mergeCell ref="A8:B10"/>
    <mergeCell ref="P6:R7"/>
    <mergeCell ref="P8:Q10"/>
    <mergeCell ref="K8:L10"/>
    <mergeCell ref="N6:O8"/>
    <mergeCell ref="M9:O10"/>
    <mergeCell ref="H9:J10"/>
    <mergeCell ref="I6:J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27" width="14.4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5</v>
      </c>
      <c r="F1" s="3" t="s">
        <v>6</v>
      </c>
      <c r="G1" s="5" t="s">
        <v>7</v>
      </c>
      <c r="H1" s="5" t="s">
        <v>8</v>
      </c>
      <c r="I1" s="3" t="s">
        <v>9</v>
      </c>
      <c r="J1" s="6" t="s">
        <v>10</v>
      </c>
      <c r="K1" s="6" t="s">
        <v>11</v>
      </c>
      <c r="L1" s="3" t="s">
        <v>12</v>
      </c>
      <c r="M1" s="2" t="s">
        <v>13</v>
      </c>
      <c r="N1" s="2" t="s">
        <v>14</v>
      </c>
      <c r="O1" s="7" t="s">
        <v>15</v>
      </c>
      <c r="P1" s="4" t="s">
        <v>16</v>
      </c>
      <c r="Q1" s="4" t="s">
        <v>17</v>
      </c>
      <c r="R1" s="7" t="s">
        <v>18</v>
      </c>
      <c r="S1" s="5" t="s">
        <v>19</v>
      </c>
      <c r="T1" s="5" t="s">
        <v>20</v>
      </c>
      <c r="U1" s="7" t="s">
        <v>21</v>
      </c>
      <c r="V1" s="6" t="s">
        <v>22</v>
      </c>
      <c r="W1" s="6" t="s">
        <v>23</v>
      </c>
      <c r="X1" s="7" t="s">
        <v>24</v>
      </c>
      <c r="Y1" s="9" t="s">
        <v>25</v>
      </c>
      <c r="Z1" s="11"/>
      <c r="AA1" s="13"/>
    </row>
    <row r="2">
      <c r="A2" s="2" t="s">
        <v>29</v>
      </c>
      <c r="B2" s="15"/>
      <c r="C2" s="16"/>
      <c r="D2" s="16"/>
      <c r="E2" s="17" t="s">
        <v>33</v>
      </c>
      <c r="F2" s="17" t="s">
        <v>34</v>
      </c>
      <c r="G2" s="17" t="s">
        <v>35</v>
      </c>
      <c r="H2" s="17" t="s">
        <v>36</v>
      </c>
      <c r="I2" s="17" t="s">
        <v>37</v>
      </c>
      <c r="J2" s="17" t="s">
        <v>38</v>
      </c>
      <c r="K2" s="18"/>
      <c r="L2" s="18"/>
      <c r="M2" s="18"/>
      <c r="N2" s="17" t="s">
        <v>39</v>
      </c>
      <c r="O2" s="17" t="s">
        <v>40</v>
      </c>
      <c r="P2" s="17" t="s">
        <v>41</v>
      </c>
      <c r="Q2" s="17" t="s">
        <v>42</v>
      </c>
      <c r="R2" s="17" t="s">
        <v>43</v>
      </c>
      <c r="S2" s="17" t="s">
        <v>44</v>
      </c>
      <c r="T2" s="17" t="s">
        <v>45</v>
      </c>
      <c r="U2" s="17" t="s">
        <v>46</v>
      </c>
      <c r="V2" s="17" t="s">
        <v>47</v>
      </c>
      <c r="W2" s="17" t="s">
        <v>48</v>
      </c>
      <c r="X2" s="17" t="s">
        <v>49</v>
      </c>
      <c r="Y2" s="19" t="s">
        <v>50</v>
      </c>
      <c r="Z2" s="20">
        <f>AVERAGE(B3:Y3)</f>
        <v>1.12</v>
      </c>
      <c r="AA2" s="13"/>
    </row>
    <row r="3">
      <c r="B3" s="21"/>
      <c r="C3" s="22"/>
      <c r="D3" s="22"/>
      <c r="E3" s="23">
        <v>1.15</v>
      </c>
      <c r="F3" s="23">
        <v>1.14</v>
      </c>
      <c r="G3" s="23">
        <v>1.55</v>
      </c>
      <c r="H3" s="23">
        <v>1.05</v>
      </c>
      <c r="I3" s="23">
        <v>0.87</v>
      </c>
      <c r="J3" s="23">
        <v>1.26</v>
      </c>
      <c r="K3" s="25"/>
      <c r="L3" s="25"/>
      <c r="M3" s="25"/>
      <c r="N3" s="23">
        <v>0.85</v>
      </c>
      <c r="O3" s="23">
        <v>1.06</v>
      </c>
      <c r="P3" s="23">
        <v>1.15</v>
      </c>
      <c r="Q3" s="23"/>
      <c r="R3" s="23"/>
      <c r="S3" s="23"/>
      <c r="T3" s="23"/>
      <c r="U3" s="23"/>
      <c r="V3" s="23"/>
      <c r="W3" s="23"/>
      <c r="X3" s="23"/>
      <c r="Y3" s="27"/>
    </row>
    <row r="4">
      <c r="A4" s="3" t="s">
        <v>2</v>
      </c>
      <c r="B4" s="28"/>
      <c r="C4" s="16"/>
      <c r="D4" s="16"/>
      <c r="E4" s="17" t="s">
        <v>52</v>
      </c>
      <c r="F4" s="17" t="s">
        <v>53</v>
      </c>
      <c r="G4" s="17" t="s">
        <v>54</v>
      </c>
      <c r="H4" s="17" t="s">
        <v>55</v>
      </c>
      <c r="I4" s="17" t="s">
        <v>56</v>
      </c>
      <c r="J4" s="29" t="s">
        <v>57</v>
      </c>
      <c r="K4" s="18"/>
      <c r="L4" s="18"/>
      <c r="M4" s="18"/>
      <c r="N4" s="17" t="s">
        <v>58</v>
      </c>
      <c r="O4" s="17" t="s">
        <v>59</v>
      </c>
      <c r="P4" s="17" t="s">
        <v>60</v>
      </c>
      <c r="Q4" s="17" t="s">
        <v>61</v>
      </c>
      <c r="R4" s="17" t="s">
        <v>62</v>
      </c>
      <c r="S4" s="17" t="s">
        <v>63</v>
      </c>
      <c r="T4" s="17" t="s">
        <v>64</v>
      </c>
      <c r="U4" s="17" t="s">
        <v>65</v>
      </c>
      <c r="V4" s="17" t="s">
        <v>66</v>
      </c>
      <c r="W4" s="17" t="s">
        <v>67</v>
      </c>
      <c r="X4" s="17" t="s">
        <v>68</v>
      </c>
      <c r="Y4" s="19" t="s">
        <v>69</v>
      </c>
      <c r="Z4" s="20">
        <f>AVERAGE(B5:Y5)</f>
        <v>0.8822222222</v>
      </c>
    </row>
    <row r="5">
      <c r="B5" s="21"/>
      <c r="C5" s="22"/>
      <c r="D5" s="22"/>
      <c r="E5" s="23">
        <v>1.12</v>
      </c>
      <c r="F5" s="23">
        <v>1.14</v>
      </c>
      <c r="G5" s="23">
        <v>0.93</v>
      </c>
      <c r="H5" s="23">
        <v>0.86</v>
      </c>
      <c r="I5" s="23">
        <v>1.12</v>
      </c>
      <c r="J5" s="23">
        <v>0.95</v>
      </c>
      <c r="K5" s="25"/>
      <c r="L5" s="25"/>
      <c r="M5" s="25"/>
      <c r="N5" s="23">
        <v>0.62</v>
      </c>
      <c r="O5" s="23">
        <v>1.36</v>
      </c>
      <c r="P5" s="23">
        <v>0.48</v>
      </c>
      <c r="Q5" s="23">
        <v>0.71</v>
      </c>
      <c r="R5" s="23">
        <v>1.11</v>
      </c>
      <c r="S5" s="23">
        <v>0.78</v>
      </c>
      <c r="T5" s="23">
        <v>0.79</v>
      </c>
      <c r="U5" s="23">
        <v>1.03</v>
      </c>
      <c r="V5" s="23">
        <v>0.64</v>
      </c>
      <c r="W5" s="23">
        <v>0.49</v>
      </c>
      <c r="X5" s="23">
        <v>1.16</v>
      </c>
      <c r="Y5" s="27">
        <v>0.59</v>
      </c>
    </row>
    <row r="6">
      <c r="A6" s="4" t="s">
        <v>3</v>
      </c>
      <c r="B6" s="28"/>
      <c r="C6" s="16"/>
      <c r="D6" s="16"/>
      <c r="E6" s="17" t="s">
        <v>77</v>
      </c>
      <c r="F6" s="17" t="s">
        <v>78</v>
      </c>
      <c r="G6" s="17" t="s">
        <v>80</v>
      </c>
      <c r="H6" s="17" t="s">
        <v>81</v>
      </c>
      <c r="I6" s="17" t="s">
        <v>82</v>
      </c>
      <c r="J6" s="17" t="s">
        <v>84</v>
      </c>
      <c r="K6" s="18"/>
      <c r="L6" s="18"/>
      <c r="M6" s="18"/>
      <c r="N6" s="17" t="s">
        <v>86</v>
      </c>
      <c r="O6" s="17" t="s">
        <v>88</v>
      </c>
      <c r="P6" s="17" t="s">
        <v>91</v>
      </c>
      <c r="Q6" s="17" t="s">
        <v>93</v>
      </c>
      <c r="R6" s="17" t="s">
        <v>95</v>
      </c>
      <c r="S6" s="17" t="s">
        <v>97</v>
      </c>
      <c r="T6" s="17" t="s">
        <v>99</v>
      </c>
      <c r="U6" s="17" t="s">
        <v>101</v>
      </c>
      <c r="V6" s="17" t="s">
        <v>102</v>
      </c>
      <c r="W6" s="17" t="s">
        <v>103</v>
      </c>
      <c r="X6" s="17" t="s">
        <v>104</v>
      </c>
      <c r="Y6" s="19" t="s">
        <v>105</v>
      </c>
      <c r="Z6" s="20">
        <f>AVERAGE(B7:Y7)</f>
        <v>0.9422222222</v>
      </c>
    </row>
    <row r="7">
      <c r="B7" s="21"/>
      <c r="C7" s="22"/>
      <c r="D7" s="22"/>
      <c r="E7" s="23">
        <v>0.87</v>
      </c>
      <c r="F7" s="23">
        <v>1.21</v>
      </c>
      <c r="G7" s="23">
        <v>0.8</v>
      </c>
      <c r="H7" s="23">
        <v>0.86</v>
      </c>
      <c r="I7" s="23">
        <v>0.75</v>
      </c>
      <c r="J7" s="23">
        <v>1.36</v>
      </c>
      <c r="K7" s="25"/>
      <c r="L7" s="25"/>
      <c r="M7" s="25"/>
      <c r="N7" s="23">
        <v>0.96</v>
      </c>
      <c r="O7" s="23">
        <v>0.91</v>
      </c>
      <c r="P7" s="23">
        <v>0.76</v>
      </c>
      <c r="Q7" s="38"/>
      <c r="R7" s="38"/>
      <c r="S7" s="38"/>
      <c r="T7" s="38"/>
      <c r="U7" s="38"/>
      <c r="V7" s="38"/>
      <c r="W7" s="38"/>
      <c r="X7" s="38"/>
      <c r="Y7" s="39"/>
    </row>
    <row r="8">
      <c r="A8" s="4" t="s">
        <v>5</v>
      </c>
      <c r="B8" s="41" t="s">
        <v>108</v>
      </c>
      <c r="C8" s="17" t="s">
        <v>109</v>
      </c>
      <c r="D8" s="17" t="s">
        <v>110</v>
      </c>
      <c r="E8" s="42"/>
      <c r="F8" s="42"/>
      <c r="G8" s="42"/>
      <c r="H8" s="17" t="s">
        <v>111</v>
      </c>
      <c r="I8" s="17" t="s">
        <v>112</v>
      </c>
      <c r="J8" s="17" t="s">
        <v>113</v>
      </c>
      <c r="K8" s="18"/>
      <c r="L8" s="18"/>
      <c r="M8" s="18"/>
      <c r="N8" s="17" t="s">
        <v>114</v>
      </c>
      <c r="O8" s="17" t="s">
        <v>115</v>
      </c>
      <c r="P8" s="17" t="s">
        <v>116</v>
      </c>
      <c r="Q8" s="17" t="s">
        <v>117</v>
      </c>
      <c r="R8" s="17" t="s">
        <v>118</v>
      </c>
      <c r="S8" s="17" t="s">
        <v>119</v>
      </c>
      <c r="T8" s="17" t="s">
        <v>120</v>
      </c>
      <c r="U8" s="17" t="s">
        <v>121</v>
      </c>
      <c r="V8" s="17" t="s">
        <v>122</v>
      </c>
      <c r="W8" s="17" t="s">
        <v>123</v>
      </c>
      <c r="X8" s="17" t="s">
        <v>124</v>
      </c>
      <c r="Y8" s="19" t="s">
        <v>125</v>
      </c>
      <c r="Z8" s="20">
        <f>AVERAGE(B9:Y9)</f>
        <v>0.98</v>
      </c>
      <c r="AA8" s="13">
        <f>AVERAGE(B8:Y13)</f>
        <v>0.9937037037</v>
      </c>
    </row>
    <row r="9">
      <c r="B9" s="46">
        <v>1.11</v>
      </c>
      <c r="C9" s="23">
        <v>1.1</v>
      </c>
      <c r="D9" s="23">
        <v>0.93</v>
      </c>
      <c r="E9" s="22"/>
      <c r="F9" s="22"/>
      <c r="G9" s="22"/>
      <c r="H9" s="23">
        <v>0.9</v>
      </c>
      <c r="I9" s="23">
        <v>0.76</v>
      </c>
      <c r="J9" s="23">
        <v>1.2</v>
      </c>
      <c r="K9" s="25"/>
      <c r="L9" s="25"/>
      <c r="M9" s="25"/>
      <c r="N9" s="23">
        <v>0.9</v>
      </c>
      <c r="O9" s="23">
        <v>1.04</v>
      </c>
      <c r="P9" s="23">
        <v>0.85</v>
      </c>
      <c r="Q9" s="23">
        <v>0.9</v>
      </c>
      <c r="R9" s="23">
        <v>0.91</v>
      </c>
      <c r="S9" s="23">
        <v>0.99</v>
      </c>
      <c r="T9" s="23">
        <v>0.87</v>
      </c>
      <c r="U9" s="23">
        <v>0.93</v>
      </c>
      <c r="V9" s="23">
        <v>1.06</v>
      </c>
      <c r="W9" s="23">
        <v>1.03</v>
      </c>
      <c r="X9" s="23">
        <v>1.22</v>
      </c>
      <c r="Y9" s="27">
        <v>0.94</v>
      </c>
    </row>
    <row r="10">
      <c r="A10" s="3" t="s">
        <v>127</v>
      </c>
      <c r="B10" s="41" t="s">
        <v>128</v>
      </c>
      <c r="C10" s="17" t="s">
        <v>129</v>
      </c>
      <c r="D10" s="17" t="s">
        <v>130</v>
      </c>
      <c r="E10" s="42"/>
      <c r="F10" s="16"/>
      <c r="G10" s="42"/>
      <c r="H10" s="17" t="s">
        <v>131</v>
      </c>
      <c r="I10" s="17" t="s">
        <v>132</v>
      </c>
      <c r="J10" s="17" t="s">
        <v>133</v>
      </c>
      <c r="K10" s="18"/>
      <c r="L10" s="18"/>
      <c r="M10" s="18"/>
      <c r="N10" s="17" t="s">
        <v>134</v>
      </c>
      <c r="O10" s="17" t="s">
        <v>135</v>
      </c>
      <c r="P10" s="17" t="s">
        <v>136</v>
      </c>
      <c r="Q10" s="17" t="s">
        <v>137</v>
      </c>
      <c r="R10" s="17" t="s">
        <v>138</v>
      </c>
      <c r="S10" s="17" t="s">
        <v>139</v>
      </c>
      <c r="T10" s="17" t="s">
        <v>140</v>
      </c>
      <c r="U10" s="17" t="s">
        <v>141</v>
      </c>
      <c r="V10" s="17" t="s">
        <v>142</v>
      </c>
      <c r="W10" s="17" t="s">
        <v>143</v>
      </c>
      <c r="X10" s="17" t="s">
        <v>144</v>
      </c>
      <c r="Y10" s="19" t="s">
        <v>145</v>
      </c>
      <c r="Z10" s="20">
        <f>AVERAGE(B11:Y11)</f>
        <v>0.9794444444</v>
      </c>
    </row>
    <row r="11">
      <c r="B11" s="46">
        <v>1.08</v>
      </c>
      <c r="C11" s="23">
        <v>1.17</v>
      </c>
      <c r="D11" s="23">
        <v>1.22</v>
      </c>
      <c r="E11" s="22"/>
      <c r="F11" s="22"/>
      <c r="G11" s="22"/>
      <c r="H11" s="23">
        <v>1.1</v>
      </c>
      <c r="I11" s="23">
        <v>1.16</v>
      </c>
      <c r="J11" s="23">
        <v>1.24</v>
      </c>
      <c r="K11" s="22"/>
      <c r="L11" s="22"/>
      <c r="M11" s="22"/>
      <c r="N11" s="23">
        <v>0.81</v>
      </c>
      <c r="O11" s="23">
        <v>1.19</v>
      </c>
      <c r="P11" s="23">
        <v>0.64</v>
      </c>
      <c r="Q11" s="23">
        <v>0.75</v>
      </c>
      <c r="R11" s="23">
        <v>1.35</v>
      </c>
      <c r="S11" s="23">
        <v>0.76</v>
      </c>
      <c r="T11" s="23">
        <v>0.74</v>
      </c>
      <c r="U11" s="23">
        <v>1.16</v>
      </c>
      <c r="V11" s="23">
        <v>0.54</v>
      </c>
      <c r="W11" s="23">
        <v>0.66</v>
      </c>
      <c r="X11" s="23">
        <v>1.29</v>
      </c>
      <c r="Y11" s="27">
        <v>0.77</v>
      </c>
    </row>
    <row r="12">
      <c r="A12" s="5" t="s">
        <v>7</v>
      </c>
      <c r="B12" s="41" t="s">
        <v>146</v>
      </c>
      <c r="C12" s="17" t="s">
        <v>147</v>
      </c>
      <c r="D12" s="17" t="s">
        <v>148</v>
      </c>
      <c r="E12" s="42"/>
      <c r="F12" s="42"/>
      <c r="G12" s="42"/>
      <c r="H12" s="17" t="s">
        <v>149</v>
      </c>
      <c r="I12" s="17" t="s">
        <v>150</v>
      </c>
      <c r="J12" s="17" t="s">
        <v>151</v>
      </c>
      <c r="K12" s="18"/>
      <c r="L12" s="18"/>
      <c r="M12" s="18"/>
      <c r="N12" s="17" t="s">
        <v>152</v>
      </c>
      <c r="O12" s="17" t="s">
        <v>153</v>
      </c>
      <c r="P12" s="17" t="s">
        <v>154</v>
      </c>
      <c r="Q12" s="17" t="s">
        <v>155</v>
      </c>
      <c r="R12" s="17" t="s">
        <v>156</v>
      </c>
      <c r="S12" s="17" t="s">
        <v>157</v>
      </c>
      <c r="T12" s="17" t="s">
        <v>158</v>
      </c>
      <c r="U12" s="17" t="s">
        <v>159</v>
      </c>
      <c r="V12" s="17" t="s">
        <v>160</v>
      </c>
      <c r="W12" s="17" t="s">
        <v>161</v>
      </c>
      <c r="X12" s="17" t="s">
        <v>162</v>
      </c>
      <c r="Y12" s="19" t="s">
        <v>163</v>
      </c>
      <c r="Z12" s="20">
        <f>AVERAGE(B13:Y13)</f>
        <v>1.021666667</v>
      </c>
    </row>
    <row r="13">
      <c r="B13" s="46">
        <v>1.57</v>
      </c>
      <c r="C13" s="23">
        <v>1.0</v>
      </c>
      <c r="D13" s="23">
        <v>0.85</v>
      </c>
      <c r="E13" s="25"/>
      <c r="F13" s="22"/>
      <c r="G13" s="22"/>
      <c r="H13" s="23">
        <v>0.73</v>
      </c>
      <c r="I13" s="23">
        <v>0.93</v>
      </c>
      <c r="J13" s="23">
        <v>0.96</v>
      </c>
      <c r="K13" s="22"/>
      <c r="L13" s="22"/>
      <c r="M13" s="22"/>
      <c r="N13" s="23">
        <v>1.04</v>
      </c>
      <c r="O13" s="23">
        <v>0.91</v>
      </c>
      <c r="P13" s="23">
        <v>0.98</v>
      </c>
      <c r="Q13" s="23">
        <v>1.18</v>
      </c>
      <c r="R13" s="23">
        <v>1.07</v>
      </c>
      <c r="S13" s="23">
        <v>1.22</v>
      </c>
      <c r="T13" s="23">
        <v>1.11</v>
      </c>
      <c r="U13" s="23">
        <v>0.91</v>
      </c>
      <c r="V13" s="23">
        <v>0.96</v>
      </c>
      <c r="W13" s="23">
        <v>0.85</v>
      </c>
      <c r="X13" s="23">
        <v>1.1</v>
      </c>
      <c r="Y13" s="27">
        <v>1.02</v>
      </c>
    </row>
    <row r="14">
      <c r="A14" s="5" t="s">
        <v>8</v>
      </c>
      <c r="B14" s="41" t="s">
        <v>164</v>
      </c>
      <c r="C14" s="17" t="s">
        <v>165</v>
      </c>
      <c r="D14" s="17" t="s">
        <v>166</v>
      </c>
      <c r="E14" s="17" t="s">
        <v>167</v>
      </c>
      <c r="F14" s="17" t="s">
        <v>168</v>
      </c>
      <c r="G14" s="17" t="s">
        <v>169</v>
      </c>
      <c r="H14" s="42"/>
      <c r="I14" s="42"/>
      <c r="J14" s="42"/>
      <c r="K14" s="42"/>
      <c r="L14" s="16"/>
      <c r="M14" s="42"/>
      <c r="N14" s="17" t="s">
        <v>170</v>
      </c>
      <c r="O14" s="17" t="s">
        <v>171</v>
      </c>
      <c r="P14" s="17" t="s">
        <v>172</v>
      </c>
      <c r="Q14" s="17" t="s">
        <v>173</v>
      </c>
      <c r="R14" s="17" t="s">
        <v>174</v>
      </c>
      <c r="S14" s="17" t="s">
        <v>175</v>
      </c>
      <c r="T14" s="17" t="s">
        <v>176</v>
      </c>
      <c r="U14" s="17" t="s">
        <v>177</v>
      </c>
      <c r="V14" s="17" t="s">
        <v>178</v>
      </c>
      <c r="W14" s="17" t="s">
        <v>179</v>
      </c>
      <c r="X14" s="17" t="s">
        <v>180</v>
      </c>
      <c r="Y14" s="19" t="s">
        <v>181</v>
      </c>
      <c r="Z14" s="20">
        <f>AVERAGE(B15:Y15)</f>
        <v>0.8911111111</v>
      </c>
      <c r="AA14" s="13">
        <f>AVERAGE(B14:Y19)</f>
        <v>0.9472222222</v>
      </c>
    </row>
    <row r="15">
      <c r="B15" s="46">
        <v>1.07</v>
      </c>
      <c r="C15" s="23">
        <v>0.88</v>
      </c>
      <c r="D15" s="23">
        <v>0.8</v>
      </c>
      <c r="E15" s="23">
        <v>0.99</v>
      </c>
      <c r="F15" s="23">
        <v>1.09</v>
      </c>
      <c r="G15" s="23">
        <v>0.71</v>
      </c>
      <c r="H15" s="22"/>
      <c r="I15" s="22"/>
      <c r="J15" s="22"/>
      <c r="K15" s="22"/>
      <c r="L15" s="22"/>
      <c r="M15" s="22"/>
      <c r="N15" s="23">
        <v>0.78</v>
      </c>
      <c r="O15" s="23">
        <v>0.96</v>
      </c>
      <c r="P15" s="23">
        <v>0.83</v>
      </c>
      <c r="Q15" s="23">
        <v>0.69</v>
      </c>
      <c r="R15" s="23">
        <v>0.8</v>
      </c>
      <c r="S15" s="23">
        <v>1.19</v>
      </c>
      <c r="T15" s="23">
        <v>0.73</v>
      </c>
      <c r="U15" s="23">
        <v>0.95</v>
      </c>
      <c r="V15" s="23">
        <v>0.85</v>
      </c>
      <c r="W15" s="23">
        <v>0.75</v>
      </c>
      <c r="X15" s="23">
        <v>0.9</v>
      </c>
      <c r="Y15" s="27">
        <v>1.07</v>
      </c>
    </row>
    <row r="16">
      <c r="A16" s="3" t="s">
        <v>9</v>
      </c>
      <c r="B16" s="41" t="s">
        <v>182</v>
      </c>
      <c r="C16" s="17" t="s">
        <v>183</v>
      </c>
      <c r="D16" s="17" t="s">
        <v>184</v>
      </c>
      <c r="E16" s="17" t="s">
        <v>185</v>
      </c>
      <c r="F16" s="17" t="s">
        <v>186</v>
      </c>
      <c r="G16" s="17" t="s">
        <v>187</v>
      </c>
      <c r="H16" s="42"/>
      <c r="I16" s="42"/>
      <c r="J16" s="42"/>
      <c r="K16" s="42"/>
      <c r="L16" s="16"/>
      <c r="M16" s="42"/>
      <c r="N16" s="17" t="s">
        <v>188</v>
      </c>
      <c r="O16" s="17" t="s">
        <v>189</v>
      </c>
      <c r="P16" s="17" t="s">
        <v>190</v>
      </c>
      <c r="Q16" s="17" t="s">
        <v>191</v>
      </c>
      <c r="R16" s="17" t="s">
        <v>192</v>
      </c>
      <c r="S16" s="17" t="s">
        <v>193</v>
      </c>
      <c r="T16" s="17" t="s">
        <v>194</v>
      </c>
      <c r="U16" s="17" t="s">
        <v>195</v>
      </c>
      <c r="V16" s="17" t="s">
        <v>196</v>
      </c>
      <c r="W16" s="17" t="s">
        <v>197</v>
      </c>
      <c r="X16" s="17" t="s">
        <v>198</v>
      </c>
      <c r="Y16" s="19" t="s">
        <v>199</v>
      </c>
      <c r="Z16" s="20">
        <f>AVERAGE(B17:Y17)</f>
        <v>0.8488888889</v>
      </c>
    </row>
    <row r="17">
      <c r="B17" s="46">
        <v>0.87</v>
      </c>
      <c r="C17" s="23">
        <v>1.19</v>
      </c>
      <c r="D17" s="23">
        <v>0.84</v>
      </c>
      <c r="E17" s="23">
        <v>0.75</v>
      </c>
      <c r="F17" s="23">
        <v>1.18</v>
      </c>
      <c r="G17" s="23">
        <v>0.95</v>
      </c>
      <c r="H17" s="22"/>
      <c r="I17" s="22"/>
      <c r="J17" s="22"/>
      <c r="K17" s="22"/>
      <c r="L17" s="22"/>
      <c r="M17" s="22"/>
      <c r="N17" s="23">
        <v>0.63</v>
      </c>
      <c r="O17" s="23">
        <v>1.14</v>
      </c>
      <c r="P17" s="23">
        <v>0.42</v>
      </c>
      <c r="Q17" s="23">
        <v>0.58</v>
      </c>
      <c r="R17" s="23">
        <v>1.42</v>
      </c>
      <c r="S17" s="23">
        <v>0.71</v>
      </c>
      <c r="T17" s="23">
        <v>0.66</v>
      </c>
      <c r="U17" s="23">
        <v>1.14</v>
      </c>
      <c r="V17" s="23">
        <v>0.46</v>
      </c>
      <c r="W17" s="23">
        <v>0.57</v>
      </c>
      <c r="X17" s="23">
        <v>1.11</v>
      </c>
      <c r="Y17" s="27">
        <v>0.66</v>
      </c>
    </row>
    <row r="18">
      <c r="A18" s="6" t="s">
        <v>200</v>
      </c>
      <c r="B18" s="41" t="s">
        <v>201</v>
      </c>
      <c r="C18" s="17" t="s">
        <v>202</v>
      </c>
      <c r="D18" s="17" t="s">
        <v>203</v>
      </c>
      <c r="E18" s="17" t="s">
        <v>204</v>
      </c>
      <c r="F18" s="17" t="s">
        <v>205</v>
      </c>
      <c r="G18" s="17" t="s">
        <v>206</v>
      </c>
      <c r="H18" s="42"/>
      <c r="I18" s="42"/>
      <c r="J18" s="42"/>
      <c r="K18" s="42"/>
      <c r="L18" s="16"/>
      <c r="M18" s="42"/>
      <c r="N18" s="17" t="s">
        <v>207</v>
      </c>
      <c r="O18" s="17" t="s">
        <v>208</v>
      </c>
      <c r="P18" s="17" t="s">
        <v>209</v>
      </c>
      <c r="Q18" s="17" t="s">
        <v>210</v>
      </c>
      <c r="R18" s="17" t="s">
        <v>211</v>
      </c>
      <c r="S18" s="17" t="s">
        <v>212</v>
      </c>
      <c r="T18" s="17" t="s">
        <v>213</v>
      </c>
      <c r="U18" s="17" t="s">
        <v>214</v>
      </c>
      <c r="V18" s="17" t="s">
        <v>215</v>
      </c>
      <c r="W18" s="17" t="s">
        <v>216</v>
      </c>
      <c r="X18" s="17" t="s">
        <v>217</v>
      </c>
      <c r="Y18" s="19" t="s">
        <v>218</v>
      </c>
      <c r="Z18" s="20">
        <f>AVERAGE(B19:Y19)</f>
        <v>1.101666667</v>
      </c>
    </row>
    <row r="19">
      <c r="B19" s="46">
        <v>1.22</v>
      </c>
      <c r="C19" s="23">
        <v>1.05</v>
      </c>
      <c r="D19" s="23">
        <v>1.29</v>
      </c>
      <c r="E19" s="23">
        <v>1.22</v>
      </c>
      <c r="F19" s="23">
        <v>1.18</v>
      </c>
      <c r="G19" s="23">
        <v>0.92</v>
      </c>
      <c r="H19" s="22"/>
      <c r="I19" s="22"/>
      <c r="J19" s="22"/>
      <c r="K19" s="22"/>
      <c r="L19" s="22"/>
      <c r="M19" s="22"/>
      <c r="N19" s="23">
        <v>1.23</v>
      </c>
      <c r="O19" s="23">
        <v>1.07</v>
      </c>
      <c r="P19" s="23">
        <v>1.03</v>
      </c>
      <c r="Q19" s="23">
        <v>0.99</v>
      </c>
      <c r="R19" s="23">
        <v>1.13</v>
      </c>
      <c r="S19" s="23">
        <v>1.04</v>
      </c>
      <c r="T19" s="23">
        <v>1.04</v>
      </c>
      <c r="U19" s="23">
        <v>1.12</v>
      </c>
      <c r="V19" s="23">
        <v>1.09</v>
      </c>
      <c r="W19" s="23">
        <v>1.08</v>
      </c>
      <c r="X19" s="23">
        <v>1.14</v>
      </c>
      <c r="Y19" s="27">
        <v>0.99</v>
      </c>
    </row>
    <row r="20">
      <c r="A20" s="6" t="s">
        <v>11</v>
      </c>
      <c r="B20" s="15"/>
      <c r="C20" s="18"/>
      <c r="D20" s="18"/>
      <c r="E20" s="18"/>
      <c r="F20" s="18"/>
      <c r="G20" s="18"/>
      <c r="H20" s="42"/>
      <c r="I20" s="42"/>
      <c r="J20" s="42"/>
      <c r="K20" s="42"/>
      <c r="L20" s="16"/>
      <c r="M20" s="42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58"/>
      <c r="Z20" s="20"/>
      <c r="AA20" s="13"/>
    </row>
    <row r="21">
      <c r="B21" s="62"/>
      <c r="C21" s="25"/>
      <c r="D21" s="25"/>
      <c r="E21" s="25"/>
      <c r="F21" s="25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63"/>
    </row>
    <row r="22">
      <c r="A22" s="3" t="s">
        <v>12</v>
      </c>
      <c r="B22" s="15"/>
      <c r="C22" s="18"/>
      <c r="D22" s="18"/>
      <c r="E22" s="18"/>
      <c r="F22" s="18"/>
      <c r="G22" s="18"/>
      <c r="H22" s="42"/>
      <c r="I22" s="42"/>
      <c r="J22" s="42"/>
      <c r="K22" s="42"/>
      <c r="L22" s="16"/>
      <c r="M22" s="42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58"/>
      <c r="Z22" s="20"/>
    </row>
    <row r="23">
      <c r="B23" s="62"/>
      <c r="C23" s="25"/>
      <c r="D23" s="25"/>
      <c r="E23" s="25"/>
      <c r="F23" s="25"/>
      <c r="G23" s="25"/>
      <c r="H23" s="22"/>
      <c r="I23" s="22"/>
      <c r="J23" s="22"/>
      <c r="K23" s="22"/>
      <c r="L23" s="22"/>
      <c r="M23" s="22"/>
      <c r="N23" s="22"/>
      <c r="O23" s="22"/>
      <c r="P23" s="25"/>
      <c r="Q23" s="22"/>
      <c r="R23" s="22"/>
      <c r="S23" s="22"/>
      <c r="T23" s="22"/>
      <c r="U23" s="22"/>
      <c r="V23" s="22"/>
      <c r="W23" s="22"/>
      <c r="X23" s="22"/>
      <c r="Y23" s="63"/>
    </row>
    <row r="24">
      <c r="A24" s="2" t="s">
        <v>13</v>
      </c>
      <c r="B24" s="15"/>
      <c r="C24" s="18"/>
      <c r="D24" s="18"/>
      <c r="E24" s="18"/>
      <c r="F24" s="18"/>
      <c r="G24" s="18"/>
      <c r="H24" s="42"/>
      <c r="I24" s="42"/>
      <c r="J24" s="42"/>
      <c r="K24" s="42"/>
      <c r="L24" s="42"/>
      <c r="M24" s="4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58"/>
      <c r="Z24" s="20"/>
    </row>
    <row r="25">
      <c r="B25" s="62"/>
      <c r="C25" s="25"/>
      <c r="D25" s="25"/>
      <c r="E25" s="25"/>
      <c r="F25" s="25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63"/>
    </row>
    <row r="26">
      <c r="A26" s="2" t="s">
        <v>14</v>
      </c>
      <c r="B26" s="41" t="s">
        <v>241</v>
      </c>
      <c r="C26" s="17" t="s">
        <v>242</v>
      </c>
      <c r="D26" s="17" t="s">
        <v>243</v>
      </c>
      <c r="E26" s="17" t="s">
        <v>244</v>
      </c>
      <c r="F26" s="17" t="s">
        <v>245</v>
      </c>
      <c r="G26" s="17" t="s">
        <v>246</v>
      </c>
      <c r="H26" s="17" t="s">
        <v>247</v>
      </c>
      <c r="I26" s="17" t="s">
        <v>248</v>
      </c>
      <c r="J26" s="17" t="s">
        <v>249</v>
      </c>
      <c r="K26" s="18"/>
      <c r="L26" s="18"/>
      <c r="M26" s="18"/>
      <c r="N26" s="42"/>
      <c r="O26" s="16"/>
      <c r="P26" s="16"/>
      <c r="Q26" s="17" t="s">
        <v>250</v>
      </c>
      <c r="R26" s="17" t="s">
        <v>251</v>
      </c>
      <c r="S26" s="17" t="s">
        <v>252</v>
      </c>
      <c r="T26" s="17" t="s">
        <v>253</v>
      </c>
      <c r="U26" s="17" t="s">
        <v>254</v>
      </c>
      <c r="V26" s="17" t="s">
        <v>255</v>
      </c>
      <c r="W26" s="17" t="s">
        <v>256</v>
      </c>
      <c r="X26" s="17" t="s">
        <v>257</v>
      </c>
      <c r="Y26" s="19" t="s">
        <v>258</v>
      </c>
      <c r="Z26" s="20">
        <f>AVERAGE(B27:Y27)</f>
        <v>0.85</v>
      </c>
      <c r="AA26" s="13">
        <f>AVERAGE(B26:Y31)</f>
        <v>0.9052777778</v>
      </c>
    </row>
    <row r="27">
      <c r="B27" s="46">
        <v>0.82</v>
      </c>
      <c r="C27" s="23">
        <v>0.61</v>
      </c>
      <c r="D27" s="23">
        <v>0.88</v>
      </c>
      <c r="E27" s="23">
        <v>0.89</v>
      </c>
      <c r="F27" s="23">
        <v>0.78</v>
      </c>
      <c r="G27" s="23">
        <v>1.04</v>
      </c>
      <c r="H27" s="23">
        <v>0.77</v>
      </c>
      <c r="I27" s="23">
        <v>0.63</v>
      </c>
      <c r="J27" s="23">
        <v>1.22</v>
      </c>
      <c r="K27" s="25"/>
      <c r="L27" s="25"/>
      <c r="M27" s="22"/>
      <c r="N27" s="22"/>
      <c r="O27" s="22"/>
      <c r="P27" s="22"/>
      <c r="Q27" s="38"/>
      <c r="R27" s="38"/>
      <c r="S27" s="38"/>
      <c r="T27" s="38"/>
      <c r="U27" s="38"/>
      <c r="V27" s="38"/>
      <c r="W27" s="23">
        <v>0.64</v>
      </c>
      <c r="X27" s="23">
        <v>1.06</v>
      </c>
      <c r="Y27" s="27">
        <v>0.86</v>
      </c>
    </row>
    <row r="28">
      <c r="A28" s="7" t="s">
        <v>15</v>
      </c>
      <c r="B28" s="41" t="s">
        <v>261</v>
      </c>
      <c r="C28" s="17" t="s">
        <v>262</v>
      </c>
      <c r="D28" s="17" t="s">
        <v>263</v>
      </c>
      <c r="E28" s="17" t="s">
        <v>264</v>
      </c>
      <c r="F28" s="17" t="s">
        <v>265</v>
      </c>
      <c r="G28" s="17" t="s">
        <v>266</v>
      </c>
      <c r="H28" s="17" t="s">
        <v>267</v>
      </c>
      <c r="I28" s="17" t="s">
        <v>268</v>
      </c>
      <c r="J28" s="17" t="s">
        <v>269</v>
      </c>
      <c r="K28" s="18"/>
      <c r="L28" s="18"/>
      <c r="M28" s="18"/>
      <c r="N28" s="42"/>
      <c r="O28" s="42"/>
      <c r="P28" s="42"/>
      <c r="Q28" s="17" t="s">
        <v>270</v>
      </c>
      <c r="R28" s="17" t="s">
        <v>271</v>
      </c>
      <c r="S28" s="17" t="s">
        <v>272</v>
      </c>
      <c r="T28" s="17" t="s">
        <v>273</v>
      </c>
      <c r="U28" s="17" t="s">
        <v>274</v>
      </c>
      <c r="V28" s="17" t="s">
        <v>275</v>
      </c>
      <c r="W28" s="17" t="s">
        <v>276</v>
      </c>
      <c r="X28" s="17" t="s">
        <v>277</v>
      </c>
      <c r="Y28" s="19" t="s">
        <v>278</v>
      </c>
      <c r="Z28" s="20">
        <f>AVERAGE(B29:Y29)</f>
        <v>1.059166667</v>
      </c>
    </row>
    <row r="29">
      <c r="B29" s="46">
        <v>1.04</v>
      </c>
      <c r="C29" s="23">
        <v>1.39</v>
      </c>
      <c r="D29" s="23">
        <v>0.89</v>
      </c>
      <c r="E29" s="23">
        <v>1.07</v>
      </c>
      <c r="F29" s="23">
        <v>1.14</v>
      </c>
      <c r="G29" s="23">
        <v>0.88</v>
      </c>
      <c r="H29" s="23">
        <v>1.02</v>
      </c>
      <c r="I29" s="23">
        <v>1.09</v>
      </c>
      <c r="J29" s="23">
        <v>0.94</v>
      </c>
      <c r="K29" s="25"/>
      <c r="L29" s="22"/>
      <c r="M29" s="25"/>
      <c r="N29" s="22"/>
      <c r="O29" s="22"/>
      <c r="P29" s="22"/>
      <c r="Q29" s="38"/>
      <c r="R29" s="38"/>
      <c r="S29" s="38"/>
      <c r="T29" s="38"/>
      <c r="U29" s="38"/>
      <c r="V29" s="38"/>
      <c r="W29" s="23">
        <v>0.98</v>
      </c>
      <c r="X29" s="23">
        <v>1.07</v>
      </c>
      <c r="Y29" s="27">
        <v>1.2</v>
      </c>
    </row>
    <row r="30">
      <c r="A30" s="4" t="s">
        <v>279</v>
      </c>
      <c r="B30" s="41" t="s">
        <v>280</v>
      </c>
      <c r="C30" s="17" t="s">
        <v>281</v>
      </c>
      <c r="D30" s="17" t="s">
        <v>282</v>
      </c>
      <c r="E30" s="17" t="s">
        <v>283</v>
      </c>
      <c r="F30" s="17" t="s">
        <v>284</v>
      </c>
      <c r="G30" s="17" t="s">
        <v>285</v>
      </c>
      <c r="H30" s="17" t="s">
        <v>286</v>
      </c>
      <c r="I30" s="17" t="s">
        <v>287</v>
      </c>
      <c r="J30" s="17" t="s">
        <v>288</v>
      </c>
      <c r="K30" s="18"/>
      <c r="L30" s="18"/>
      <c r="M30" s="18"/>
      <c r="N30" s="42"/>
      <c r="O30" s="42"/>
      <c r="P30" s="42"/>
      <c r="Q30" s="17" t="s">
        <v>289</v>
      </c>
      <c r="R30" s="17" t="s">
        <v>290</v>
      </c>
      <c r="S30" s="17" t="s">
        <v>291</v>
      </c>
      <c r="T30" s="17" t="s">
        <v>292</v>
      </c>
      <c r="U30" s="17" t="s">
        <v>293</v>
      </c>
      <c r="V30" s="17" t="s">
        <v>294</v>
      </c>
      <c r="W30" s="17" t="s">
        <v>295</v>
      </c>
      <c r="X30" s="17" t="s">
        <v>296</v>
      </c>
      <c r="Y30" s="19" t="s">
        <v>297</v>
      </c>
      <c r="Z30" s="20">
        <f>AVERAGE(B31:Y31)</f>
        <v>0.8066666667</v>
      </c>
    </row>
    <row r="31">
      <c r="B31" s="46">
        <v>1.14</v>
      </c>
      <c r="C31" s="23">
        <v>0.45</v>
      </c>
      <c r="D31" s="23">
        <v>0.7</v>
      </c>
      <c r="E31" s="23">
        <v>0.95</v>
      </c>
      <c r="F31" s="23">
        <v>0.65</v>
      </c>
      <c r="G31" s="23">
        <v>0.94</v>
      </c>
      <c r="H31" s="23">
        <v>0.79</v>
      </c>
      <c r="I31" s="23">
        <v>0.43</v>
      </c>
      <c r="J31" s="23">
        <v>0.95</v>
      </c>
      <c r="K31" s="25"/>
      <c r="L31" s="25"/>
      <c r="M31" s="25"/>
      <c r="N31" s="22"/>
      <c r="O31" s="22"/>
      <c r="P31" s="22"/>
      <c r="Q31" s="38"/>
      <c r="R31" s="38"/>
      <c r="S31" s="38"/>
      <c r="T31" s="38"/>
      <c r="U31" s="38"/>
      <c r="V31" s="38"/>
      <c r="W31" s="23">
        <v>0.94</v>
      </c>
      <c r="X31" s="23">
        <v>1.06</v>
      </c>
      <c r="Y31" s="27">
        <v>0.68</v>
      </c>
    </row>
    <row r="32">
      <c r="A32" s="4" t="s">
        <v>17</v>
      </c>
      <c r="B32" s="41" t="s">
        <v>299</v>
      </c>
      <c r="C32" s="17" t="s">
        <v>300</v>
      </c>
      <c r="D32" s="17" t="s">
        <v>301</v>
      </c>
      <c r="E32" s="17" t="s">
        <v>302</v>
      </c>
      <c r="F32" s="17" t="s">
        <v>303</v>
      </c>
      <c r="G32" s="17" t="s">
        <v>304</v>
      </c>
      <c r="H32" s="17" t="s">
        <v>305</v>
      </c>
      <c r="I32" s="17" t="s">
        <v>306</v>
      </c>
      <c r="J32" s="17" t="s">
        <v>307</v>
      </c>
      <c r="K32" s="18"/>
      <c r="L32" s="18"/>
      <c r="M32" s="18"/>
      <c r="N32" s="17" t="s">
        <v>308</v>
      </c>
      <c r="O32" s="17" t="s">
        <v>309</v>
      </c>
      <c r="P32" s="17" t="s">
        <v>310</v>
      </c>
      <c r="Q32" s="42"/>
      <c r="R32" s="42"/>
      <c r="S32" s="42"/>
      <c r="T32" s="17" t="s">
        <v>311</v>
      </c>
      <c r="U32" s="17" t="s">
        <v>312</v>
      </c>
      <c r="V32" s="17" t="s">
        <v>313</v>
      </c>
      <c r="W32" s="17" t="s">
        <v>314</v>
      </c>
      <c r="X32" s="17" t="s">
        <v>315</v>
      </c>
      <c r="Y32" s="19" t="s">
        <v>316</v>
      </c>
      <c r="Z32" s="20">
        <f>AVERAGE(B33:Y33)</f>
        <v>0.81</v>
      </c>
      <c r="AA32" s="13">
        <f>AVERAGE(B32:Y37)</f>
        <v>0.9625</v>
      </c>
    </row>
    <row r="33">
      <c r="B33" s="46"/>
      <c r="C33" s="23">
        <v>0.59</v>
      </c>
      <c r="D33" s="23"/>
      <c r="E33" s="23">
        <v>0.88</v>
      </c>
      <c r="F33" s="23">
        <v>0.67</v>
      </c>
      <c r="G33" s="23">
        <v>1.12</v>
      </c>
      <c r="H33" s="23">
        <v>0.7</v>
      </c>
      <c r="I33" s="23">
        <v>0.6</v>
      </c>
      <c r="J33" s="23">
        <v>1.0</v>
      </c>
      <c r="K33" s="22"/>
      <c r="L33" s="25"/>
      <c r="M33" s="25"/>
      <c r="N33" s="23"/>
      <c r="O33" s="23"/>
      <c r="P33" s="38"/>
      <c r="Q33" s="22"/>
      <c r="R33" s="22"/>
      <c r="S33" s="22"/>
      <c r="T33" s="38"/>
      <c r="U33" s="38"/>
      <c r="V33" s="38"/>
      <c r="W33" s="23">
        <v>0.92</v>
      </c>
      <c r="X33" s="38"/>
      <c r="Y33" s="39"/>
    </row>
    <row r="34">
      <c r="A34" s="7" t="s">
        <v>18</v>
      </c>
      <c r="B34" s="41" t="s">
        <v>339</v>
      </c>
      <c r="C34" s="17" t="s">
        <v>340</v>
      </c>
      <c r="D34" s="17" t="s">
        <v>341</v>
      </c>
      <c r="E34" s="17" t="s">
        <v>342</v>
      </c>
      <c r="F34" s="17" t="s">
        <v>343</v>
      </c>
      <c r="G34" s="17" t="s">
        <v>344</v>
      </c>
      <c r="H34" s="17" t="s">
        <v>345</v>
      </c>
      <c r="I34" s="17" t="s">
        <v>346</v>
      </c>
      <c r="J34" s="17" t="s">
        <v>347</v>
      </c>
      <c r="K34" s="18"/>
      <c r="L34" s="18"/>
      <c r="M34" s="18"/>
      <c r="N34" s="17" t="s">
        <v>348</v>
      </c>
      <c r="O34" s="17" t="s">
        <v>349</v>
      </c>
      <c r="P34" s="17" t="s">
        <v>350</v>
      </c>
      <c r="Q34" s="42"/>
      <c r="R34" s="42"/>
      <c r="S34" s="42"/>
      <c r="T34" s="17" t="s">
        <v>352</v>
      </c>
      <c r="U34" s="17" t="s">
        <v>353</v>
      </c>
      <c r="V34" s="17" t="s">
        <v>354</v>
      </c>
      <c r="W34" s="17" t="s">
        <v>355</v>
      </c>
      <c r="X34" s="17" t="s">
        <v>356</v>
      </c>
      <c r="Y34" s="19" t="s">
        <v>357</v>
      </c>
      <c r="Z34" s="20">
        <f>AVERAGE(B35:Y35)</f>
        <v>1.095</v>
      </c>
    </row>
    <row r="35">
      <c r="B35" s="46"/>
      <c r="C35" s="23">
        <v>1.2</v>
      </c>
      <c r="D35" s="38"/>
      <c r="E35" s="23">
        <v>0.77</v>
      </c>
      <c r="F35" s="23">
        <v>1.45</v>
      </c>
      <c r="G35" s="23">
        <v>1.11</v>
      </c>
      <c r="H35" s="23">
        <v>0.83</v>
      </c>
      <c r="I35" s="23">
        <v>1.44</v>
      </c>
      <c r="J35" s="23">
        <v>1.17</v>
      </c>
      <c r="K35" s="22"/>
      <c r="L35" s="22"/>
      <c r="M35" s="22"/>
      <c r="N35" s="23"/>
      <c r="O35" s="23"/>
      <c r="P35" s="38"/>
      <c r="Q35" s="22"/>
      <c r="R35" s="22"/>
      <c r="S35" s="22"/>
      <c r="T35" s="38"/>
      <c r="U35" s="38"/>
      <c r="V35" s="38"/>
      <c r="W35" s="23">
        <v>0.79</v>
      </c>
      <c r="X35" s="38"/>
      <c r="Y35" s="39"/>
    </row>
    <row r="36">
      <c r="A36" s="5" t="s">
        <v>19</v>
      </c>
      <c r="B36" s="41" t="s">
        <v>359</v>
      </c>
      <c r="C36" s="17" t="s">
        <v>360</v>
      </c>
      <c r="D36" s="17" t="s">
        <v>361</v>
      </c>
      <c r="E36" s="17" t="s">
        <v>362</v>
      </c>
      <c r="F36" s="17" t="s">
        <v>363</v>
      </c>
      <c r="G36" s="17" t="s">
        <v>364</v>
      </c>
      <c r="H36" s="17" t="s">
        <v>365</v>
      </c>
      <c r="I36" s="17" t="s">
        <v>366</v>
      </c>
      <c r="J36" s="17" t="s">
        <v>367</v>
      </c>
      <c r="K36" s="18"/>
      <c r="L36" s="18"/>
      <c r="M36" s="18"/>
      <c r="N36" s="17" t="s">
        <v>368</v>
      </c>
      <c r="O36" s="17" t="s">
        <v>369</v>
      </c>
      <c r="P36" s="17" t="s">
        <v>370</v>
      </c>
      <c r="Q36" s="42"/>
      <c r="R36" s="42"/>
      <c r="S36" s="42"/>
      <c r="T36" s="17" t="s">
        <v>371</v>
      </c>
      <c r="U36" s="17" t="s">
        <v>372</v>
      </c>
      <c r="V36" s="17" t="s">
        <v>373</v>
      </c>
      <c r="W36" s="17" t="s">
        <v>374</v>
      </c>
      <c r="X36" s="17" t="s">
        <v>375</v>
      </c>
      <c r="Y36" s="19" t="s">
        <v>376</v>
      </c>
      <c r="Z36" s="20">
        <f>AVERAGE(B37:Y37)</f>
        <v>0.9825</v>
      </c>
    </row>
    <row r="37">
      <c r="B37" s="46"/>
      <c r="C37" s="23">
        <v>0.83</v>
      </c>
      <c r="D37" s="38"/>
      <c r="E37" s="23">
        <v>1.07</v>
      </c>
      <c r="F37" s="23">
        <v>0.7</v>
      </c>
      <c r="G37" s="23">
        <v>1.22</v>
      </c>
      <c r="H37" s="23">
        <v>1.15</v>
      </c>
      <c r="I37" s="23">
        <v>0.69</v>
      </c>
      <c r="J37" s="23">
        <v>1.01</v>
      </c>
      <c r="K37" s="25"/>
      <c r="L37" s="25"/>
      <c r="M37" s="25"/>
      <c r="N37" s="23"/>
      <c r="O37" s="23"/>
      <c r="P37" s="38"/>
      <c r="Q37" s="22"/>
      <c r="R37" s="22"/>
      <c r="S37" s="22"/>
      <c r="T37" s="38"/>
      <c r="U37" s="38"/>
      <c r="V37" s="38"/>
      <c r="W37" s="23">
        <v>1.19</v>
      </c>
      <c r="X37" s="38"/>
      <c r="Y37" s="39"/>
    </row>
    <row r="38">
      <c r="A38" s="5" t="s">
        <v>20</v>
      </c>
      <c r="B38" s="41" t="s">
        <v>377</v>
      </c>
      <c r="C38" s="17" t="s">
        <v>378</v>
      </c>
      <c r="D38" s="17" t="s">
        <v>379</v>
      </c>
      <c r="E38" s="17" t="s">
        <v>380</v>
      </c>
      <c r="F38" s="17" t="s">
        <v>381</v>
      </c>
      <c r="G38" s="17" t="s">
        <v>382</v>
      </c>
      <c r="H38" s="17" t="s">
        <v>383</v>
      </c>
      <c r="I38" s="17" t="s">
        <v>384</v>
      </c>
      <c r="J38" s="17" t="s">
        <v>385</v>
      </c>
      <c r="K38" s="18"/>
      <c r="L38" s="18"/>
      <c r="M38" s="18"/>
      <c r="N38" s="17" t="s">
        <v>387</v>
      </c>
      <c r="O38" s="17" t="s">
        <v>388</v>
      </c>
      <c r="P38" s="17" t="s">
        <v>389</v>
      </c>
      <c r="Q38" s="17" t="s">
        <v>390</v>
      </c>
      <c r="R38" s="17" t="s">
        <v>391</v>
      </c>
      <c r="S38" s="17" t="s">
        <v>392</v>
      </c>
      <c r="T38" s="42"/>
      <c r="U38" s="42"/>
      <c r="V38" s="42"/>
      <c r="W38" s="17" t="s">
        <v>393</v>
      </c>
      <c r="X38" s="17" t="s">
        <v>394</v>
      </c>
      <c r="Y38" s="19" t="s">
        <v>395</v>
      </c>
      <c r="Z38" s="20">
        <f>AVERAGE(B39:Y39)</f>
        <v>0.8375</v>
      </c>
      <c r="AA38" s="13">
        <f>AVERAGE(B38:Y43)</f>
        <v>0.9070833333</v>
      </c>
    </row>
    <row r="39">
      <c r="B39" s="46"/>
      <c r="C39" s="23">
        <v>0.72</v>
      </c>
      <c r="D39" s="38"/>
      <c r="E39" s="23">
        <v>0.94</v>
      </c>
      <c r="F39" s="23">
        <v>0.72</v>
      </c>
      <c r="G39" s="23">
        <v>0.93</v>
      </c>
      <c r="H39" s="23">
        <v>0.78</v>
      </c>
      <c r="I39" s="23">
        <v>0.73</v>
      </c>
      <c r="J39" s="23">
        <v>1.1</v>
      </c>
      <c r="K39" s="25"/>
      <c r="L39" s="25"/>
      <c r="M39" s="25"/>
      <c r="N39" s="38"/>
      <c r="O39" s="23"/>
      <c r="P39" s="38"/>
      <c r="Q39" s="23"/>
      <c r="R39" s="38"/>
      <c r="S39" s="23"/>
      <c r="T39" s="22"/>
      <c r="U39" s="22"/>
      <c r="V39" s="22"/>
      <c r="W39" s="23">
        <v>0.78</v>
      </c>
      <c r="X39" s="38"/>
      <c r="Y39" s="39"/>
    </row>
    <row r="40">
      <c r="A40" s="7" t="s">
        <v>21</v>
      </c>
      <c r="B40" s="41" t="s">
        <v>418</v>
      </c>
      <c r="C40" s="17" t="s">
        <v>419</v>
      </c>
      <c r="D40" s="17" t="s">
        <v>420</v>
      </c>
      <c r="E40" s="17" t="s">
        <v>421</v>
      </c>
      <c r="F40" s="17" t="s">
        <v>422</v>
      </c>
      <c r="G40" s="17" t="s">
        <v>423</v>
      </c>
      <c r="H40" s="17" t="s">
        <v>424</v>
      </c>
      <c r="I40" s="17" t="s">
        <v>425</v>
      </c>
      <c r="J40" s="17" t="s">
        <v>426</v>
      </c>
      <c r="K40" s="18"/>
      <c r="L40" s="18"/>
      <c r="M40" s="18"/>
      <c r="N40" s="17" t="s">
        <v>427</v>
      </c>
      <c r="O40" s="17" t="s">
        <v>428</v>
      </c>
      <c r="P40" s="17" t="s">
        <v>429</v>
      </c>
      <c r="Q40" s="17" t="s">
        <v>430</v>
      </c>
      <c r="R40" s="17" t="s">
        <v>431</v>
      </c>
      <c r="S40" s="17" t="s">
        <v>432</v>
      </c>
      <c r="T40" s="42"/>
      <c r="U40" s="42"/>
      <c r="V40" s="42"/>
      <c r="W40" s="17" t="s">
        <v>433</v>
      </c>
      <c r="X40" s="17" t="s">
        <v>434</v>
      </c>
      <c r="Y40" s="19" t="s">
        <v>435</v>
      </c>
      <c r="Z40" s="20">
        <f>AVERAGE(B41:Y41)</f>
        <v>1.07375</v>
      </c>
    </row>
    <row r="41">
      <c r="B41" s="46"/>
      <c r="C41" s="23">
        <v>1.01</v>
      </c>
      <c r="D41" s="38"/>
      <c r="E41" s="23">
        <v>0.91</v>
      </c>
      <c r="F41" s="23">
        <v>1.15</v>
      </c>
      <c r="G41" s="23">
        <v>1.02</v>
      </c>
      <c r="H41" s="23">
        <v>0.95</v>
      </c>
      <c r="I41" s="23">
        <v>1.15</v>
      </c>
      <c r="J41" s="23">
        <v>1.11</v>
      </c>
      <c r="K41" s="25"/>
      <c r="L41" s="25"/>
      <c r="M41" s="22"/>
      <c r="N41" s="38"/>
      <c r="O41" s="38"/>
      <c r="P41" s="38"/>
      <c r="Q41" s="23"/>
      <c r="R41" s="23"/>
      <c r="S41" s="23"/>
      <c r="T41" s="22"/>
      <c r="U41" s="22"/>
      <c r="V41" s="22"/>
      <c r="W41" s="23">
        <v>1.29</v>
      </c>
      <c r="X41" s="38"/>
      <c r="Y41" s="39"/>
    </row>
    <row r="42">
      <c r="A42" s="6" t="s">
        <v>448</v>
      </c>
      <c r="B42" s="41" t="s">
        <v>454</v>
      </c>
      <c r="C42" s="17" t="s">
        <v>456</v>
      </c>
      <c r="D42" s="17" t="s">
        <v>458</v>
      </c>
      <c r="E42" s="17" t="s">
        <v>460</v>
      </c>
      <c r="F42" s="17" t="s">
        <v>462</v>
      </c>
      <c r="G42" s="17" t="s">
        <v>464</v>
      </c>
      <c r="H42" s="17" t="s">
        <v>466</v>
      </c>
      <c r="I42" s="17" t="s">
        <v>468</v>
      </c>
      <c r="J42" s="17" t="s">
        <v>470</v>
      </c>
      <c r="K42" s="18"/>
      <c r="L42" s="18"/>
      <c r="M42" s="18"/>
      <c r="N42" s="17" t="s">
        <v>471</v>
      </c>
      <c r="O42" s="17" t="s">
        <v>472</v>
      </c>
      <c r="P42" s="17" t="s">
        <v>473</v>
      </c>
      <c r="Q42" s="17" t="s">
        <v>474</v>
      </c>
      <c r="R42" s="17" t="s">
        <v>475</v>
      </c>
      <c r="S42" s="17" t="s">
        <v>476</v>
      </c>
      <c r="T42" s="42"/>
      <c r="U42" s="42"/>
      <c r="V42" s="42"/>
      <c r="W42" s="17" t="s">
        <v>477</v>
      </c>
      <c r="X42" s="17" t="s">
        <v>478</v>
      </c>
      <c r="Y42" s="19" t="s">
        <v>480</v>
      </c>
      <c r="Z42" s="20">
        <f>AVERAGE(B43:Y43)</f>
        <v>0.81</v>
      </c>
    </row>
    <row r="43">
      <c r="B43" s="46"/>
      <c r="C43" s="23">
        <v>0.56</v>
      </c>
      <c r="D43" s="38"/>
      <c r="E43" s="23">
        <v>1.17</v>
      </c>
      <c r="F43" s="23">
        <v>0.5</v>
      </c>
      <c r="G43" s="23">
        <v>0.92</v>
      </c>
      <c r="H43" s="23">
        <v>0.85</v>
      </c>
      <c r="I43" s="23">
        <v>0.48</v>
      </c>
      <c r="J43" s="23">
        <v>1.03</v>
      </c>
      <c r="K43" s="25"/>
      <c r="L43" s="25"/>
      <c r="M43" s="25"/>
      <c r="N43" s="23"/>
      <c r="O43" s="23"/>
      <c r="P43" s="23"/>
      <c r="Q43" s="38"/>
      <c r="R43" s="23"/>
      <c r="S43" s="23"/>
      <c r="T43" s="22"/>
      <c r="U43" s="22"/>
      <c r="V43" s="22"/>
      <c r="W43" s="23">
        <v>0.97</v>
      </c>
      <c r="X43" s="38"/>
      <c r="Y43" s="39"/>
    </row>
    <row r="44">
      <c r="A44" s="6" t="s">
        <v>23</v>
      </c>
      <c r="B44" s="41" t="s">
        <v>482</v>
      </c>
      <c r="C44" s="17" t="s">
        <v>483</v>
      </c>
      <c r="D44" s="17" t="s">
        <v>484</v>
      </c>
      <c r="E44" s="17" t="s">
        <v>485</v>
      </c>
      <c r="F44" s="17" t="s">
        <v>486</v>
      </c>
      <c r="G44" s="17" t="s">
        <v>487</v>
      </c>
      <c r="H44" s="17" t="s">
        <v>488</v>
      </c>
      <c r="I44" s="17" t="s">
        <v>489</v>
      </c>
      <c r="J44" s="17" t="s">
        <v>490</v>
      </c>
      <c r="K44" s="18"/>
      <c r="L44" s="18"/>
      <c r="M44" s="18"/>
      <c r="N44" s="17" t="s">
        <v>491</v>
      </c>
      <c r="O44" s="17" t="s">
        <v>492</v>
      </c>
      <c r="P44" s="17" t="s">
        <v>493</v>
      </c>
      <c r="Q44" s="17" t="s">
        <v>494</v>
      </c>
      <c r="R44" s="17" t="s">
        <v>495</v>
      </c>
      <c r="S44" s="17" t="s">
        <v>496</v>
      </c>
      <c r="T44" s="17" t="s">
        <v>497</v>
      </c>
      <c r="U44" s="17" t="s">
        <v>498</v>
      </c>
      <c r="V44" s="17" t="s">
        <v>499</v>
      </c>
      <c r="W44" s="16"/>
      <c r="X44" s="42"/>
      <c r="Y44" s="90"/>
      <c r="Z44" s="20">
        <f>AVERAGE(B45:Y45)</f>
        <v>0.844375</v>
      </c>
      <c r="AA44" s="13">
        <f>AVERAGE(B44:Y49)</f>
        <v>0.9227777778</v>
      </c>
    </row>
    <row r="45">
      <c r="B45" s="46"/>
      <c r="C45" s="23">
        <v>0.49</v>
      </c>
      <c r="D45" s="38"/>
      <c r="E45" s="23">
        <v>1.01</v>
      </c>
      <c r="F45" s="23">
        <v>0.62</v>
      </c>
      <c r="G45" s="23">
        <v>0.88</v>
      </c>
      <c r="H45" s="23">
        <v>0.76</v>
      </c>
      <c r="I45" s="23">
        <v>0.5</v>
      </c>
      <c r="J45" s="23">
        <v>1.01</v>
      </c>
      <c r="K45" s="22"/>
      <c r="L45" s="25"/>
      <c r="M45" s="22"/>
      <c r="N45" s="23">
        <v>0.63</v>
      </c>
      <c r="O45" s="23">
        <v>0.95</v>
      </c>
      <c r="P45" s="23">
        <v>1.02</v>
      </c>
      <c r="Q45" s="23">
        <v>0.87</v>
      </c>
      <c r="R45" s="23">
        <v>0.81</v>
      </c>
      <c r="S45" s="23">
        <v>1.15</v>
      </c>
      <c r="T45" s="23">
        <v>0.63</v>
      </c>
      <c r="U45" s="23">
        <v>1.27</v>
      </c>
      <c r="V45" s="23">
        <v>0.91</v>
      </c>
      <c r="W45" s="22"/>
      <c r="X45" s="22"/>
      <c r="Y45" s="63"/>
    </row>
    <row r="46">
      <c r="A46" s="7" t="s">
        <v>522</v>
      </c>
      <c r="B46" s="41" t="s">
        <v>523</v>
      </c>
      <c r="C46" s="17" t="s">
        <v>524</v>
      </c>
      <c r="D46" s="17" t="s">
        <v>525</v>
      </c>
      <c r="E46" s="17" t="s">
        <v>526</v>
      </c>
      <c r="F46" s="17" t="s">
        <v>527</v>
      </c>
      <c r="G46" s="17" t="s">
        <v>528</v>
      </c>
      <c r="H46" s="17" t="s">
        <v>529</v>
      </c>
      <c r="I46" s="17" t="s">
        <v>530</v>
      </c>
      <c r="J46" s="17" t="s">
        <v>531</v>
      </c>
      <c r="K46" s="18"/>
      <c r="L46" s="18"/>
      <c r="M46" s="18"/>
      <c r="N46" s="17" t="s">
        <v>532</v>
      </c>
      <c r="O46" s="17" t="s">
        <v>533</v>
      </c>
      <c r="P46" s="17" t="s">
        <v>534</v>
      </c>
      <c r="Q46" s="17" t="s">
        <v>535</v>
      </c>
      <c r="R46" s="17" t="s">
        <v>536</v>
      </c>
      <c r="S46" s="17" t="s">
        <v>537</v>
      </c>
      <c r="T46" s="17" t="s">
        <v>538</v>
      </c>
      <c r="U46" s="17" t="s">
        <v>539</v>
      </c>
      <c r="V46" s="17" t="s">
        <v>540</v>
      </c>
      <c r="W46" s="16"/>
      <c r="X46" s="42"/>
      <c r="Y46" s="90"/>
      <c r="Z46" s="20">
        <f>AVERAGE(B47:Y47)</f>
        <v>1.083</v>
      </c>
    </row>
    <row r="47">
      <c r="B47" s="46"/>
      <c r="C47" s="23">
        <v>1.1</v>
      </c>
      <c r="D47" s="23"/>
      <c r="E47" s="23">
        <v>1.09</v>
      </c>
      <c r="F47" s="23">
        <v>1.26</v>
      </c>
      <c r="G47" s="23">
        <v>0.99</v>
      </c>
      <c r="H47" s="23">
        <v>0.95</v>
      </c>
      <c r="I47" s="23">
        <v>1.18</v>
      </c>
      <c r="J47" s="23">
        <v>1.11</v>
      </c>
      <c r="K47" s="25"/>
      <c r="L47" s="25"/>
      <c r="M47" s="22"/>
      <c r="N47" s="23">
        <v>0.99</v>
      </c>
      <c r="O47" s="23">
        <v>1.08</v>
      </c>
      <c r="P47" s="23">
        <v>1.08</v>
      </c>
      <c r="Q47" s="23"/>
      <c r="R47" s="23"/>
      <c r="S47" s="23"/>
      <c r="T47" s="23"/>
      <c r="U47" s="38"/>
      <c r="V47" s="38"/>
      <c r="W47" s="22"/>
      <c r="X47" s="22"/>
      <c r="Y47" s="63"/>
    </row>
    <row r="48">
      <c r="A48" s="2" t="s">
        <v>561</v>
      </c>
      <c r="B48" s="41" t="s">
        <v>562</v>
      </c>
      <c r="C48" s="17" t="s">
        <v>563</v>
      </c>
      <c r="D48" s="17" t="s">
        <v>564</v>
      </c>
      <c r="E48" s="17" t="s">
        <v>565</v>
      </c>
      <c r="F48" s="17" t="s">
        <v>566</v>
      </c>
      <c r="G48" s="17" t="s">
        <v>567</v>
      </c>
      <c r="H48" s="17" t="s">
        <v>568</v>
      </c>
      <c r="I48" s="17" t="s">
        <v>569</v>
      </c>
      <c r="J48" s="17" t="s">
        <v>570</v>
      </c>
      <c r="K48" s="18"/>
      <c r="L48" s="18"/>
      <c r="M48" s="18"/>
      <c r="N48" s="17" t="s">
        <v>571</v>
      </c>
      <c r="O48" s="17" t="s">
        <v>572</v>
      </c>
      <c r="P48" s="17" t="s">
        <v>573</v>
      </c>
      <c r="Q48" s="17" t="s">
        <v>574</v>
      </c>
      <c r="R48" s="17" t="s">
        <v>575</v>
      </c>
      <c r="S48" s="17" t="s">
        <v>576</v>
      </c>
      <c r="T48" s="17" t="s">
        <v>577</v>
      </c>
      <c r="U48" s="17" t="s">
        <v>578</v>
      </c>
      <c r="V48" s="17" t="s">
        <v>579</v>
      </c>
      <c r="W48" s="16"/>
      <c r="X48" s="42"/>
      <c r="Y48" s="90"/>
      <c r="Z48" s="20">
        <f>AVERAGE(B49:Y49)</f>
        <v>0.888</v>
      </c>
    </row>
    <row r="49">
      <c r="B49" s="46"/>
      <c r="C49" s="23">
        <v>0.62</v>
      </c>
      <c r="D49" s="23"/>
      <c r="E49" s="23">
        <v>0.9</v>
      </c>
      <c r="F49" s="23">
        <v>0.92</v>
      </c>
      <c r="G49" s="23">
        <v>1.12</v>
      </c>
      <c r="H49" s="23">
        <v>1.09</v>
      </c>
      <c r="I49" s="23">
        <v>0.63</v>
      </c>
      <c r="J49" s="23">
        <v>0.97</v>
      </c>
      <c r="K49" s="25"/>
      <c r="L49" s="25"/>
      <c r="M49" s="25"/>
      <c r="N49" s="23">
        <v>0.81</v>
      </c>
      <c r="O49" s="23">
        <v>1.18</v>
      </c>
      <c r="P49" s="23">
        <v>0.64</v>
      </c>
      <c r="Q49" s="23"/>
      <c r="R49" s="23"/>
      <c r="S49" s="23"/>
      <c r="T49" s="23"/>
      <c r="U49" s="38"/>
      <c r="V49" s="23"/>
      <c r="W49" s="22"/>
      <c r="X49" s="22"/>
      <c r="Y49" s="63"/>
    </row>
    <row r="50">
      <c r="A50" s="13"/>
      <c r="B50" s="20">
        <f t="shared" ref="B50:J50" si="1">AVERAGE(B2:B49)</f>
        <v>1.102222222</v>
      </c>
      <c r="C50" s="20">
        <f t="shared" si="1"/>
        <v>0.8866666667</v>
      </c>
      <c r="D50" s="20">
        <f t="shared" si="1"/>
        <v>0.9333333333</v>
      </c>
      <c r="E50" s="20">
        <f t="shared" si="1"/>
        <v>0.9861111111</v>
      </c>
      <c r="F50" s="20">
        <f t="shared" si="1"/>
        <v>0.9722222222</v>
      </c>
      <c r="G50" s="20">
        <f t="shared" si="1"/>
        <v>1.001666667</v>
      </c>
      <c r="H50" s="20">
        <f t="shared" si="1"/>
        <v>0.8966666667</v>
      </c>
      <c r="I50" s="20">
        <f t="shared" si="1"/>
        <v>0.8411111111</v>
      </c>
      <c r="J50" s="20">
        <f t="shared" si="1"/>
        <v>1.088333333</v>
      </c>
      <c r="K50" s="20"/>
      <c r="L50" s="20"/>
      <c r="M50" s="20"/>
      <c r="N50" s="20">
        <f t="shared" ref="N50:Y50" si="2">AVERAGE(N2:N49)</f>
        <v>0.8541666667</v>
      </c>
      <c r="O50" s="20">
        <f t="shared" si="2"/>
        <v>1.070833333</v>
      </c>
      <c r="P50" s="20">
        <f t="shared" si="2"/>
        <v>0.8233333333</v>
      </c>
      <c r="Q50" s="20">
        <f t="shared" si="2"/>
        <v>0.83375</v>
      </c>
      <c r="R50" s="20">
        <f t="shared" si="2"/>
        <v>1.075</v>
      </c>
      <c r="S50" s="20">
        <f t="shared" si="2"/>
        <v>0.98</v>
      </c>
      <c r="T50" s="20">
        <f t="shared" si="2"/>
        <v>0.82125</v>
      </c>
      <c r="U50" s="20">
        <f t="shared" si="2"/>
        <v>1.06375</v>
      </c>
      <c r="V50" s="20">
        <f t="shared" si="2"/>
        <v>0.81375</v>
      </c>
      <c r="W50" s="20">
        <f t="shared" si="2"/>
        <v>0.870625</v>
      </c>
      <c r="X50" s="20">
        <f t="shared" si="2"/>
        <v>1.111</v>
      </c>
      <c r="Y50" s="20">
        <f t="shared" si="2"/>
        <v>0.878</v>
      </c>
      <c r="Z50" s="95">
        <f>AVERAGE(B2:Y49)</f>
        <v>0.9467045455</v>
      </c>
    </row>
    <row r="51">
      <c r="A51" s="13"/>
      <c r="B51" s="20">
        <f>AVERAGE(B2:D49)</f>
        <v>0.9522222222</v>
      </c>
      <c r="E51" s="20">
        <f>AVERAGE(E2:G49)</f>
        <v>0.9866666667</v>
      </c>
      <c r="H51" s="20">
        <f>AVERAGE(H2:J49)</f>
        <v>0.942037037</v>
      </c>
      <c r="K51" s="20"/>
      <c r="N51" s="20">
        <f>AVERAGE(N2:P49)</f>
        <v>0.9161111111</v>
      </c>
      <c r="Q51" s="20">
        <f>AVERAGE(Q2:S49)</f>
        <v>0.9629166667</v>
      </c>
      <c r="T51" s="20">
        <f>AVERAGE(T2:V49)</f>
        <v>0.8995833333</v>
      </c>
      <c r="W51" s="20">
        <f>AVERAGE(W2:Y49)</f>
        <v>0.9394444444</v>
      </c>
    </row>
    <row r="52">
      <c r="A52" s="104"/>
      <c r="B52" s="107">
        <f>COUNTIFS(B2:Y49,"&gt;=0.0",B2:Y49,"&lt;0.1")</f>
        <v>0</v>
      </c>
      <c r="C52" s="110">
        <f>COUNTIFS(B2:Y49,"&gt;=0.1",B2:Y49,"&lt;0.2")</f>
        <v>0</v>
      </c>
      <c r="D52" s="110">
        <f>COUNTIFS(B2:Y49,"&gt;=0.2",B2:Y49,"&lt;0.3")</f>
        <v>0</v>
      </c>
      <c r="E52" s="110">
        <f>COUNTIFS(B2:Y49,"&gt;=0.3",B2:Y49,"&lt;0.4")</f>
        <v>0</v>
      </c>
      <c r="F52" s="110">
        <f>COUNTIFS(B2:Y49,"&gt;=0.4",B2:Y49,"&lt;0.5")</f>
        <v>8</v>
      </c>
      <c r="G52" s="110">
        <f>COUNTIFS(B2:Y49,"&gt;=0.5",B2:Y49,"&lt;0.6")</f>
        <v>8</v>
      </c>
      <c r="H52" s="110">
        <f>COUNTIFS(B2:Y49,"&gt;=0.6",B2:Y49,"&lt;0.7")</f>
        <v>22</v>
      </c>
      <c r="I52" s="110">
        <f>COUNTIFS(B2:Y49,"&gt;=0.7",B2:Y49,"&lt;0.8")</f>
        <v>31</v>
      </c>
      <c r="J52" s="110">
        <f>COUNTIFS(B2:Y49,"&gt;=0.8",B2:Y49,"&lt;0.9")</f>
        <v>32</v>
      </c>
      <c r="K52" s="110">
        <f>COUNTIFS(B2:Y49,"&gt;=0.9",B2:Y49,"&lt;1.0")</f>
        <v>47</v>
      </c>
      <c r="L52" s="110">
        <f>COUNTIFS(B2:Y49,"&gt;=1.0",B2:Y49,"&lt;1.1")</f>
        <v>42</v>
      </c>
      <c r="M52" s="110">
        <f>COUNTIFS(B2:Y49,"&gt;=1.1",B2:Y49,"&lt;1.2")</f>
        <v>46</v>
      </c>
      <c r="N52" s="110">
        <f>COUNTIFS(B2:Y49,"&gt;=1.2",B2:Y49,"&lt;1.3")</f>
        <v>19</v>
      </c>
      <c r="O52" s="107">
        <f>COUNTIFS(B2:Y49,"&gt;=1.3",B2:Y49,"&lt;1.4")</f>
        <v>4</v>
      </c>
      <c r="P52" s="107">
        <f>COUNTIFS(B2:Y49,"&gt;=1.4",B2:Y49,"&lt;1.5")</f>
        <v>3</v>
      </c>
      <c r="Q52" s="107">
        <f>COUNTIFS(B2:Y49,"&gt;=1.5",B2:Y49,"&lt;1.6")</f>
        <v>2</v>
      </c>
      <c r="R52" s="110">
        <f>COUNTIFS(B2:Y49,"&gt;=1.6",B2:Y49,"&lt;1.7")</f>
        <v>0</v>
      </c>
      <c r="S52" s="110">
        <f>COUNTIFS(B2:Y49,"&gt;=1.7",B2:Y49,"&lt;1.8")</f>
        <v>0</v>
      </c>
      <c r="T52" s="107">
        <f>COUNTIFS(B2:Y49,"&gt;=1.8",B2:Y49,"&lt;1.9")</f>
        <v>0</v>
      </c>
      <c r="U52" s="107">
        <f>COUNTIFS(B2:Y49,"&gt;=1.9",B2:Y49,"&lt;2.0")</f>
        <v>0</v>
      </c>
      <c r="V52" s="110">
        <f>COUNTIFS(B2:Y49,"&gt;=2.0",B2:Y49,"&lt;2.1")</f>
        <v>0</v>
      </c>
      <c r="W52" s="110">
        <f>COUNTIFS(B2:Y49,"&gt;=2.1",B2:Y49,"&lt;2.2")</f>
        <v>0</v>
      </c>
      <c r="X52" s="110">
        <f>COUNTIFS(B2:Y49,"&gt;=2.2",B2:Y49,"&lt;2.3")</f>
        <v>0</v>
      </c>
      <c r="Y52" s="110">
        <f>COUNTIFS(B2:Y49,"&gt;=2.3",B2:Y49,"&lt;2.4")</f>
        <v>0</v>
      </c>
      <c r="Z52" s="126"/>
      <c r="AA52" s="126"/>
    </row>
    <row r="53">
      <c r="A53" s="104"/>
      <c r="B53" s="131" t="s">
        <v>758</v>
      </c>
      <c r="C53" s="133" t="s">
        <v>781</v>
      </c>
      <c r="D53" s="133" t="s">
        <v>782</v>
      </c>
      <c r="E53" s="133" t="s">
        <v>783</v>
      </c>
      <c r="F53" s="133" t="s">
        <v>784</v>
      </c>
      <c r="G53" s="133" t="s">
        <v>785</v>
      </c>
      <c r="H53" s="133" t="s">
        <v>786</v>
      </c>
      <c r="I53" s="133" t="s">
        <v>787</v>
      </c>
      <c r="J53" s="133" t="s">
        <v>788</v>
      </c>
      <c r="K53" s="133" t="s">
        <v>789</v>
      </c>
      <c r="L53" s="133" t="s">
        <v>790</v>
      </c>
      <c r="M53" s="133" t="s">
        <v>791</v>
      </c>
      <c r="N53" s="133" t="s">
        <v>792</v>
      </c>
      <c r="O53" s="131" t="s">
        <v>793</v>
      </c>
      <c r="P53" s="131" t="s">
        <v>794</v>
      </c>
      <c r="Q53" s="131" t="s">
        <v>795</v>
      </c>
      <c r="R53" s="133" t="s">
        <v>796</v>
      </c>
      <c r="S53" s="133" t="s">
        <v>797</v>
      </c>
      <c r="T53" s="131" t="s">
        <v>798</v>
      </c>
      <c r="U53" s="131" t="s">
        <v>800</v>
      </c>
      <c r="V53" s="133" t="s">
        <v>802</v>
      </c>
      <c r="W53" s="133" t="s">
        <v>804</v>
      </c>
      <c r="X53" s="133" t="s">
        <v>805</v>
      </c>
      <c r="Y53" s="133" t="s">
        <v>808</v>
      </c>
      <c r="Z53" s="126"/>
      <c r="AA53" s="126"/>
    </row>
  </sheetData>
  <mergeCells count="65">
    <mergeCell ref="Z28:Z29"/>
    <mergeCell ref="Z26:Z27"/>
    <mergeCell ref="Z36:Z37"/>
    <mergeCell ref="Z30:Z31"/>
    <mergeCell ref="Z50:AA51"/>
    <mergeCell ref="T51:V51"/>
    <mergeCell ref="W51:Y51"/>
    <mergeCell ref="AA26:AA31"/>
    <mergeCell ref="Z14:Z15"/>
    <mergeCell ref="Z20:Z21"/>
    <mergeCell ref="AA38:AA43"/>
    <mergeCell ref="Z6:Z7"/>
    <mergeCell ref="Z2:Z3"/>
    <mergeCell ref="Z4:Z5"/>
    <mergeCell ref="AA32:AA37"/>
    <mergeCell ref="Z32:Z33"/>
    <mergeCell ref="Z34:Z35"/>
    <mergeCell ref="AA2:AA7"/>
    <mergeCell ref="AA8:AA13"/>
    <mergeCell ref="Z18:Z19"/>
    <mergeCell ref="Z16:Z17"/>
    <mergeCell ref="A16:A17"/>
    <mergeCell ref="A14:A15"/>
    <mergeCell ref="A46:A47"/>
    <mergeCell ref="A44:A45"/>
    <mergeCell ref="A40:A41"/>
    <mergeCell ref="A36:A37"/>
    <mergeCell ref="A38:A39"/>
    <mergeCell ref="A34:A35"/>
    <mergeCell ref="A2:A3"/>
    <mergeCell ref="A4:A5"/>
    <mergeCell ref="A48:A49"/>
    <mergeCell ref="A42:A43"/>
    <mergeCell ref="A28:A29"/>
    <mergeCell ref="A30:A31"/>
    <mergeCell ref="A32:A33"/>
    <mergeCell ref="A6:A7"/>
    <mergeCell ref="A10:A11"/>
    <mergeCell ref="A8:A9"/>
    <mergeCell ref="A24:A25"/>
    <mergeCell ref="A18:A19"/>
    <mergeCell ref="A12:A13"/>
    <mergeCell ref="A26:A27"/>
    <mergeCell ref="K51:M51"/>
    <mergeCell ref="H51:J51"/>
    <mergeCell ref="Q51:S51"/>
    <mergeCell ref="N51:P51"/>
    <mergeCell ref="Z42:Z43"/>
    <mergeCell ref="Z44:Z45"/>
    <mergeCell ref="Z48:Z49"/>
    <mergeCell ref="Z46:Z47"/>
    <mergeCell ref="AA44:AA49"/>
    <mergeCell ref="B51:D51"/>
    <mergeCell ref="E51:G51"/>
    <mergeCell ref="Z24:Z25"/>
    <mergeCell ref="Z22:Z23"/>
    <mergeCell ref="Z10:Z11"/>
    <mergeCell ref="Z8:Z9"/>
    <mergeCell ref="Z12:Z13"/>
    <mergeCell ref="AA20:AA25"/>
    <mergeCell ref="AA14:AA19"/>
    <mergeCell ref="Z40:Z41"/>
    <mergeCell ref="Z38:Z39"/>
    <mergeCell ref="A22:A23"/>
    <mergeCell ref="A20:A21"/>
  </mergeCells>
  <conditionalFormatting sqref="B2:Y49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Z1:AA49 A50:Y51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27" width="14.43"/>
  </cols>
  <sheetData>
    <row r="1">
      <c r="A1" s="8" t="s">
        <v>4</v>
      </c>
      <c r="B1" s="10" t="s">
        <v>26</v>
      </c>
      <c r="C1" s="12" t="s">
        <v>27</v>
      </c>
      <c r="D1" s="14" t="s">
        <v>28</v>
      </c>
      <c r="E1" s="14" t="s">
        <v>30</v>
      </c>
      <c r="F1" s="12" t="s">
        <v>31</v>
      </c>
      <c r="G1" s="30" t="s">
        <v>32</v>
      </c>
      <c r="H1" s="30" t="s">
        <v>70</v>
      </c>
      <c r="I1" s="12" t="s">
        <v>71</v>
      </c>
      <c r="J1" s="31" t="s">
        <v>72</v>
      </c>
      <c r="K1" s="31" t="s">
        <v>73</v>
      </c>
      <c r="L1" s="12" t="s">
        <v>74</v>
      </c>
      <c r="M1" s="10" t="s">
        <v>75</v>
      </c>
      <c r="N1" s="10" t="s">
        <v>76</v>
      </c>
      <c r="O1" s="33" t="s">
        <v>79</v>
      </c>
      <c r="P1" s="14" t="s">
        <v>85</v>
      </c>
      <c r="Q1" s="14" t="s">
        <v>87</v>
      </c>
      <c r="R1" s="33" t="s">
        <v>89</v>
      </c>
      <c r="S1" s="30" t="s">
        <v>90</v>
      </c>
      <c r="T1" s="30" t="s">
        <v>92</v>
      </c>
      <c r="U1" s="33" t="s">
        <v>94</v>
      </c>
      <c r="V1" s="31" t="s">
        <v>96</v>
      </c>
      <c r="W1" s="31" t="s">
        <v>98</v>
      </c>
      <c r="X1" s="36" t="s">
        <v>100</v>
      </c>
      <c r="Y1" s="10" t="s">
        <v>106</v>
      </c>
      <c r="Z1" s="11"/>
      <c r="AA1" s="11"/>
    </row>
    <row r="2">
      <c r="A2" s="43" t="s">
        <v>107</v>
      </c>
      <c r="B2" s="44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50"/>
      <c r="Z2" s="11"/>
      <c r="AA2" s="11"/>
    </row>
    <row r="3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4"/>
      <c r="AA3" s="13"/>
    </row>
    <row r="4">
      <c r="A4" s="55" t="s">
        <v>27</v>
      </c>
      <c r="B4" s="56"/>
      <c r="C4" s="49"/>
      <c r="D4" s="57" t="s">
        <v>219</v>
      </c>
      <c r="E4" s="49"/>
      <c r="F4" s="57" t="s">
        <v>220</v>
      </c>
      <c r="G4" s="57" t="s">
        <v>221</v>
      </c>
      <c r="H4" s="57" t="s">
        <v>222</v>
      </c>
      <c r="I4" s="57" t="s">
        <v>223</v>
      </c>
      <c r="J4" s="57" t="s">
        <v>224</v>
      </c>
      <c r="K4" s="57" t="s">
        <v>225</v>
      </c>
      <c r="L4" s="49"/>
      <c r="M4" s="57" t="s">
        <v>226</v>
      </c>
      <c r="N4" s="57" t="s">
        <v>227</v>
      </c>
      <c r="O4" s="57" t="s">
        <v>228</v>
      </c>
      <c r="P4" s="57" t="s">
        <v>229</v>
      </c>
      <c r="Q4" s="57" t="s">
        <v>230</v>
      </c>
      <c r="R4" s="57" t="s">
        <v>231</v>
      </c>
      <c r="S4" s="57" t="s">
        <v>232</v>
      </c>
      <c r="T4" s="57" t="s">
        <v>233</v>
      </c>
      <c r="U4" s="57" t="s">
        <v>234</v>
      </c>
      <c r="V4" s="57" t="s">
        <v>235</v>
      </c>
      <c r="W4" s="57" t="s">
        <v>236</v>
      </c>
      <c r="X4" s="57" t="s">
        <v>237</v>
      </c>
      <c r="Y4" s="64" t="s">
        <v>238</v>
      </c>
      <c r="Z4" s="20">
        <f>AVERAGE(B5:Y5)</f>
        <v>0.93</v>
      </c>
      <c r="AA4" s="11"/>
    </row>
    <row r="5">
      <c r="B5" s="51"/>
      <c r="C5" s="66"/>
      <c r="D5" s="68"/>
      <c r="E5" s="66"/>
      <c r="F5" s="69">
        <v>1.06</v>
      </c>
      <c r="G5" s="70"/>
      <c r="H5" s="71">
        <v>0.7</v>
      </c>
      <c r="I5" s="71">
        <v>1.03</v>
      </c>
      <c r="J5" s="70"/>
      <c r="K5" s="70"/>
      <c r="L5" s="52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3"/>
      <c r="AA5" s="20">
        <f>AVERAGE(B4:Y5,B8:Y9)</f>
        <v>0.8883333333</v>
      </c>
    </row>
    <row r="6">
      <c r="A6" s="75" t="s">
        <v>28</v>
      </c>
      <c r="B6" s="56"/>
      <c r="C6" s="57" t="s">
        <v>318</v>
      </c>
      <c r="D6" s="49"/>
      <c r="E6" s="57" t="s">
        <v>319</v>
      </c>
      <c r="F6" s="57" t="s">
        <v>320</v>
      </c>
      <c r="G6" s="57" t="s">
        <v>321</v>
      </c>
      <c r="H6" s="57" t="s">
        <v>322</v>
      </c>
      <c r="I6" s="57" t="s">
        <v>323</v>
      </c>
      <c r="J6" s="57" t="s">
        <v>324</v>
      </c>
      <c r="K6" s="57" t="s">
        <v>325</v>
      </c>
      <c r="L6" s="49"/>
      <c r="M6" s="57" t="s">
        <v>326</v>
      </c>
      <c r="N6" s="49"/>
      <c r="O6" s="57" t="s">
        <v>327</v>
      </c>
      <c r="P6" s="57" t="s">
        <v>328</v>
      </c>
      <c r="Q6" s="57" t="s">
        <v>330</v>
      </c>
      <c r="R6" s="57" t="s">
        <v>331</v>
      </c>
      <c r="S6" s="57" t="s">
        <v>332</v>
      </c>
      <c r="T6" s="57" t="s">
        <v>333</v>
      </c>
      <c r="U6" s="57" t="s">
        <v>334</v>
      </c>
      <c r="V6" s="57" t="s">
        <v>335</v>
      </c>
      <c r="W6" s="57" t="s">
        <v>336</v>
      </c>
      <c r="X6" s="57" t="s">
        <v>337</v>
      </c>
      <c r="Y6" s="64" t="s">
        <v>338</v>
      </c>
      <c r="Z6" s="20">
        <f>AVERAGE(B7:Y7)</f>
        <v>0.795</v>
      </c>
      <c r="AA6" s="79"/>
    </row>
    <row r="7">
      <c r="B7" s="51"/>
      <c r="C7" s="68"/>
      <c r="D7" s="66"/>
      <c r="E7" s="68"/>
      <c r="F7" s="69">
        <v>0.71</v>
      </c>
      <c r="G7" s="70"/>
      <c r="H7" s="71">
        <v>0.88</v>
      </c>
      <c r="I7" s="70"/>
      <c r="J7" s="70"/>
      <c r="K7" s="70"/>
      <c r="L7" s="52"/>
      <c r="M7" s="70"/>
      <c r="N7" s="52"/>
      <c r="O7" s="70"/>
      <c r="P7" s="70"/>
      <c r="Q7" s="70"/>
      <c r="R7" s="70"/>
      <c r="S7" s="70"/>
      <c r="T7" s="70"/>
      <c r="U7" s="70"/>
      <c r="V7" s="70"/>
      <c r="W7" s="70"/>
      <c r="X7" s="70"/>
      <c r="Y7" s="73"/>
      <c r="AA7" s="20">
        <f>AVERAGE(B6:Y7,B26:Y27)</f>
        <v>0.875</v>
      </c>
    </row>
    <row r="8">
      <c r="A8" s="75" t="s">
        <v>30</v>
      </c>
      <c r="B8" s="56"/>
      <c r="C8" s="49"/>
      <c r="D8" s="57" t="s">
        <v>396</v>
      </c>
      <c r="E8" s="49"/>
      <c r="F8" s="57" t="s">
        <v>397</v>
      </c>
      <c r="G8" s="57" t="s">
        <v>398</v>
      </c>
      <c r="H8" s="57" t="s">
        <v>399</v>
      </c>
      <c r="I8" s="57" t="s">
        <v>400</v>
      </c>
      <c r="J8" s="57" t="s">
        <v>402</v>
      </c>
      <c r="K8" s="57" t="s">
        <v>403</v>
      </c>
      <c r="L8" s="49"/>
      <c r="M8" s="57" t="s">
        <v>404</v>
      </c>
      <c r="N8" s="57" t="s">
        <v>405</v>
      </c>
      <c r="O8" s="57" t="s">
        <v>406</v>
      </c>
      <c r="P8" s="57" t="s">
        <v>407</v>
      </c>
      <c r="Q8" s="57" t="s">
        <v>408</v>
      </c>
      <c r="R8" s="57" t="s">
        <v>409</v>
      </c>
      <c r="S8" s="57" t="s">
        <v>410</v>
      </c>
      <c r="T8" s="57" t="s">
        <v>411</v>
      </c>
      <c r="U8" s="57" t="s">
        <v>412</v>
      </c>
      <c r="V8" s="57" t="s">
        <v>413</v>
      </c>
      <c r="W8" s="57" t="s">
        <v>414</v>
      </c>
      <c r="X8" s="57" t="s">
        <v>415</v>
      </c>
      <c r="Y8" s="64" t="s">
        <v>416</v>
      </c>
      <c r="Z8" s="20">
        <f>AVERAGE(B9:Y9)</f>
        <v>0.8466666667</v>
      </c>
      <c r="AA8" s="79"/>
    </row>
    <row r="9">
      <c r="B9" s="51"/>
      <c r="C9" s="66"/>
      <c r="D9" s="68"/>
      <c r="E9" s="66"/>
      <c r="F9" s="69">
        <v>1.08</v>
      </c>
      <c r="G9" s="70"/>
      <c r="H9" s="71">
        <v>0.7</v>
      </c>
      <c r="I9" s="71">
        <v>0.76</v>
      </c>
      <c r="J9" s="70"/>
      <c r="K9" s="70"/>
      <c r="L9" s="52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3"/>
      <c r="AA9" s="20">
        <f>AVERAGE(B4:Y5,B8:Y9)</f>
        <v>0.8883333333</v>
      </c>
    </row>
    <row r="10">
      <c r="A10" s="55" t="s">
        <v>439</v>
      </c>
      <c r="B10" s="56"/>
      <c r="C10" s="57" t="s">
        <v>441</v>
      </c>
      <c r="D10" s="57" t="s">
        <v>442</v>
      </c>
      <c r="E10" s="57" t="s">
        <v>443</v>
      </c>
      <c r="F10" s="49"/>
      <c r="G10" s="57" t="s">
        <v>444</v>
      </c>
      <c r="H10" s="49"/>
      <c r="I10" s="57" t="s">
        <v>445</v>
      </c>
      <c r="J10" s="57" t="s">
        <v>446</v>
      </c>
      <c r="K10" s="57" t="s">
        <v>447</v>
      </c>
      <c r="L10" s="49"/>
      <c r="M10" s="57" t="s">
        <v>449</v>
      </c>
      <c r="N10" s="57" t="s">
        <v>450</v>
      </c>
      <c r="O10" s="57" t="s">
        <v>451</v>
      </c>
      <c r="P10" s="57" t="s">
        <v>452</v>
      </c>
      <c r="Q10" s="57" t="s">
        <v>453</v>
      </c>
      <c r="R10" s="57" t="s">
        <v>455</v>
      </c>
      <c r="S10" s="57" t="s">
        <v>457</v>
      </c>
      <c r="T10" s="57" t="s">
        <v>459</v>
      </c>
      <c r="U10" s="57" t="s">
        <v>461</v>
      </c>
      <c r="V10" s="57" t="s">
        <v>463</v>
      </c>
      <c r="W10" s="57" t="s">
        <v>465</v>
      </c>
      <c r="X10" s="57" t="s">
        <v>467</v>
      </c>
      <c r="Y10" s="64" t="s">
        <v>469</v>
      </c>
      <c r="Z10" s="20">
        <f>AVERAGE(B11:Y11)</f>
        <v>0.9265</v>
      </c>
      <c r="AA10" s="79"/>
    </row>
    <row r="11">
      <c r="B11" s="51"/>
      <c r="C11" s="69">
        <v>1.04</v>
      </c>
      <c r="D11" s="69">
        <v>0.82</v>
      </c>
      <c r="E11" s="69">
        <v>1.15</v>
      </c>
      <c r="F11" s="66"/>
      <c r="G11" s="69">
        <v>0.86</v>
      </c>
      <c r="H11" s="52"/>
      <c r="I11" s="71">
        <v>1.06</v>
      </c>
      <c r="J11" s="71">
        <v>1.39</v>
      </c>
      <c r="K11" s="71">
        <v>0.93</v>
      </c>
      <c r="L11" s="52"/>
      <c r="M11" s="71">
        <v>0.9</v>
      </c>
      <c r="N11" s="71">
        <v>0.89</v>
      </c>
      <c r="O11" s="71">
        <v>0.59</v>
      </c>
      <c r="P11" s="71">
        <v>1.13</v>
      </c>
      <c r="Q11" s="71">
        <v>0.85</v>
      </c>
      <c r="R11" s="71">
        <v>0.63</v>
      </c>
      <c r="S11" s="71">
        <v>1.19</v>
      </c>
      <c r="T11" s="71">
        <v>0.85</v>
      </c>
      <c r="U11" s="71">
        <v>0.69</v>
      </c>
      <c r="V11" s="71">
        <v>0.88</v>
      </c>
      <c r="W11" s="71">
        <v>0.95</v>
      </c>
      <c r="X11" s="71">
        <v>0.62</v>
      </c>
      <c r="Y11" s="88">
        <v>1.11</v>
      </c>
      <c r="AA11" s="20">
        <f>AVERAGE(B10:Y11,B14:Y15)</f>
        <v>0.9002857143</v>
      </c>
    </row>
    <row r="12">
      <c r="A12" s="91" t="s">
        <v>32</v>
      </c>
      <c r="B12" s="56"/>
      <c r="C12" s="57" t="s">
        <v>501</v>
      </c>
      <c r="D12" s="57" t="s">
        <v>502</v>
      </c>
      <c r="E12" s="57" t="s">
        <v>503</v>
      </c>
      <c r="F12" s="57" t="s">
        <v>504</v>
      </c>
      <c r="G12" s="49"/>
      <c r="H12" s="57" t="s">
        <v>505</v>
      </c>
      <c r="I12" s="57" t="s">
        <v>506</v>
      </c>
      <c r="J12" s="57" t="s">
        <v>507</v>
      </c>
      <c r="K12" s="57" t="s">
        <v>508</v>
      </c>
      <c r="L12" s="49"/>
      <c r="M12" s="57" t="s">
        <v>509</v>
      </c>
      <c r="N12" s="57" t="s">
        <v>510</v>
      </c>
      <c r="O12" s="57" t="s">
        <v>511</v>
      </c>
      <c r="P12" s="57" t="s">
        <v>512</v>
      </c>
      <c r="Q12" s="49"/>
      <c r="R12" s="57" t="s">
        <v>513</v>
      </c>
      <c r="S12" s="57" t="s">
        <v>514</v>
      </c>
      <c r="T12" s="57" t="s">
        <v>515</v>
      </c>
      <c r="U12" s="57" t="s">
        <v>516</v>
      </c>
      <c r="V12" s="57" t="s">
        <v>517</v>
      </c>
      <c r="W12" s="57" t="s">
        <v>519</v>
      </c>
      <c r="X12" s="57" t="s">
        <v>520</v>
      </c>
      <c r="Y12" s="64" t="s">
        <v>521</v>
      </c>
      <c r="Z12" s="20">
        <f>AVERAGE(B13:Y13)</f>
        <v>0.9</v>
      </c>
      <c r="AA12" s="79"/>
    </row>
    <row r="13">
      <c r="B13" s="51"/>
      <c r="C13" s="70"/>
      <c r="D13" s="70"/>
      <c r="E13" s="70"/>
      <c r="F13" s="71">
        <v>0.83</v>
      </c>
      <c r="G13" s="52"/>
      <c r="H13" s="71">
        <v>0.97</v>
      </c>
      <c r="I13" s="70"/>
      <c r="J13" s="70"/>
      <c r="K13" s="70"/>
      <c r="L13" s="52"/>
      <c r="M13" s="70"/>
      <c r="N13" s="70"/>
      <c r="O13" s="70"/>
      <c r="P13" s="70"/>
      <c r="Q13" s="52"/>
      <c r="R13" s="70"/>
      <c r="S13" s="70"/>
      <c r="T13" s="70"/>
      <c r="U13" s="70"/>
      <c r="V13" s="70"/>
      <c r="W13" s="70"/>
      <c r="X13" s="70"/>
      <c r="Y13" s="73"/>
      <c r="AA13" s="20">
        <f>AVERAGE(B12:Y13,B32:Y33)</f>
        <v>0.865</v>
      </c>
    </row>
    <row r="14">
      <c r="A14" s="91" t="s">
        <v>70</v>
      </c>
      <c r="B14" s="56"/>
      <c r="C14" s="57" t="s">
        <v>541</v>
      </c>
      <c r="D14" s="57" t="s">
        <v>542</v>
      </c>
      <c r="E14" s="57" t="s">
        <v>543</v>
      </c>
      <c r="F14" s="49"/>
      <c r="G14" s="57" t="s">
        <v>544</v>
      </c>
      <c r="H14" s="49"/>
      <c r="I14" s="57" t="s">
        <v>545</v>
      </c>
      <c r="J14" s="57" t="s">
        <v>546</v>
      </c>
      <c r="K14" s="57" t="s">
        <v>547</v>
      </c>
      <c r="L14" s="49"/>
      <c r="M14" s="57" t="s">
        <v>548</v>
      </c>
      <c r="N14" s="57" t="s">
        <v>549</v>
      </c>
      <c r="O14" s="57" t="s">
        <v>550</v>
      </c>
      <c r="P14" s="57" t="s">
        <v>551</v>
      </c>
      <c r="Q14" s="57" t="s">
        <v>552</v>
      </c>
      <c r="R14" s="57" t="s">
        <v>553</v>
      </c>
      <c r="S14" s="57" t="s">
        <v>554</v>
      </c>
      <c r="T14" s="57" t="s">
        <v>555</v>
      </c>
      <c r="U14" s="57" t="s">
        <v>556</v>
      </c>
      <c r="V14" s="57" t="s">
        <v>557</v>
      </c>
      <c r="W14" s="57" t="s">
        <v>558</v>
      </c>
      <c r="X14" s="57" t="s">
        <v>559</v>
      </c>
      <c r="Y14" s="64" t="s">
        <v>560</v>
      </c>
      <c r="Z14" s="20">
        <f>AVERAGE(B15:Y15)</f>
        <v>0.8653333333</v>
      </c>
      <c r="AA14" s="79"/>
    </row>
    <row r="15">
      <c r="B15" s="51"/>
      <c r="C15" s="71">
        <v>0.95</v>
      </c>
      <c r="D15" s="71">
        <v>0.85</v>
      </c>
      <c r="E15" s="71">
        <v>0.8</v>
      </c>
      <c r="F15" s="52"/>
      <c r="G15" s="71">
        <v>0.94</v>
      </c>
      <c r="H15" s="52"/>
      <c r="I15" s="71">
        <v>0.92</v>
      </c>
      <c r="J15" s="71">
        <v>0.74</v>
      </c>
      <c r="K15" s="71">
        <v>0.76</v>
      </c>
      <c r="L15" s="52"/>
      <c r="M15" s="71">
        <v>0.82</v>
      </c>
      <c r="N15" s="71">
        <v>0.86</v>
      </c>
      <c r="O15" s="71">
        <v>0.85</v>
      </c>
      <c r="P15" s="71">
        <v>1.0</v>
      </c>
      <c r="Q15" s="71">
        <v>0.72</v>
      </c>
      <c r="R15" s="71">
        <v>0.99</v>
      </c>
      <c r="S15" s="71">
        <v>1.01</v>
      </c>
      <c r="T15" s="71">
        <v>0.77</v>
      </c>
      <c r="U15" s="70"/>
      <c r="V15" s="70"/>
      <c r="W15" s="70"/>
      <c r="X15" s="70"/>
      <c r="Y15" s="73"/>
      <c r="AA15" s="20">
        <f>AVERAGE(B10:Y11,B14:Y15)</f>
        <v>0.9002857143</v>
      </c>
    </row>
    <row r="16">
      <c r="A16" s="55" t="s">
        <v>71</v>
      </c>
      <c r="B16" s="56"/>
      <c r="C16" s="57" t="s">
        <v>580</v>
      </c>
      <c r="D16" s="57" t="s">
        <v>581</v>
      </c>
      <c r="E16" s="57" t="s">
        <v>582</v>
      </c>
      <c r="F16" s="57" t="s">
        <v>583</v>
      </c>
      <c r="G16" s="57" t="s">
        <v>584</v>
      </c>
      <c r="H16" s="57" t="s">
        <v>585</v>
      </c>
      <c r="I16" s="49"/>
      <c r="J16" s="57" t="s">
        <v>586</v>
      </c>
      <c r="K16" s="49"/>
      <c r="L16" s="49"/>
      <c r="M16" s="57" t="s">
        <v>587</v>
      </c>
      <c r="N16" s="57" t="s">
        <v>588</v>
      </c>
      <c r="O16" s="57" t="s">
        <v>589</v>
      </c>
      <c r="P16" s="57" t="s">
        <v>590</v>
      </c>
      <c r="Q16" s="57" t="s">
        <v>591</v>
      </c>
      <c r="R16" s="57" t="s">
        <v>592</v>
      </c>
      <c r="S16" s="57" t="s">
        <v>593</v>
      </c>
      <c r="T16" s="57" t="s">
        <v>594</v>
      </c>
      <c r="U16" s="57" t="s">
        <v>595</v>
      </c>
      <c r="V16" s="57" t="s">
        <v>596</v>
      </c>
      <c r="W16" s="57" t="s">
        <v>597</v>
      </c>
      <c r="X16" s="57" t="s">
        <v>598</v>
      </c>
      <c r="Y16" s="64" t="s">
        <v>599</v>
      </c>
      <c r="Z16" s="20">
        <f>AVERAGE(B17:Y17)</f>
        <v>0.955</v>
      </c>
      <c r="AA16" s="79"/>
    </row>
    <row r="17">
      <c r="B17" s="51"/>
      <c r="C17" s="70"/>
      <c r="D17" s="70"/>
      <c r="E17" s="70"/>
      <c r="F17" s="71">
        <v>1.1</v>
      </c>
      <c r="G17" s="70"/>
      <c r="H17" s="71">
        <v>0.81</v>
      </c>
      <c r="I17" s="52"/>
      <c r="J17" s="70"/>
      <c r="K17" s="52"/>
      <c r="L17" s="52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3"/>
      <c r="AA17" s="20">
        <f>AVERAGE(B16:Y17,B20:Y21)</f>
        <v>0.93</v>
      </c>
    </row>
    <row r="18">
      <c r="A18" s="93" t="s">
        <v>600</v>
      </c>
      <c r="B18" s="56"/>
      <c r="C18" s="57" t="s">
        <v>601</v>
      </c>
      <c r="D18" s="57" t="s">
        <v>602</v>
      </c>
      <c r="E18" s="57" t="s">
        <v>603</v>
      </c>
      <c r="F18" s="57" t="s">
        <v>604</v>
      </c>
      <c r="G18" s="57" t="s">
        <v>605</v>
      </c>
      <c r="H18" s="94" t="s">
        <v>606</v>
      </c>
      <c r="I18" s="57" t="s">
        <v>607</v>
      </c>
      <c r="J18" s="49"/>
      <c r="K18" s="57" t="s">
        <v>608</v>
      </c>
      <c r="L18" s="49"/>
      <c r="M18" s="57" t="s">
        <v>609</v>
      </c>
      <c r="N18" s="57" t="s">
        <v>610</v>
      </c>
      <c r="O18" s="57" t="s">
        <v>611</v>
      </c>
      <c r="P18" s="57" t="s">
        <v>612</v>
      </c>
      <c r="Q18" s="57" t="s">
        <v>613</v>
      </c>
      <c r="R18" s="57" t="s">
        <v>614</v>
      </c>
      <c r="S18" s="57" t="s">
        <v>615</v>
      </c>
      <c r="T18" s="49"/>
      <c r="U18" s="57" t="s">
        <v>616</v>
      </c>
      <c r="V18" s="57" t="s">
        <v>617</v>
      </c>
      <c r="W18" s="57" t="s">
        <v>618</v>
      </c>
      <c r="X18" s="57" t="s">
        <v>619</v>
      </c>
      <c r="Y18" s="64" t="s">
        <v>620</v>
      </c>
      <c r="Z18" s="20">
        <f>AVERAGE(B19:Y19)</f>
        <v>1.06</v>
      </c>
      <c r="AA18" s="79"/>
    </row>
    <row r="19">
      <c r="B19" s="51"/>
      <c r="C19" s="70"/>
      <c r="D19" s="70"/>
      <c r="E19" s="70"/>
      <c r="F19" s="71">
        <v>1.36</v>
      </c>
      <c r="G19" s="70"/>
      <c r="H19" s="71">
        <v>0.76</v>
      </c>
      <c r="I19" s="70"/>
      <c r="J19" s="52"/>
      <c r="K19" s="70"/>
      <c r="L19" s="52"/>
      <c r="M19" s="70"/>
      <c r="N19" s="70"/>
      <c r="O19" s="70"/>
      <c r="P19" s="70"/>
      <c r="Q19" s="70"/>
      <c r="R19" s="70"/>
      <c r="S19" s="70"/>
      <c r="T19" s="52"/>
      <c r="U19" s="70"/>
      <c r="V19" s="70"/>
      <c r="W19" s="70"/>
      <c r="X19" s="70"/>
      <c r="Y19" s="73"/>
      <c r="AA19" s="20">
        <f>AVERAGE(B18:Y19,B38:Y39)</f>
        <v>0.96</v>
      </c>
    </row>
    <row r="20">
      <c r="A20" s="93" t="s">
        <v>73</v>
      </c>
      <c r="B20" s="56"/>
      <c r="C20" s="57" t="s">
        <v>621</v>
      </c>
      <c r="D20" s="57" t="s">
        <v>622</v>
      </c>
      <c r="E20" s="57" t="s">
        <v>623</v>
      </c>
      <c r="F20" s="57" t="s">
        <v>624</v>
      </c>
      <c r="G20" s="57" t="s">
        <v>625</v>
      </c>
      <c r="H20" s="94" t="s">
        <v>626</v>
      </c>
      <c r="I20" s="49"/>
      <c r="J20" s="57" t="s">
        <v>627</v>
      </c>
      <c r="K20" s="49"/>
      <c r="L20" s="49"/>
      <c r="M20" s="57" t="s">
        <v>628</v>
      </c>
      <c r="N20" s="57" t="s">
        <v>629</v>
      </c>
      <c r="O20" s="57" t="s">
        <v>630</v>
      </c>
      <c r="P20" s="57" t="s">
        <v>631</v>
      </c>
      <c r="Q20" s="57" t="s">
        <v>632</v>
      </c>
      <c r="R20" s="57" t="s">
        <v>633</v>
      </c>
      <c r="S20" s="57" t="s">
        <v>634</v>
      </c>
      <c r="T20" s="57" t="s">
        <v>635</v>
      </c>
      <c r="U20" s="57" t="s">
        <v>636</v>
      </c>
      <c r="V20" s="57" t="s">
        <v>637</v>
      </c>
      <c r="W20" s="57" t="s">
        <v>638</v>
      </c>
      <c r="X20" s="57" t="s">
        <v>639</v>
      </c>
      <c r="Y20" s="64" t="s">
        <v>640</v>
      </c>
      <c r="Z20" s="20">
        <f>AVERAGE(B21:Y21)</f>
        <v>0.905</v>
      </c>
      <c r="AA20" s="79"/>
    </row>
    <row r="21">
      <c r="B21" s="51"/>
      <c r="C21" s="70"/>
      <c r="D21" s="70"/>
      <c r="E21" s="70"/>
      <c r="F21" s="71">
        <v>1.13</v>
      </c>
      <c r="G21" s="70"/>
      <c r="H21" s="71">
        <v>0.68</v>
      </c>
      <c r="I21" s="52"/>
      <c r="J21" s="70"/>
      <c r="K21" s="52"/>
      <c r="L21" s="52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3"/>
      <c r="AA21" s="20">
        <f>AVERAGE(B16:Y17,B20:Y21)</f>
        <v>0.93</v>
      </c>
    </row>
    <row r="22">
      <c r="A22" s="55" t="s">
        <v>74</v>
      </c>
      <c r="B22" s="56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50"/>
      <c r="Z22" s="79"/>
      <c r="AA22" s="79"/>
    </row>
    <row r="23"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4"/>
      <c r="AA23" s="20"/>
    </row>
    <row r="24">
      <c r="A24" s="43" t="s">
        <v>75</v>
      </c>
      <c r="B24" s="56"/>
      <c r="C24" s="57" t="s">
        <v>641</v>
      </c>
      <c r="D24" s="57" t="s">
        <v>642</v>
      </c>
      <c r="E24" s="57" t="s">
        <v>643</v>
      </c>
      <c r="F24" s="57" t="s">
        <v>644</v>
      </c>
      <c r="G24" s="57" t="s">
        <v>645</v>
      </c>
      <c r="H24" s="94" t="s">
        <v>646</v>
      </c>
      <c r="I24" s="57" t="s">
        <v>647</v>
      </c>
      <c r="J24" s="57" t="s">
        <v>648</v>
      </c>
      <c r="K24" s="57" t="s">
        <v>649</v>
      </c>
      <c r="L24" s="49"/>
      <c r="M24" s="49"/>
      <c r="N24" s="57" t="s">
        <v>650</v>
      </c>
      <c r="O24" s="57" t="s">
        <v>651</v>
      </c>
      <c r="P24" s="57" t="s">
        <v>652</v>
      </c>
      <c r="Q24" s="57" t="s">
        <v>653</v>
      </c>
      <c r="R24" s="57" t="s">
        <v>654</v>
      </c>
      <c r="S24" s="57" t="s">
        <v>655</v>
      </c>
      <c r="T24" s="57" t="s">
        <v>656</v>
      </c>
      <c r="U24" s="57" t="s">
        <v>657</v>
      </c>
      <c r="V24" s="57" t="s">
        <v>658</v>
      </c>
      <c r="W24" s="49"/>
      <c r="X24" s="57" t="s">
        <v>659</v>
      </c>
      <c r="Y24" s="64" t="s">
        <v>660</v>
      </c>
      <c r="Z24" s="20">
        <f>AVERAGE(B25:Y25)</f>
        <v>0.9</v>
      </c>
      <c r="AA24" s="79"/>
    </row>
    <row r="25">
      <c r="B25" s="51"/>
      <c r="C25" s="70"/>
      <c r="D25" s="70"/>
      <c r="E25" s="70"/>
      <c r="F25" s="71">
        <v>0.94</v>
      </c>
      <c r="G25" s="70"/>
      <c r="H25" s="71">
        <v>0.87</v>
      </c>
      <c r="I25" s="71">
        <v>0.89</v>
      </c>
      <c r="J25" s="70"/>
      <c r="K25" s="70"/>
      <c r="L25" s="52"/>
      <c r="M25" s="52"/>
      <c r="N25" s="70"/>
      <c r="O25" s="70"/>
      <c r="P25" s="70"/>
      <c r="Q25" s="70"/>
      <c r="R25" s="70"/>
      <c r="S25" s="70"/>
      <c r="T25" s="70"/>
      <c r="U25" s="70"/>
      <c r="V25" s="70"/>
      <c r="W25" s="52"/>
      <c r="X25" s="70"/>
      <c r="Y25" s="73"/>
      <c r="AA25" s="20">
        <f>AVERAGE(B24:Y25,B44:Y45)</f>
        <v>0.902</v>
      </c>
    </row>
    <row r="26">
      <c r="A26" s="43" t="s">
        <v>76</v>
      </c>
      <c r="B26" s="56"/>
      <c r="C26" s="57" t="s">
        <v>661</v>
      </c>
      <c r="D26" s="49"/>
      <c r="E26" s="57" t="s">
        <v>662</v>
      </c>
      <c r="F26" s="57" t="s">
        <v>663</v>
      </c>
      <c r="G26" s="57" t="s">
        <v>664</v>
      </c>
      <c r="H26" s="94" t="s">
        <v>665</v>
      </c>
      <c r="I26" s="57" t="s">
        <v>666</v>
      </c>
      <c r="J26" s="57" t="s">
        <v>667</v>
      </c>
      <c r="K26" s="57" t="s">
        <v>668</v>
      </c>
      <c r="L26" s="49"/>
      <c r="M26" s="57" t="s">
        <v>669</v>
      </c>
      <c r="N26" s="49"/>
      <c r="O26" s="57" t="s">
        <v>511</v>
      </c>
      <c r="P26" s="57" t="s">
        <v>670</v>
      </c>
      <c r="Q26" s="57" t="s">
        <v>671</v>
      </c>
      <c r="R26" s="57" t="s">
        <v>672</v>
      </c>
      <c r="S26" s="57" t="s">
        <v>673</v>
      </c>
      <c r="T26" s="57" t="s">
        <v>674</v>
      </c>
      <c r="U26" s="57" t="s">
        <v>675</v>
      </c>
      <c r="V26" s="57" t="s">
        <v>676</v>
      </c>
      <c r="W26" s="57" t="s">
        <v>677</v>
      </c>
      <c r="X26" s="57" t="s">
        <v>678</v>
      </c>
      <c r="Y26" s="64" t="s">
        <v>679</v>
      </c>
      <c r="Z26" s="20">
        <f>AVERAGE(B27:Y27)</f>
        <v>0.955</v>
      </c>
      <c r="AA26" s="79"/>
    </row>
    <row r="27">
      <c r="B27" s="51"/>
      <c r="C27" s="70"/>
      <c r="D27" s="52"/>
      <c r="E27" s="70"/>
      <c r="F27" s="71">
        <v>0.97</v>
      </c>
      <c r="G27" s="70"/>
      <c r="H27" s="71">
        <v>0.94</v>
      </c>
      <c r="I27" s="70"/>
      <c r="J27" s="70"/>
      <c r="K27" s="70"/>
      <c r="L27" s="52"/>
      <c r="M27" s="70"/>
      <c r="N27" s="52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3"/>
      <c r="AA27" s="20">
        <f>AVERAGE(B6:Y7,B26:Y27)</f>
        <v>0.875</v>
      </c>
    </row>
    <row r="28">
      <c r="A28" s="117" t="s">
        <v>79</v>
      </c>
      <c r="B28" s="56"/>
      <c r="C28" s="57" t="s">
        <v>680</v>
      </c>
      <c r="D28" s="57" t="s">
        <v>681</v>
      </c>
      <c r="E28" s="57" t="s">
        <v>682</v>
      </c>
      <c r="F28" s="57" t="s">
        <v>683</v>
      </c>
      <c r="G28" s="57" t="s">
        <v>684</v>
      </c>
      <c r="H28" s="94" t="s">
        <v>685</v>
      </c>
      <c r="I28" s="57" t="s">
        <v>686</v>
      </c>
      <c r="J28" s="57" t="s">
        <v>687</v>
      </c>
      <c r="K28" s="57" t="s">
        <v>688</v>
      </c>
      <c r="L28" s="49"/>
      <c r="M28" s="57" t="s">
        <v>689</v>
      </c>
      <c r="N28" s="57" t="s">
        <v>690</v>
      </c>
      <c r="O28" s="49"/>
      <c r="P28" s="57" t="s">
        <v>691</v>
      </c>
      <c r="Q28" s="57" t="s">
        <v>692</v>
      </c>
      <c r="R28" s="57" t="s">
        <v>693</v>
      </c>
      <c r="S28" s="57" t="s">
        <v>694</v>
      </c>
      <c r="T28" s="57" t="s">
        <v>695</v>
      </c>
      <c r="U28" s="57" t="s">
        <v>696</v>
      </c>
      <c r="V28" s="57" t="s">
        <v>697</v>
      </c>
      <c r="W28" s="57" t="s">
        <v>698</v>
      </c>
      <c r="X28" s="57" t="s">
        <v>699</v>
      </c>
      <c r="Y28" s="50"/>
      <c r="Z28" s="20">
        <f>AVERAGE(B29:Y29)</f>
        <v>0.8533333333</v>
      </c>
      <c r="AA28" s="79"/>
    </row>
    <row r="29">
      <c r="B29" s="51"/>
      <c r="C29" s="70"/>
      <c r="D29" s="70"/>
      <c r="E29" s="70"/>
      <c r="F29" s="71">
        <v>0.51</v>
      </c>
      <c r="G29" s="70"/>
      <c r="H29" s="71">
        <v>0.94</v>
      </c>
      <c r="I29" s="71">
        <v>1.11</v>
      </c>
      <c r="J29" s="70"/>
      <c r="K29" s="70"/>
      <c r="L29" s="52"/>
      <c r="M29" s="70"/>
      <c r="N29" s="70"/>
      <c r="O29" s="52"/>
      <c r="P29" s="70"/>
      <c r="Q29" s="70"/>
      <c r="R29" s="70"/>
      <c r="S29" s="70"/>
      <c r="T29" s="70"/>
      <c r="U29" s="70"/>
      <c r="V29" s="70"/>
      <c r="W29" s="70"/>
      <c r="X29" s="70"/>
      <c r="Y29" s="54"/>
      <c r="AA29" s="20">
        <f>AVERAGE(B28:Y29,B48:Y49)</f>
        <v>0.828</v>
      </c>
    </row>
    <row r="30">
      <c r="A30" s="75" t="s">
        <v>700</v>
      </c>
      <c r="B30" s="56"/>
      <c r="C30" s="57" t="s">
        <v>701</v>
      </c>
      <c r="D30" s="57" t="s">
        <v>702</v>
      </c>
      <c r="E30" s="57" t="s">
        <v>703</v>
      </c>
      <c r="F30" s="57" t="s">
        <v>704</v>
      </c>
      <c r="G30" s="57" t="s">
        <v>705</v>
      </c>
      <c r="H30" s="57" t="s">
        <v>706</v>
      </c>
      <c r="I30" s="57" t="s">
        <v>707</v>
      </c>
      <c r="J30" s="57" t="s">
        <v>708</v>
      </c>
      <c r="K30" s="57" t="s">
        <v>709</v>
      </c>
      <c r="L30" s="49"/>
      <c r="M30" s="57" t="s">
        <v>710</v>
      </c>
      <c r="N30" s="57" t="s">
        <v>512</v>
      </c>
      <c r="O30" s="57" t="s">
        <v>711</v>
      </c>
      <c r="P30" s="49"/>
      <c r="Q30" s="57" t="s">
        <v>712</v>
      </c>
      <c r="R30" s="49"/>
      <c r="S30" s="57" t="s">
        <v>713</v>
      </c>
      <c r="T30" s="57" t="s">
        <v>714</v>
      </c>
      <c r="U30" s="57" t="s">
        <v>715</v>
      </c>
      <c r="V30" s="57" t="s">
        <v>716</v>
      </c>
      <c r="W30" s="57" t="s">
        <v>717</v>
      </c>
      <c r="X30" s="57" t="s">
        <v>718</v>
      </c>
      <c r="Y30" s="64" t="s">
        <v>719</v>
      </c>
      <c r="Z30" s="20">
        <f>AVERAGE(B31:Y31)</f>
        <v>1.055</v>
      </c>
      <c r="AA30" s="79"/>
    </row>
    <row r="31">
      <c r="B31" s="51"/>
      <c r="C31" s="70"/>
      <c r="D31" s="70"/>
      <c r="E31" s="70"/>
      <c r="F31" s="71">
        <v>1.16</v>
      </c>
      <c r="G31" s="70"/>
      <c r="H31" s="71">
        <v>0.95</v>
      </c>
      <c r="I31" s="70"/>
      <c r="J31" s="70"/>
      <c r="K31" s="70"/>
      <c r="L31" s="52"/>
      <c r="M31" s="70"/>
      <c r="N31" s="70"/>
      <c r="O31" s="70"/>
      <c r="P31" s="52"/>
      <c r="Q31" s="70"/>
      <c r="R31" s="52"/>
      <c r="S31" s="70"/>
      <c r="T31" s="70"/>
      <c r="U31" s="70"/>
      <c r="V31" s="70"/>
      <c r="W31" s="70"/>
      <c r="X31" s="70"/>
      <c r="Y31" s="73"/>
      <c r="AA31" s="20">
        <f>AVERAGE(B30:Y31,B34:Y35)</f>
        <v>0.955</v>
      </c>
    </row>
    <row r="32">
      <c r="A32" s="75" t="s">
        <v>87</v>
      </c>
      <c r="B32" s="56"/>
      <c r="C32" s="57" t="s">
        <v>720</v>
      </c>
      <c r="D32" s="57" t="s">
        <v>721</v>
      </c>
      <c r="E32" s="57" t="s">
        <v>722</v>
      </c>
      <c r="F32" s="57" t="s">
        <v>723</v>
      </c>
      <c r="G32" s="49"/>
      <c r="H32" s="57" t="s">
        <v>724</v>
      </c>
      <c r="I32" s="57" t="s">
        <v>725</v>
      </c>
      <c r="J32" s="57" t="s">
        <v>726</v>
      </c>
      <c r="K32" s="57" t="s">
        <v>727</v>
      </c>
      <c r="L32" s="49"/>
      <c r="M32" s="57" t="s">
        <v>728</v>
      </c>
      <c r="N32" s="57" t="s">
        <v>729</v>
      </c>
      <c r="O32" s="57" t="s">
        <v>730</v>
      </c>
      <c r="P32" s="57" t="s">
        <v>731</v>
      </c>
      <c r="Q32" s="49"/>
      <c r="R32" s="57" t="s">
        <v>732</v>
      </c>
      <c r="S32" s="57" t="s">
        <v>733</v>
      </c>
      <c r="T32" s="57" t="s">
        <v>734</v>
      </c>
      <c r="U32" s="57" t="s">
        <v>735</v>
      </c>
      <c r="V32" s="57" t="s">
        <v>736</v>
      </c>
      <c r="W32" s="57" t="s">
        <v>737</v>
      </c>
      <c r="X32" s="57" t="s">
        <v>738</v>
      </c>
      <c r="Y32" s="64" t="s">
        <v>739</v>
      </c>
      <c r="Z32" s="20">
        <f>AVERAGE(B33:Y33)</f>
        <v>0.83</v>
      </c>
      <c r="AA32" s="79"/>
    </row>
    <row r="33">
      <c r="B33" s="51"/>
      <c r="C33" s="70"/>
      <c r="D33" s="70"/>
      <c r="E33" s="70"/>
      <c r="F33" s="71">
        <v>0.85</v>
      </c>
      <c r="G33" s="52"/>
      <c r="H33" s="71">
        <v>0.81</v>
      </c>
      <c r="I33" s="70"/>
      <c r="J33" s="70"/>
      <c r="K33" s="70"/>
      <c r="L33" s="52"/>
      <c r="M33" s="70"/>
      <c r="N33" s="70"/>
      <c r="O33" s="70"/>
      <c r="P33" s="70"/>
      <c r="Q33" s="52"/>
      <c r="R33" s="70"/>
      <c r="S33" s="70"/>
      <c r="T33" s="70"/>
      <c r="U33" s="70"/>
      <c r="V33" s="70"/>
      <c r="W33" s="70"/>
      <c r="X33" s="70"/>
      <c r="Y33" s="73"/>
      <c r="AA33" s="20">
        <f>AVERAGE(B12:Y13,B32:Y33)</f>
        <v>0.865</v>
      </c>
    </row>
    <row r="34">
      <c r="A34" s="117" t="s">
        <v>89</v>
      </c>
      <c r="B34" s="56"/>
      <c r="C34" s="57" t="s">
        <v>740</v>
      </c>
      <c r="D34" s="57" t="s">
        <v>741</v>
      </c>
      <c r="E34" s="57" t="s">
        <v>742</v>
      </c>
      <c r="F34" s="57" t="s">
        <v>743</v>
      </c>
      <c r="G34" s="57" t="s">
        <v>744</v>
      </c>
      <c r="H34" s="57" t="s">
        <v>745</v>
      </c>
      <c r="I34" s="57" t="s">
        <v>746</v>
      </c>
      <c r="J34" s="57" t="s">
        <v>747</v>
      </c>
      <c r="K34" s="57" t="s">
        <v>748</v>
      </c>
      <c r="L34" s="49"/>
      <c r="M34" s="57" t="s">
        <v>749</v>
      </c>
      <c r="N34" s="57" t="s">
        <v>750</v>
      </c>
      <c r="O34" s="57" t="s">
        <v>751</v>
      </c>
      <c r="P34" s="49"/>
      <c r="Q34" s="57" t="s">
        <v>752</v>
      </c>
      <c r="R34" s="49"/>
      <c r="S34" s="57" t="s">
        <v>753</v>
      </c>
      <c r="T34" s="57" t="s">
        <v>754</v>
      </c>
      <c r="U34" s="57" t="s">
        <v>755</v>
      </c>
      <c r="V34" s="57" t="s">
        <v>756</v>
      </c>
      <c r="W34" s="57" t="s">
        <v>757</v>
      </c>
      <c r="X34" s="57" t="s">
        <v>759</v>
      </c>
      <c r="Y34" s="64" t="s">
        <v>760</v>
      </c>
      <c r="Z34" s="20">
        <f>AVERAGE(B35:Y35)</f>
        <v>0.855</v>
      </c>
      <c r="AA34" s="79"/>
    </row>
    <row r="35">
      <c r="B35" s="51"/>
      <c r="C35" s="70"/>
      <c r="D35" s="70"/>
      <c r="E35" s="70"/>
      <c r="F35" s="71">
        <v>0.68</v>
      </c>
      <c r="G35" s="70"/>
      <c r="H35" s="71">
        <v>1.03</v>
      </c>
      <c r="I35" s="70"/>
      <c r="J35" s="70"/>
      <c r="K35" s="70"/>
      <c r="L35" s="52"/>
      <c r="M35" s="70"/>
      <c r="N35" s="70"/>
      <c r="O35" s="70"/>
      <c r="P35" s="52"/>
      <c r="Q35" s="70"/>
      <c r="R35" s="52"/>
      <c r="S35" s="70"/>
      <c r="T35" s="70"/>
      <c r="U35" s="70"/>
      <c r="V35" s="70"/>
      <c r="W35" s="70"/>
      <c r="X35" s="70"/>
      <c r="Y35" s="73"/>
      <c r="AA35" s="20">
        <f>AVERAGE(B30:Y31,B34:Y35)</f>
        <v>0.955</v>
      </c>
    </row>
    <row r="36">
      <c r="A36" s="91" t="s">
        <v>90</v>
      </c>
      <c r="B36" s="56"/>
      <c r="C36" s="57" t="s">
        <v>761</v>
      </c>
      <c r="D36" s="57" t="s">
        <v>762</v>
      </c>
      <c r="E36" s="57" t="s">
        <v>763</v>
      </c>
      <c r="F36" s="57" t="s">
        <v>764</v>
      </c>
      <c r="G36" s="57" t="s">
        <v>765</v>
      </c>
      <c r="H36" s="57" t="s">
        <v>766</v>
      </c>
      <c r="I36" s="57" t="s">
        <v>767</v>
      </c>
      <c r="J36" s="57" t="s">
        <v>768</v>
      </c>
      <c r="K36" s="57" t="s">
        <v>769</v>
      </c>
      <c r="L36" s="49"/>
      <c r="M36" s="57" t="s">
        <v>770</v>
      </c>
      <c r="N36" s="57" t="s">
        <v>771</v>
      </c>
      <c r="O36" s="57" t="s">
        <v>772</v>
      </c>
      <c r="P36" s="57" t="s">
        <v>773</v>
      </c>
      <c r="Q36" s="57" t="s">
        <v>774</v>
      </c>
      <c r="R36" s="57" t="s">
        <v>775</v>
      </c>
      <c r="S36" s="49"/>
      <c r="T36" s="57" t="s">
        <v>776</v>
      </c>
      <c r="U36" s="49"/>
      <c r="V36" s="57" t="s">
        <v>777</v>
      </c>
      <c r="W36" s="57" t="s">
        <v>778</v>
      </c>
      <c r="X36" s="57" t="s">
        <v>779</v>
      </c>
      <c r="Y36" s="64" t="s">
        <v>780</v>
      </c>
      <c r="Z36" s="20">
        <f>AVERAGE(B37:Y37)</f>
        <v>1.08</v>
      </c>
      <c r="AA36" s="79"/>
    </row>
    <row r="37">
      <c r="B37" s="51"/>
      <c r="C37" s="70"/>
      <c r="D37" s="70"/>
      <c r="E37" s="70"/>
      <c r="F37" s="71">
        <v>1.12</v>
      </c>
      <c r="G37" s="70"/>
      <c r="H37" s="71">
        <v>1.04</v>
      </c>
      <c r="I37" s="70"/>
      <c r="J37" s="70"/>
      <c r="K37" s="70"/>
      <c r="L37" s="52"/>
      <c r="M37" s="70"/>
      <c r="N37" s="70"/>
      <c r="O37" s="70"/>
      <c r="P37" s="70"/>
      <c r="Q37" s="70"/>
      <c r="R37" s="70"/>
      <c r="S37" s="52"/>
      <c r="T37" s="70"/>
      <c r="U37" s="52"/>
      <c r="V37" s="70"/>
      <c r="W37" s="70"/>
      <c r="X37" s="70"/>
      <c r="Y37" s="73"/>
      <c r="AA37" s="20">
        <f>AVERAGE(B36:Y37,B40:Y41)</f>
        <v>0.9166666667</v>
      </c>
    </row>
    <row r="38">
      <c r="A38" s="91" t="s">
        <v>92</v>
      </c>
      <c r="B38" s="56"/>
      <c r="C38" s="57" t="s">
        <v>799</v>
      </c>
      <c r="D38" s="57" t="s">
        <v>801</v>
      </c>
      <c r="E38" s="57" t="s">
        <v>803</v>
      </c>
      <c r="F38" s="57" t="s">
        <v>806</v>
      </c>
      <c r="G38" s="57" t="s">
        <v>807</v>
      </c>
      <c r="H38" s="57" t="s">
        <v>809</v>
      </c>
      <c r="I38" s="57" t="s">
        <v>810</v>
      </c>
      <c r="J38" s="49"/>
      <c r="K38" s="57" t="s">
        <v>811</v>
      </c>
      <c r="L38" s="49"/>
      <c r="M38" s="57" t="s">
        <v>812</v>
      </c>
      <c r="N38" s="57" t="s">
        <v>515</v>
      </c>
      <c r="O38" s="57" t="s">
        <v>813</v>
      </c>
      <c r="P38" s="57" t="s">
        <v>814</v>
      </c>
      <c r="Q38" s="57" t="s">
        <v>815</v>
      </c>
      <c r="R38" s="57" t="s">
        <v>816</v>
      </c>
      <c r="S38" s="57" t="s">
        <v>817</v>
      </c>
      <c r="T38" s="49"/>
      <c r="U38" s="57" t="s">
        <v>818</v>
      </c>
      <c r="V38" s="57" t="s">
        <v>819</v>
      </c>
      <c r="W38" s="57" t="s">
        <v>820</v>
      </c>
      <c r="X38" s="57" t="s">
        <v>821</v>
      </c>
      <c r="Y38" s="64" t="s">
        <v>822</v>
      </c>
      <c r="Z38" s="20">
        <f>AVERAGE(B39:Y39)</f>
        <v>0.86</v>
      </c>
      <c r="AA38" s="79"/>
    </row>
    <row r="39">
      <c r="B39" s="51"/>
      <c r="C39" s="70"/>
      <c r="D39" s="70"/>
      <c r="E39" s="70"/>
      <c r="F39" s="71">
        <v>0.94</v>
      </c>
      <c r="G39" s="70"/>
      <c r="H39" s="71">
        <v>0.78</v>
      </c>
      <c r="I39" s="70"/>
      <c r="J39" s="52"/>
      <c r="K39" s="70"/>
      <c r="L39" s="52"/>
      <c r="M39" s="70"/>
      <c r="N39" s="70"/>
      <c r="O39" s="70"/>
      <c r="P39" s="70"/>
      <c r="Q39" s="70"/>
      <c r="R39" s="70"/>
      <c r="S39" s="70"/>
      <c r="T39" s="52"/>
      <c r="U39" s="70"/>
      <c r="V39" s="70"/>
      <c r="W39" s="70"/>
      <c r="X39" s="70"/>
      <c r="Y39" s="73"/>
      <c r="AA39" s="20">
        <f>AVERAGE(B18:Y19,B38:Y39)</f>
        <v>0.96</v>
      </c>
    </row>
    <row r="40">
      <c r="A40" s="117" t="s">
        <v>94</v>
      </c>
      <c r="B40" s="56"/>
      <c r="C40" s="57" t="s">
        <v>823</v>
      </c>
      <c r="D40" s="57" t="s">
        <v>824</v>
      </c>
      <c r="E40" s="57" t="s">
        <v>825</v>
      </c>
      <c r="F40" s="57" t="s">
        <v>826</v>
      </c>
      <c r="G40" s="57" t="s">
        <v>827</v>
      </c>
      <c r="H40" s="57" t="s">
        <v>828</v>
      </c>
      <c r="I40" s="57" t="s">
        <v>829</v>
      </c>
      <c r="J40" s="57" t="s">
        <v>830</v>
      </c>
      <c r="K40" s="57" t="s">
        <v>831</v>
      </c>
      <c r="L40" s="49"/>
      <c r="M40" s="57" t="s">
        <v>832</v>
      </c>
      <c r="N40" s="57" t="s">
        <v>833</v>
      </c>
      <c r="O40" s="57" t="s">
        <v>834</v>
      </c>
      <c r="P40" s="57" t="s">
        <v>835</v>
      </c>
      <c r="Q40" s="57" t="s">
        <v>836</v>
      </c>
      <c r="R40" s="57" t="s">
        <v>837</v>
      </c>
      <c r="S40" s="49"/>
      <c r="T40" s="57" t="s">
        <v>838</v>
      </c>
      <c r="U40" s="49"/>
      <c r="V40" s="57" t="s">
        <v>839</v>
      </c>
      <c r="W40" s="57" t="s">
        <v>840</v>
      </c>
      <c r="X40" s="57" t="s">
        <v>841</v>
      </c>
      <c r="Y40" s="64" t="s">
        <v>842</v>
      </c>
      <c r="Z40" s="20">
        <f>AVERAGE(B41:Y41)</f>
        <v>0.59</v>
      </c>
      <c r="AA40" s="79"/>
    </row>
    <row r="41">
      <c r="B41" s="51"/>
      <c r="C41" s="70"/>
      <c r="D41" s="70"/>
      <c r="E41" s="70"/>
      <c r="F41" s="71">
        <v>0.59</v>
      </c>
      <c r="G41" s="70"/>
      <c r="H41" s="70"/>
      <c r="I41" s="70"/>
      <c r="J41" s="70"/>
      <c r="K41" s="70"/>
      <c r="L41" s="52"/>
      <c r="M41" s="70"/>
      <c r="N41" s="70"/>
      <c r="O41" s="70"/>
      <c r="P41" s="70"/>
      <c r="Q41" s="70"/>
      <c r="R41" s="70"/>
      <c r="S41" s="52"/>
      <c r="T41" s="70"/>
      <c r="U41" s="52"/>
      <c r="V41" s="70"/>
      <c r="W41" s="70"/>
      <c r="X41" s="70"/>
      <c r="Y41" s="73"/>
      <c r="AA41" s="20">
        <f>AVERAGE(B36:Y37,B40:Y41)</f>
        <v>0.9166666667</v>
      </c>
    </row>
    <row r="42">
      <c r="A42" s="93" t="s">
        <v>843</v>
      </c>
      <c r="B42" s="56"/>
      <c r="C42" s="57" t="s">
        <v>844</v>
      </c>
      <c r="D42" s="57" t="s">
        <v>845</v>
      </c>
      <c r="E42" s="57" t="s">
        <v>846</v>
      </c>
      <c r="F42" s="57" t="s">
        <v>847</v>
      </c>
      <c r="G42" s="57" t="s">
        <v>848</v>
      </c>
      <c r="H42" s="57" t="s">
        <v>849</v>
      </c>
      <c r="I42" s="57" t="s">
        <v>850</v>
      </c>
      <c r="J42" s="57" t="s">
        <v>851</v>
      </c>
      <c r="K42" s="57" t="s">
        <v>852</v>
      </c>
      <c r="L42" s="49"/>
      <c r="M42" s="57" t="s">
        <v>853</v>
      </c>
      <c r="N42" s="57" t="s">
        <v>854</v>
      </c>
      <c r="O42" s="57" t="s">
        <v>855</v>
      </c>
      <c r="P42" s="57" t="s">
        <v>856</v>
      </c>
      <c r="Q42" s="57" t="s">
        <v>857</v>
      </c>
      <c r="R42" s="57" t="s">
        <v>858</v>
      </c>
      <c r="S42" s="57" t="s">
        <v>859</v>
      </c>
      <c r="T42" s="57" t="s">
        <v>860</v>
      </c>
      <c r="U42" s="57" t="s">
        <v>861</v>
      </c>
      <c r="V42" s="49"/>
      <c r="W42" s="57" t="s">
        <v>862</v>
      </c>
      <c r="X42" s="49"/>
      <c r="Y42" s="64" t="s">
        <v>863</v>
      </c>
      <c r="Z42" s="20">
        <f>AVERAGE(B43:Y43)</f>
        <v>0.765</v>
      </c>
      <c r="AA42" s="79"/>
    </row>
    <row r="43">
      <c r="B43" s="51"/>
      <c r="C43" s="70"/>
      <c r="D43" s="70"/>
      <c r="E43" s="70"/>
      <c r="F43" s="71">
        <v>0.91</v>
      </c>
      <c r="G43" s="70"/>
      <c r="H43" s="70"/>
      <c r="I43" s="71">
        <v>0.62</v>
      </c>
      <c r="J43" s="70"/>
      <c r="K43" s="70"/>
      <c r="L43" s="52"/>
      <c r="M43" s="70"/>
      <c r="N43" s="70"/>
      <c r="O43" s="70"/>
      <c r="P43" s="70"/>
      <c r="Q43" s="70"/>
      <c r="R43" s="70"/>
      <c r="S43" s="70"/>
      <c r="T43" s="70"/>
      <c r="U43" s="70"/>
      <c r="V43" s="52"/>
      <c r="W43" s="70"/>
      <c r="X43" s="52"/>
      <c r="Y43" s="73"/>
      <c r="AA43" s="20">
        <f>AVERAGE(B42:Y43,B46:Y47)</f>
        <v>0.7725</v>
      </c>
    </row>
    <row r="44">
      <c r="A44" s="93" t="s">
        <v>98</v>
      </c>
      <c r="B44" s="56"/>
      <c r="C44" s="57" t="s">
        <v>864</v>
      </c>
      <c r="D44" s="57" t="s">
        <v>865</v>
      </c>
      <c r="E44" s="57" t="s">
        <v>866</v>
      </c>
      <c r="F44" s="57" t="s">
        <v>867</v>
      </c>
      <c r="G44" s="94" t="s">
        <v>868</v>
      </c>
      <c r="H44" s="57" t="s">
        <v>869</v>
      </c>
      <c r="I44" s="57" t="s">
        <v>870</v>
      </c>
      <c r="J44" s="57" t="s">
        <v>871</v>
      </c>
      <c r="K44" s="57" t="s">
        <v>872</v>
      </c>
      <c r="L44" s="49"/>
      <c r="M44" s="49"/>
      <c r="N44" s="57" t="s">
        <v>873</v>
      </c>
      <c r="O44" s="57" t="s">
        <v>874</v>
      </c>
      <c r="P44" s="57" t="s">
        <v>875</v>
      </c>
      <c r="Q44" s="57" t="s">
        <v>876</v>
      </c>
      <c r="R44" s="57" t="s">
        <v>877</v>
      </c>
      <c r="S44" s="57" t="s">
        <v>878</v>
      </c>
      <c r="T44" s="57" t="s">
        <v>879</v>
      </c>
      <c r="U44" s="57" t="s">
        <v>880</v>
      </c>
      <c r="V44" s="57" t="s">
        <v>881</v>
      </c>
      <c r="W44" s="49"/>
      <c r="X44" s="57" t="s">
        <v>882</v>
      </c>
      <c r="Y44" s="64" t="s">
        <v>883</v>
      </c>
      <c r="Z44" s="20">
        <f>AVERAGE(B45:Y45)</f>
        <v>0.905</v>
      </c>
      <c r="AA44" s="79"/>
    </row>
    <row r="45">
      <c r="B45" s="51"/>
      <c r="C45" s="70"/>
      <c r="D45" s="70"/>
      <c r="E45" s="70"/>
      <c r="F45" s="71">
        <v>0.92</v>
      </c>
      <c r="G45" s="70"/>
      <c r="H45" s="70"/>
      <c r="I45" s="71">
        <v>0.89</v>
      </c>
      <c r="J45" s="70"/>
      <c r="K45" s="70"/>
      <c r="L45" s="52"/>
      <c r="M45" s="52"/>
      <c r="N45" s="70"/>
      <c r="O45" s="70"/>
      <c r="P45" s="70"/>
      <c r="Q45" s="70"/>
      <c r="R45" s="70"/>
      <c r="S45" s="70"/>
      <c r="T45" s="70"/>
      <c r="U45" s="70"/>
      <c r="V45" s="70"/>
      <c r="W45" s="52"/>
      <c r="X45" s="70"/>
      <c r="Y45" s="73"/>
      <c r="AA45" s="20">
        <f>AVERAGE(B24:Y25,B44:Y45)</f>
        <v>0.902</v>
      </c>
    </row>
    <row r="46">
      <c r="A46" s="117" t="s">
        <v>884</v>
      </c>
      <c r="B46" s="56"/>
      <c r="C46" s="57" t="s">
        <v>885</v>
      </c>
      <c r="D46" s="57" t="s">
        <v>886</v>
      </c>
      <c r="E46" s="57" t="s">
        <v>887</v>
      </c>
      <c r="F46" s="57" t="s">
        <v>888</v>
      </c>
      <c r="G46" s="57" t="s">
        <v>889</v>
      </c>
      <c r="H46" s="57" t="s">
        <v>890</v>
      </c>
      <c r="I46" s="57" t="s">
        <v>891</v>
      </c>
      <c r="J46" s="57" t="s">
        <v>892</v>
      </c>
      <c r="K46" s="57" t="s">
        <v>893</v>
      </c>
      <c r="L46" s="49"/>
      <c r="M46" s="57" t="s">
        <v>894</v>
      </c>
      <c r="N46" s="57" t="s">
        <v>895</v>
      </c>
      <c r="O46" s="57" t="s">
        <v>896</v>
      </c>
      <c r="P46" s="57" t="s">
        <v>897</v>
      </c>
      <c r="Q46" s="57" t="s">
        <v>898</v>
      </c>
      <c r="R46" s="57" t="s">
        <v>899</v>
      </c>
      <c r="S46" s="57" t="s">
        <v>900</v>
      </c>
      <c r="T46" s="57" t="s">
        <v>901</v>
      </c>
      <c r="U46" s="57" t="s">
        <v>902</v>
      </c>
      <c r="V46" s="49"/>
      <c r="W46" s="57" t="s">
        <v>903</v>
      </c>
      <c r="X46" s="49"/>
      <c r="Y46" s="64" t="s">
        <v>904</v>
      </c>
      <c r="Z46" s="20">
        <f>AVERAGE(B47:Y47)</f>
        <v>0.78</v>
      </c>
      <c r="AA46" s="79"/>
    </row>
    <row r="47">
      <c r="B47" s="51"/>
      <c r="C47" s="70"/>
      <c r="D47" s="70"/>
      <c r="E47" s="70"/>
      <c r="F47" s="71">
        <v>0.74</v>
      </c>
      <c r="G47" s="70"/>
      <c r="H47" s="70"/>
      <c r="I47" s="71">
        <v>0.82</v>
      </c>
      <c r="J47" s="70"/>
      <c r="K47" s="70"/>
      <c r="L47" s="52"/>
      <c r="M47" s="70"/>
      <c r="N47" s="70"/>
      <c r="O47" s="70"/>
      <c r="P47" s="70"/>
      <c r="Q47" s="70"/>
      <c r="R47" s="70"/>
      <c r="S47" s="70"/>
      <c r="T47" s="70"/>
      <c r="U47" s="70"/>
      <c r="V47" s="52"/>
      <c r="W47" s="70"/>
      <c r="X47" s="52"/>
      <c r="Y47" s="73"/>
      <c r="AA47" s="20">
        <f>AVERAGE(B42:Y43,B46:Y47)</f>
        <v>0.7725</v>
      </c>
    </row>
    <row r="48">
      <c r="A48" s="43" t="s">
        <v>908</v>
      </c>
      <c r="B48" s="56"/>
      <c r="C48" s="57" t="s">
        <v>917</v>
      </c>
      <c r="D48" s="57" t="s">
        <v>920</v>
      </c>
      <c r="E48" s="57" t="s">
        <v>922</v>
      </c>
      <c r="F48" s="57" t="s">
        <v>924</v>
      </c>
      <c r="G48" s="57" t="s">
        <v>926</v>
      </c>
      <c r="H48" s="57" t="s">
        <v>928</v>
      </c>
      <c r="I48" s="57" t="s">
        <v>931</v>
      </c>
      <c r="J48" s="57" t="s">
        <v>935</v>
      </c>
      <c r="K48" s="57" t="s">
        <v>937</v>
      </c>
      <c r="L48" s="49"/>
      <c r="M48" s="57" t="s">
        <v>940</v>
      </c>
      <c r="N48" s="57" t="s">
        <v>941</v>
      </c>
      <c r="O48" s="49"/>
      <c r="P48" s="57" t="s">
        <v>942</v>
      </c>
      <c r="Q48" s="57" t="s">
        <v>944</v>
      </c>
      <c r="R48" s="57" t="s">
        <v>945</v>
      </c>
      <c r="S48" s="57" t="s">
        <v>946</v>
      </c>
      <c r="T48" s="57" t="s">
        <v>947</v>
      </c>
      <c r="U48" s="57" t="s">
        <v>948</v>
      </c>
      <c r="V48" s="57" t="s">
        <v>950</v>
      </c>
      <c r="W48" s="57" t="s">
        <v>951</v>
      </c>
      <c r="X48" s="57" t="s">
        <v>952</v>
      </c>
      <c r="Y48" s="50"/>
      <c r="Z48" s="20">
        <f>AVERAGE(B49:Y49)</f>
        <v>0.79</v>
      </c>
      <c r="AA48" s="79"/>
    </row>
    <row r="49">
      <c r="B49" s="51"/>
      <c r="C49" s="70"/>
      <c r="D49" s="70"/>
      <c r="E49" s="70"/>
      <c r="F49" s="71">
        <v>0.94</v>
      </c>
      <c r="G49" s="70"/>
      <c r="H49" s="70"/>
      <c r="I49" s="71">
        <v>0.64</v>
      </c>
      <c r="J49" s="70"/>
      <c r="K49" s="70"/>
      <c r="L49" s="52"/>
      <c r="M49" s="70"/>
      <c r="N49" s="70"/>
      <c r="O49" s="52"/>
      <c r="P49" s="70"/>
      <c r="Q49" s="70"/>
      <c r="R49" s="70"/>
      <c r="S49" s="70"/>
      <c r="T49" s="70"/>
      <c r="U49" s="70"/>
      <c r="V49" s="70"/>
      <c r="W49" s="70"/>
      <c r="X49" s="70"/>
      <c r="Y49" s="54"/>
      <c r="AA49" s="20">
        <f>AVERAGE(B28:Y29,B48:Y49)</f>
        <v>0.828</v>
      </c>
    </row>
    <row r="50">
      <c r="A50" s="115"/>
      <c r="B50" s="115"/>
      <c r="C50" s="123">
        <f t="shared" ref="C50:K50" si="1">AVERAGE(C2:C49)</f>
        <v>0.995</v>
      </c>
      <c r="D50" s="123">
        <f t="shared" si="1"/>
        <v>0.835</v>
      </c>
      <c r="E50" s="123">
        <f t="shared" si="1"/>
        <v>0.975</v>
      </c>
      <c r="F50" s="123">
        <f t="shared" si="1"/>
        <v>0.927</v>
      </c>
      <c r="G50" s="123">
        <f t="shared" si="1"/>
        <v>0.9</v>
      </c>
      <c r="H50" s="123">
        <f t="shared" si="1"/>
        <v>0.8573333333</v>
      </c>
      <c r="I50" s="123">
        <f t="shared" si="1"/>
        <v>0.874</v>
      </c>
      <c r="J50" s="123">
        <f t="shared" si="1"/>
        <v>1.065</v>
      </c>
      <c r="K50" s="123">
        <f t="shared" si="1"/>
        <v>0.845</v>
      </c>
      <c r="L50" s="123"/>
      <c r="M50" s="123">
        <f t="shared" ref="M50:Y50" si="2">AVERAGE(M2:M49)</f>
        <v>0.86</v>
      </c>
      <c r="N50" s="123">
        <f t="shared" si="2"/>
        <v>0.875</v>
      </c>
      <c r="O50" s="123">
        <f t="shared" si="2"/>
        <v>0.72</v>
      </c>
      <c r="P50" s="123">
        <f t="shared" si="2"/>
        <v>1.065</v>
      </c>
      <c r="Q50" s="123">
        <f t="shared" si="2"/>
        <v>0.785</v>
      </c>
      <c r="R50" s="123">
        <f t="shared" si="2"/>
        <v>0.81</v>
      </c>
      <c r="S50" s="123">
        <f t="shared" si="2"/>
        <v>1.1</v>
      </c>
      <c r="T50" s="123">
        <f t="shared" si="2"/>
        <v>0.81</v>
      </c>
      <c r="U50" s="123">
        <f t="shared" si="2"/>
        <v>0.69</v>
      </c>
      <c r="V50" s="123">
        <f t="shared" si="2"/>
        <v>0.88</v>
      </c>
      <c r="W50" s="123">
        <f t="shared" si="2"/>
        <v>0.95</v>
      </c>
      <c r="X50" s="123">
        <f t="shared" si="2"/>
        <v>0.62</v>
      </c>
      <c r="Y50" s="123">
        <f t="shared" si="2"/>
        <v>1.11</v>
      </c>
      <c r="Z50" s="95">
        <f>AVERAGE(B2:Y49)</f>
        <v>0.8932051282</v>
      </c>
    </row>
    <row r="51">
      <c r="A51" s="115"/>
      <c r="B51" s="115"/>
      <c r="C51" s="123">
        <f>AVERAGE(C2:C49,E2:E49)</f>
        <v>0.985</v>
      </c>
      <c r="D51" s="123">
        <f>AVERAGE(D2:D49,N2:N49)</f>
        <v>0.855</v>
      </c>
      <c r="E51" s="123">
        <f>AVERAGE(C2:C49,E2:E49)</f>
        <v>0.985</v>
      </c>
      <c r="F51" s="123">
        <f>AVERAGE(F2:F49,H2:H49)</f>
        <v>0.8971428571</v>
      </c>
      <c r="G51" s="123">
        <f>AVERAGE(G2:G49,Q2:Q49)</f>
        <v>0.8425</v>
      </c>
      <c r="H51" s="123">
        <f>AVERAGE(F2:F49,H2:H49)</f>
        <v>0.8971428571</v>
      </c>
      <c r="I51" s="123">
        <f>AVERAGE(I2:I49,K2:K49)</f>
        <v>0.8691666667</v>
      </c>
      <c r="J51" s="123">
        <f>AVERAGE(J2:J49,T2:T49)</f>
        <v>0.9375</v>
      </c>
      <c r="K51" s="123">
        <f>AVERAGE(I2:I49,K2:K49)</f>
        <v>0.8691666667</v>
      </c>
      <c r="L51" s="123"/>
      <c r="M51" s="123">
        <f>AVERAGE(M2:M49,W2:W49)</f>
        <v>0.89</v>
      </c>
      <c r="N51" s="123">
        <f>AVERAGE(D2:D49,N2:N49)</f>
        <v>0.855</v>
      </c>
      <c r="O51" s="123">
        <f>AVERAGE(O2:O49,Y2:Y49)</f>
        <v>0.85</v>
      </c>
      <c r="P51" s="123">
        <f>AVERAGE(P2:P49,R2:R49)</f>
        <v>0.9375</v>
      </c>
      <c r="Q51" s="123">
        <f>AVERAGE(G2:G49,Q2:Q49)</f>
        <v>0.8425</v>
      </c>
      <c r="R51" s="123">
        <f>AVERAGE(P2:P49,R2:R49)</f>
        <v>0.9375</v>
      </c>
      <c r="S51" s="123">
        <f>AVERAGE(S2:S49,U2:U49)</f>
        <v>0.9633333333</v>
      </c>
      <c r="T51" s="123">
        <f>AVERAGE(J2:J49,T2:T49)</f>
        <v>0.9375</v>
      </c>
      <c r="U51" s="123">
        <f>AVERAGE(S2:S49,U2:U49)</f>
        <v>0.9633333333</v>
      </c>
      <c r="V51" s="123">
        <f>AVERAGE(V2:V49,X2:X49)</f>
        <v>0.75</v>
      </c>
      <c r="W51" s="123">
        <f>AVERAGE(M2:M49,W2:W49)</f>
        <v>0.89</v>
      </c>
      <c r="X51" s="123">
        <f>AVERAGE(V2:V49,X2:X49)</f>
        <v>0.75</v>
      </c>
      <c r="Y51" s="123">
        <f>AVERAGE(O2:O49,Y2:Y49)</f>
        <v>0.85</v>
      </c>
    </row>
  </sheetData>
  <mergeCells count="49">
    <mergeCell ref="Z32:Z33"/>
    <mergeCell ref="Z36:Z37"/>
    <mergeCell ref="Z34:Z35"/>
    <mergeCell ref="Z40:Z41"/>
    <mergeCell ref="Z38:Z39"/>
    <mergeCell ref="Z12:Z13"/>
    <mergeCell ref="Z18:Z19"/>
    <mergeCell ref="Z14:Z15"/>
    <mergeCell ref="Z16:Z17"/>
    <mergeCell ref="Z30:Z31"/>
    <mergeCell ref="Z26:Z27"/>
    <mergeCell ref="Z28:Z29"/>
    <mergeCell ref="Z22:Z23"/>
    <mergeCell ref="Z24:Z25"/>
    <mergeCell ref="Z10:Z11"/>
    <mergeCell ref="Z50:AA51"/>
    <mergeCell ref="Z48:Z49"/>
    <mergeCell ref="Z46:Z47"/>
    <mergeCell ref="Z44:Z45"/>
    <mergeCell ref="Z42:Z43"/>
    <mergeCell ref="Z20:Z21"/>
    <mergeCell ref="A38:A39"/>
    <mergeCell ref="A28:A29"/>
    <mergeCell ref="A32:A33"/>
    <mergeCell ref="A30:A31"/>
    <mergeCell ref="A36:A37"/>
    <mergeCell ref="A34:A35"/>
    <mergeCell ref="A20:A21"/>
    <mergeCell ref="A22:A23"/>
    <mergeCell ref="A44:A45"/>
    <mergeCell ref="A46:A47"/>
    <mergeCell ref="A4:A5"/>
    <mergeCell ref="A2:A3"/>
    <mergeCell ref="A16:A17"/>
    <mergeCell ref="A18:A19"/>
    <mergeCell ref="Z8:Z9"/>
    <mergeCell ref="Z6:Z7"/>
    <mergeCell ref="Z2:Z3"/>
    <mergeCell ref="Z4:Z5"/>
    <mergeCell ref="A6:A7"/>
    <mergeCell ref="A24:A25"/>
    <mergeCell ref="A26:A27"/>
    <mergeCell ref="A12:A13"/>
    <mergeCell ref="A10:A11"/>
    <mergeCell ref="A8:A9"/>
    <mergeCell ref="A48:A49"/>
    <mergeCell ref="A40:A41"/>
    <mergeCell ref="A42:A43"/>
    <mergeCell ref="A14:A15"/>
  </mergeCells>
  <conditionalFormatting sqref="B2:Y49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Z1:AA49 A50:Y51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27" width="14.43"/>
  </cols>
  <sheetData>
    <row r="1">
      <c r="A1" s="1" t="s">
        <v>4</v>
      </c>
      <c r="B1" s="96" t="s">
        <v>26</v>
      </c>
      <c r="C1" s="97" t="s">
        <v>27</v>
      </c>
      <c r="D1" s="98" t="s">
        <v>28</v>
      </c>
      <c r="E1" s="98" t="s">
        <v>30</v>
      </c>
      <c r="F1" s="97" t="s">
        <v>31</v>
      </c>
      <c r="G1" s="99" t="s">
        <v>32</v>
      </c>
      <c r="H1" s="99" t="s">
        <v>70</v>
      </c>
      <c r="I1" s="97" t="s">
        <v>71</v>
      </c>
      <c r="J1" s="31" t="s">
        <v>72</v>
      </c>
      <c r="K1" s="100" t="s">
        <v>73</v>
      </c>
      <c r="L1" s="97" t="s">
        <v>74</v>
      </c>
      <c r="M1" s="96" t="s">
        <v>75</v>
      </c>
      <c r="N1" s="96" t="s">
        <v>76</v>
      </c>
      <c r="O1" s="101" t="s">
        <v>79</v>
      </c>
      <c r="P1" s="98" t="s">
        <v>85</v>
      </c>
      <c r="Q1" s="98" t="s">
        <v>87</v>
      </c>
      <c r="R1" s="101" t="s">
        <v>89</v>
      </c>
      <c r="S1" s="99" t="s">
        <v>90</v>
      </c>
      <c r="T1" s="99" t="s">
        <v>92</v>
      </c>
      <c r="U1" s="101" t="s">
        <v>94</v>
      </c>
      <c r="V1" s="100" t="s">
        <v>96</v>
      </c>
      <c r="W1" s="100" t="s">
        <v>98</v>
      </c>
      <c r="X1" s="102" t="s">
        <v>100</v>
      </c>
      <c r="Y1" s="96" t="s">
        <v>106</v>
      </c>
      <c r="Z1" s="11"/>
      <c r="AA1" s="103"/>
    </row>
    <row r="2">
      <c r="A2" s="2" t="s">
        <v>107</v>
      </c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8"/>
      <c r="Z2" s="11"/>
      <c r="AA2" s="109"/>
    </row>
    <row r="3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  <c r="AA3" s="115"/>
    </row>
    <row r="4">
      <c r="A4" s="3" t="s">
        <v>27</v>
      </c>
      <c r="B4" s="116"/>
      <c r="C4" s="106"/>
      <c r="D4" s="118"/>
      <c r="E4" s="106"/>
      <c r="F4" s="118"/>
      <c r="G4" s="118"/>
      <c r="H4" s="118"/>
      <c r="I4" s="118"/>
      <c r="J4" s="118"/>
      <c r="K4" s="118"/>
      <c r="L4" s="106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  <c r="Z4" s="20" t="str">
        <f>AVERAGE(B5:Y5)</f>
        <v>#DIV/0!</v>
      </c>
      <c r="AA4" s="109"/>
    </row>
    <row r="5">
      <c r="B5" s="111"/>
      <c r="C5" s="112"/>
      <c r="D5" s="120"/>
      <c r="E5" s="112"/>
      <c r="F5" s="120"/>
      <c r="G5" s="120"/>
      <c r="H5" s="120"/>
      <c r="I5" s="120"/>
      <c r="J5" s="120"/>
      <c r="K5" s="120"/>
      <c r="L5" s="112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  <c r="AA5" s="123" t="str">
        <f>AVERAGE(B4:Y5,B8:Y9)</f>
        <v>#DIV/0!</v>
      </c>
    </row>
    <row r="6">
      <c r="A6" s="4" t="s">
        <v>28</v>
      </c>
      <c r="B6" s="116"/>
      <c r="C6" s="118"/>
      <c r="D6" s="106"/>
      <c r="E6" s="118"/>
      <c r="F6" s="118"/>
      <c r="G6" s="118"/>
      <c r="H6" s="118"/>
      <c r="I6" s="118"/>
      <c r="J6" s="118"/>
      <c r="K6" s="118"/>
      <c r="L6" s="106"/>
      <c r="M6" s="118"/>
      <c r="N6" s="106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  <c r="Z6" s="20" t="str">
        <f>AVERAGE(B7:Y7)</f>
        <v>#DIV/0!</v>
      </c>
      <c r="AA6" s="124"/>
    </row>
    <row r="7">
      <c r="B7" s="111"/>
      <c r="C7" s="120"/>
      <c r="D7" s="112"/>
      <c r="E7" s="120"/>
      <c r="F7" s="120"/>
      <c r="G7" s="120"/>
      <c r="H7" s="120"/>
      <c r="I7" s="120"/>
      <c r="J7" s="120"/>
      <c r="K7" s="120"/>
      <c r="L7" s="112"/>
      <c r="M7" s="121"/>
      <c r="N7" s="113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2"/>
      <c r="AA7" s="123" t="str">
        <f>AVERAGE(B6:Y7,B26:Y27)</f>
        <v>#DIV/0!</v>
      </c>
    </row>
    <row r="8">
      <c r="A8" s="4" t="s">
        <v>30</v>
      </c>
      <c r="B8" s="116"/>
      <c r="C8" s="106"/>
      <c r="D8" s="125"/>
      <c r="E8" s="106"/>
      <c r="F8" s="118"/>
      <c r="G8" s="118"/>
      <c r="H8" s="118"/>
      <c r="I8" s="118"/>
      <c r="J8" s="118"/>
      <c r="K8" s="118"/>
      <c r="L8" s="106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9"/>
      <c r="Z8" s="20" t="str">
        <f>AVERAGE(B9:Y9)</f>
        <v>#DIV/0!</v>
      </c>
      <c r="AA8" s="124"/>
    </row>
    <row r="9">
      <c r="B9" s="127"/>
      <c r="C9" s="113"/>
      <c r="D9" s="128"/>
      <c r="E9" s="112"/>
      <c r="F9" s="120"/>
      <c r="G9" s="120"/>
      <c r="H9" s="120"/>
      <c r="I9" s="120"/>
      <c r="J9" s="120"/>
      <c r="K9" s="120"/>
      <c r="L9" s="112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  <c r="Y9" s="129"/>
      <c r="AA9" s="123" t="str">
        <f>AVERAGE(B4:Y5,B8:Y9)</f>
        <v>#DIV/0!</v>
      </c>
    </row>
    <row r="10">
      <c r="A10" s="3" t="s">
        <v>439</v>
      </c>
      <c r="B10" s="116"/>
      <c r="C10" s="57"/>
      <c r="D10" s="57"/>
      <c r="E10" s="57"/>
      <c r="F10" s="49"/>
      <c r="G10" s="57"/>
      <c r="H10" s="106"/>
      <c r="I10" s="118"/>
      <c r="J10" s="118"/>
      <c r="K10" s="118"/>
      <c r="L10" s="106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30"/>
      <c r="Z10" s="20" t="str">
        <f>AVERAGE(B11:Y11)</f>
        <v>#DIV/0!</v>
      </c>
      <c r="AA10" s="124"/>
    </row>
    <row r="11">
      <c r="B11" s="127"/>
      <c r="C11" s="121"/>
      <c r="D11" s="128"/>
      <c r="E11" s="132"/>
      <c r="F11" s="112"/>
      <c r="G11" s="120"/>
      <c r="H11" s="112"/>
      <c r="I11" s="120"/>
      <c r="J11" s="120"/>
      <c r="K11" s="120"/>
      <c r="L11" s="112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  <c r="Y11" s="122"/>
      <c r="AA11" s="123" t="str">
        <f>AVERAGE(B10:Y11,B14:Y15)</f>
        <v>#DIV/0!</v>
      </c>
    </row>
    <row r="12">
      <c r="A12" s="5" t="s">
        <v>32</v>
      </c>
      <c r="B12" s="116"/>
      <c r="C12" s="118"/>
      <c r="D12" s="118"/>
      <c r="E12" s="118"/>
      <c r="F12" s="118"/>
      <c r="G12" s="106"/>
      <c r="H12" s="118"/>
      <c r="I12" s="118"/>
      <c r="J12" s="118"/>
      <c r="K12" s="118"/>
      <c r="L12" s="106"/>
      <c r="M12" s="118"/>
      <c r="N12" s="118"/>
      <c r="O12" s="118"/>
      <c r="P12" s="118"/>
      <c r="Q12" s="106"/>
      <c r="R12" s="118"/>
      <c r="S12" s="118"/>
      <c r="T12" s="118"/>
      <c r="U12" s="118"/>
      <c r="V12" s="118"/>
      <c r="W12" s="118"/>
      <c r="X12" s="118"/>
      <c r="Y12" s="119"/>
      <c r="Z12" s="20" t="str">
        <f>AVERAGE(B13:Y13)</f>
        <v>#DIV/0!</v>
      </c>
      <c r="AA12" s="124"/>
    </row>
    <row r="13">
      <c r="B13" s="127"/>
      <c r="C13" s="121"/>
      <c r="D13" s="121"/>
      <c r="E13" s="120"/>
      <c r="F13" s="120"/>
      <c r="G13" s="112"/>
      <c r="H13" s="120"/>
      <c r="I13" s="120"/>
      <c r="J13" s="120"/>
      <c r="K13" s="120"/>
      <c r="L13" s="112"/>
      <c r="M13" s="120"/>
      <c r="N13" s="120"/>
      <c r="O13" s="120"/>
      <c r="P13" s="120"/>
      <c r="Q13" s="112"/>
      <c r="R13" s="120"/>
      <c r="S13" s="120"/>
      <c r="T13" s="120"/>
      <c r="U13" s="120"/>
      <c r="V13" s="120"/>
      <c r="W13" s="120"/>
      <c r="X13" s="121"/>
      <c r="Y13" s="129"/>
      <c r="AA13" s="123" t="str">
        <f>AVERAGE(B12:Y13,B32:Y33)</f>
        <v>#DIV/0!</v>
      </c>
    </row>
    <row r="14">
      <c r="A14" s="5" t="s">
        <v>70</v>
      </c>
      <c r="B14" s="116"/>
      <c r="C14" s="118"/>
      <c r="D14" s="118"/>
      <c r="E14" s="118"/>
      <c r="F14" s="106"/>
      <c r="G14" s="118"/>
      <c r="H14" s="106"/>
      <c r="I14" s="118"/>
      <c r="J14" s="118"/>
      <c r="K14" s="118"/>
      <c r="L14" s="106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9"/>
      <c r="Z14" s="20" t="str">
        <f>AVERAGE(B15:Y15)</f>
        <v>#DIV/0!</v>
      </c>
      <c r="AA14" s="124"/>
    </row>
    <row r="15">
      <c r="B15" s="127"/>
      <c r="C15" s="121"/>
      <c r="D15" s="121"/>
      <c r="E15" s="121"/>
      <c r="F15" s="113"/>
      <c r="G15" s="121"/>
      <c r="H15" s="113"/>
      <c r="I15" s="121"/>
      <c r="J15" s="121"/>
      <c r="K15" s="121"/>
      <c r="L15" s="112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1"/>
      <c r="Y15" s="129"/>
      <c r="AA15" s="123" t="str">
        <f>AVERAGE(B10:Y11,B14:Y15)</f>
        <v>#DIV/0!</v>
      </c>
    </row>
    <row r="16">
      <c r="A16" s="3" t="s">
        <v>71</v>
      </c>
      <c r="B16" s="116"/>
      <c r="C16" s="118"/>
      <c r="D16" s="118"/>
      <c r="E16" s="118"/>
      <c r="F16" s="118"/>
      <c r="G16" s="118"/>
      <c r="H16" s="118"/>
      <c r="I16" s="106"/>
      <c r="J16" s="118"/>
      <c r="K16" s="106"/>
      <c r="L16" s="106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9"/>
      <c r="Z16" s="20" t="str">
        <f>AVERAGE(B17:Y17)</f>
        <v>#DIV/0!</v>
      </c>
      <c r="AA16" s="124"/>
    </row>
    <row r="17">
      <c r="B17" s="127"/>
      <c r="C17" s="121"/>
      <c r="D17" s="121"/>
      <c r="E17" s="121"/>
      <c r="F17" s="121"/>
      <c r="G17" s="121"/>
      <c r="H17" s="121"/>
      <c r="I17" s="113"/>
      <c r="J17" s="121"/>
      <c r="K17" s="113"/>
      <c r="L17" s="112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1"/>
      <c r="Y17" s="129"/>
      <c r="AA17" s="123" t="str">
        <f>AVERAGE(B16:Y17,B20:Y21)</f>
        <v>#DIV/0!</v>
      </c>
    </row>
    <row r="18">
      <c r="A18" s="6" t="s">
        <v>600</v>
      </c>
      <c r="B18" s="116"/>
      <c r="C18" s="118"/>
      <c r="D18" s="118"/>
      <c r="E18" s="118"/>
      <c r="F18" s="118"/>
      <c r="G18" s="118"/>
      <c r="H18" s="118"/>
      <c r="I18" s="118"/>
      <c r="J18" s="106"/>
      <c r="K18" s="118"/>
      <c r="L18" s="106"/>
      <c r="M18" s="118"/>
      <c r="N18" s="118"/>
      <c r="O18" s="118"/>
      <c r="P18" s="118"/>
      <c r="Q18" s="118"/>
      <c r="R18" s="118"/>
      <c r="S18" s="118"/>
      <c r="T18" s="106"/>
      <c r="U18" s="118"/>
      <c r="V18" s="118"/>
      <c r="W18" s="118"/>
      <c r="X18" s="118"/>
      <c r="Y18" s="119"/>
      <c r="Z18" s="20" t="str">
        <f>AVERAGE(B19:Y19)</f>
        <v>#DIV/0!</v>
      </c>
      <c r="AA18" s="124"/>
    </row>
    <row r="19">
      <c r="B19" s="127"/>
      <c r="C19" s="121"/>
      <c r="D19" s="121"/>
      <c r="E19" s="121"/>
      <c r="F19" s="121"/>
      <c r="G19" s="121"/>
      <c r="H19" s="121"/>
      <c r="I19" s="121"/>
      <c r="J19" s="113"/>
      <c r="K19" s="121"/>
      <c r="L19" s="112"/>
      <c r="M19" s="120"/>
      <c r="N19" s="120"/>
      <c r="O19" s="120"/>
      <c r="P19" s="120"/>
      <c r="Q19" s="120"/>
      <c r="R19" s="120"/>
      <c r="S19" s="120"/>
      <c r="T19" s="112"/>
      <c r="U19" s="120"/>
      <c r="V19" s="120"/>
      <c r="W19" s="120"/>
      <c r="X19" s="121"/>
      <c r="Y19" s="129"/>
      <c r="AA19" s="123" t="str">
        <f>AVERAGE(B18:Y19,B38:Y39)</f>
        <v>#DIV/0!</v>
      </c>
    </row>
    <row r="20">
      <c r="A20" s="6" t="s">
        <v>73</v>
      </c>
      <c r="B20" s="116"/>
      <c r="C20" s="118"/>
      <c r="D20" s="118"/>
      <c r="E20" s="118"/>
      <c r="F20" s="118"/>
      <c r="G20" s="118"/>
      <c r="H20" s="118"/>
      <c r="I20" s="106"/>
      <c r="J20" s="118"/>
      <c r="K20" s="106"/>
      <c r="L20" s="106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9"/>
      <c r="Z20" s="20" t="str">
        <f>AVERAGE(B21:Y21)</f>
        <v>#DIV/0!</v>
      </c>
      <c r="AA20" s="124"/>
    </row>
    <row r="21">
      <c r="B21" s="127"/>
      <c r="C21" s="121"/>
      <c r="D21" s="121"/>
      <c r="E21" s="121"/>
      <c r="F21" s="121"/>
      <c r="G21" s="121"/>
      <c r="H21" s="121"/>
      <c r="I21" s="113"/>
      <c r="J21" s="121"/>
      <c r="K21" s="113"/>
      <c r="L21" s="112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1"/>
      <c r="Y21" s="129"/>
      <c r="AA21" s="123" t="str">
        <f>AVERAGE(B16:Y17,B20:Y21)</f>
        <v>#DIV/0!</v>
      </c>
    </row>
    <row r="22">
      <c r="A22" s="3" t="s">
        <v>74</v>
      </c>
      <c r="B22" s="11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8"/>
      <c r="Z22" s="79"/>
      <c r="AA22" s="124"/>
    </row>
    <row r="23">
      <c r="B23" s="127"/>
      <c r="C23" s="113"/>
      <c r="D23" s="113"/>
      <c r="E23" s="113"/>
      <c r="F23" s="113"/>
      <c r="G23" s="113"/>
      <c r="H23" s="113"/>
      <c r="I23" s="113"/>
      <c r="J23" s="113"/>
      <c r="K23" s="113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3"/>
      <c r="Y23" s="114"/>
      <c r="AA23" s="123"/>
    </row>
    <row r="24">
      <c r="A24" s="2" t="s">
        <v>75</v>
      </c>
      <c r="B24" s="116"/>
      <c r="C24" s="118"/>
      <c r="D24" s="118"/>
      <c r="E24" s="118"/>
      <c r="F24" s="118"/>
      <c r="G24" s="118"/>
      <c r="H24" s="118"/>
      <c r="I24" s="118"/>
      <c r="J24" s="118"/>
      <c r="K24" s="118"/>
      <c r="L24" s="106"/>
      <c r="M24" s="106"/>
      <c r="N24" s="118"/>
      <c r="O24" s="118"/>
      <c r="P24" s="118"/>
      <c r="Q24" s="118"/>
      <c r="R24" s="118"/>
      <c r="S24" s="118"/>
      <c r="T24" s="118"/>
      <c r="U24" s="118"/>
      <c r="V24" s="118"/>
      <c r="W24" s="106"/>
      <c r="X24" s="118"/>
      <c r="Y24" s="119"/>
      <c r="Z24" s="20" t="str">
        <f>AVERAGE(B25:Y25)</f>
        <v>#DIV/0!</v>
      </c>
      <c r="AA24" s="124"/>
    </row>
    <row r="25">
      <c r="B25" s="127"/>
      <c r="C25" s="121"/>
      <c r="D25" s="121"/>
      <c r="E25" s="121"/>
      <c r="F25" s="121"/>
      <c r="G25" s="121"/>
      <c r="H25" s="121"/>
      <c r="I25" s="121"/>
      <c r="J25" s="121"/>
      <c r="K25" s="121"/>
      <c r="L25" s="112"/>
      <c r="M25" s="112"/>
      <c r="N25" s="120"/>
      <c r="O25" s="120"/>
      <c r="P25" s="120"/>
      <c r="Q25" s="120"/>
      <c r="R25" s="120"/>
      <c r="S25" s="120"/>
      <c r="T25" s="120"/>
      <c r="U25" s="120"/>
      <c r="V25" s="120"/>
      <c r="W25" s="112"/>
      <c r="X25" s="121"/>
      <c r="Y25" s="129"/>
      <c r="AA25" s="123" t="str">
        <f>AVERAGE(B24:Y25,B44:Y45)</f>
        <v>#DIV/0!</v>
      </c>
    </row>
    <row r="26">
      <c r="A26" s="2" t="s">
        <v>76</v>
      </c>
      <c r="B26" s="116"/>
      <c r="C26" s="118"/>
      <c r="D26" s="106"/>
      <c r="E26" s="118"/>
      <c r="F26" s="118"/>
      <c r="G26" s="118"/>
      <c r="H26" s="118"/>
      <c r="I26" s="118"/>
      <c r="J26" s="118"/>
      <c r="K26" s="118"/>
      <c r="L26" s="106"/>
      <c r="M26" s="118"/>
      <c r="N26" s="106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9"/>
      <c r="Z26" s="20" t="str">
        <f>AVERAGE(B27:Y27)</f>
        <v>#DIV/0!</v>
      </c>
      <c r="AA26" s="124"/>
    </row>
    <row r="27">
      <c r="B27" s="127"/>
      <c r="C27" s="121"/>
      <c r="D27" s="113"/>
      <c r="E27" s="121"/>
      <c r="F27" s="121"/>
      <c r="G27" s="121"/>
      <c r="H27" s="121"/>
      <c r="I27" s="121"/>
      <c r="J27" s="121"/>
      <c r="K27" s="121"/>
      <c r="L27" s="113"/>
      <c r="M27" s="121"/>
      <c r="N27" s="112"/>
      <c r="O27" s="120"/>
      <c r="P27" s="120"/>
      <c r="Q27" s="120"/>
      <c r="R27" s="120"/>
      <c r="S27" s="120"/>
      <c r="T27" s="120"/>
      <c r="U27" s="120"/>
      <c r="V27" s="120"/>
      <c r="W27" s="120"/>
      <c r="X27" s="121"/>
      <c r="Y27" s="129"/>
      <c r="AA27" s="123" t="str">
        <f>AVERAGE(B6:Y7,B26:Y27)</f>
        <v>#DIV/0!</v>
      </c>
    </row>
    <row r="28">
      <c r="A28" s="7" t="s">
        <v>79</v>
      </c>
      <c r="B28" s="116"/>
      <c r="C28" s="118"/>
      <c r="D28" s="118"/>
      <c r="E28" s="118"/>
      <c r="F28" s="118"/>
      <c r="G28" s="118"/>
      <c r="H28" s="118"/>
      <c r="I28" s="118"/>
      <c r="J28" s="118"/>
      <c r="K28" s="118"/>
      <c r="L28" s="106"/>
      <c r="M28" s="118"/>
      <c r="N28" s="118"/>
      <c r="O28" s="106"/>
      <c r="P28" s="118"/>
      <c r="Q28" s="118"/>
      <c r="R28" s="118"/>
      <c r="S28" s="118"/>
      <c r="T28" s="118"/>
      <c r="U28" s="118"/>
      <c r="V28" s="118"/>
      <c r="W28" s="118"/>
      <c r="X28" s="118"/>
      <c r="Y28" s="108"/>
      <c r="Z28" s="20" t="str">
        <f>AVERAGE(B29:Y29)</f>
        <v>#DIV/0!</v>
      </c>
      <c r="AA28" s="124"/>
    </row>
    <row r="29">
      <c r="B29" s="127"/>
      <c r="C29" s="121"/>
      <c r="D29" s="121"/>
      <c r="E29" s="121"/>
      <c r="F29" s="121"/>
      <c r="G29" s="121"/>
      <c r="H29" s="121"/>
      <c r="I29" s="121"/>
      <c r="J29" s="121"/>
      <c r="K29" s="121"/>
      <c r="L29" s="113"/>
      <c r="M29" s="121"/>
      <c r="N29" s="120"/>
      <c r="O29" s="112"/>
      <c r="P29" s="120"/>
      <c r="Q29" s="120"/>
      <c r="R29" s="120"/>
      <c r="S29" s="120"/>
      <c r="T29" s="120"/>
      <c r="U29" s="120"/>
      <c r="V29" s="120"/>
      <c r="W29" s="120"/>
      <c r="X29" s="121"/>
      <c r="Y29" s="114"/>
      <c r="AA29" s="123" t="str">
        <f>AVERAGE(B28:Y29,B48:Y49)</f>
        <v>#DIV/0!</v>
      </c>
    </row>
    <row r="30">
      <c r="A30" s="4" t="s">
        <v>700</v>
      </c>
      <c r="B30" s="116"/>
      <c r="C30" s="118"/>
      <c r="D30" s="118"/>
      <c r="E30" s="118"/>
      <c r="F30" s="118"/>
      <c r="G30" s="118"/>
      <c r="H30" s="118"/>
      <c r="I30" s="118"/>
      <c r="J30" s="118"/>
      <c r="K30" s="118"/>
      <c r="L30" s="106"/>
      <c r="M30" s="118"/>
      <c r="N30" s="118"/>
      <c r="O30" s="118"/>
      <c r="P30" s="106"/>
      <c r="Q30" s="118"/>
      <c r="R30" s="106"/>
      <c r="S30" s="118"/>
      <c r="T30" s="118"/>
      <c r="U30" s="118"/>
      <c r="V30" s="118"/>
      <c r="W30" s="118"/>
      <c r="X30" s="118"/>
      <c r="Y30" s="119"/>
      <c r="Z30" s="20" t="str">
        <f>AVERAGE(B31:Y31)</f>
        <v>#DIV/0!</v>
      </c>
      <c r="AA30" s="124"/>
    </row>
    <row r="31">
      <c r="B31" s="127"/>
      <c r="C31" s="121"/>
      <c r="D31" s="121"/>
      <c r="E31" s="121"/>
      <c r="F31" s="121"/>
      <c r="G31" s="121"/>
      <c r="H31" s="121"/>
      <c r="I31" s="121"/>
      <c r="J31" s="121"/>
      <c r="K31" s="121"/>
      <c r="L31" s="113"/>
      <c r="M31" s="121"/>
      <c r="N31" s="120"/>
      <c r="O31" s="120"/>
      <c r="P31" s="112"/>
      <c r="Q31" s="120"/>
      <c r="R31" s="112"/>
      <c r="S31" s="120"/>
      <c r="T31" s="120"/>
      <c r="U31" s="120"/>
      <c r="V31" s="120"/>
      <c r="W31" s="120"/>
      <c r="X31" s="121"/>
      <c r="Y31" s="129"/>
      <c r="AA31" s="123" t="str">
        <f>AVERAGE(B30:Y31,B34:Y35)</f>
        <v>#DIV/0!</v>
      </c>
    </row>
    <row r="32">
      <c r="A32" s="4" t="s">
        <v>87</v>
      </c>
      <c r="B32" s="116"/>
      <c r="C32" s="118"/>
      <c r="D32" s="118"/>
      <c r="E32" s="118"/>
      <c r="F32" s="118"/>
      <c r="G32" s="106"/>
      <c r="H32" s="118"/>
      <c r="I32" s="118"/>
      <c r="J32" s="118"/>
      <c r="K32" s="118"/>
      <c r="L32" s="106"/>
      <c r="M32" s="118"/>
      <c r="N32" s="118"/>
      <c r="O32" s="118"/>
      <c r="P32" s="118"/>
      <c r="Q32" s="106"/>
      <c r="R32" s="118"/>
      <c r="S32" s="118"/>
      <c r="T32" s="118"/>
      <c r="U32" s="118"/>
      <c r="V32" s="118"/>
      <c r="W32" s="118"/>
      <c r="X32" s="118"/>
      <c r="Y32" s="119"/>
      <c r="Z32" s="20" t="str">
        <f>AVERAGE(B33:Y33)</f>
        <v>#DIV/0!</v>
      </c>
      <c r="AA32" s="124"/>
    </row>
    <row r="33">
      <c r="B33" s="127"/>
      <c r="C33" s="121"/>
      <c r="D33" s="121"/>
      <c r="E33" s="121"/>
      <c r="F33" s="121"/>
      <c r="G33" s="113"/>
      <c r="H33" s="121"/>
      <c r="I33" s="121"/>
      <c r="J33" s="121"/>
      <c r="K33" s="121"/>
      <c r="L33" s="113"/>
      <c r="M33" s="121"/>
      <c r="N33" s="121"/>
      <c r="O33" s="121"/>
      <c r="P33" s="121"/>
      <c r="Q33" s="113"/>
      <c r="R33" s="121"/>
      <c r="S33" s="121"/>
      <c r="T33" s="121"/>
      <c r="U33" s="121"/>
      <c r="V33" s="121"/>
      <c r="W33" s="120"/>
      <c r="X33" s="121"/>
      <c r="Y33" s="129"/>
      <c r="AA33" s="123" t="str">
        <f>AVERAGE(B12:Y13,B32:Y33)</f>
        <v>#DIV/0!</v>
      </c>
    </row>
    <row r="34">
      <c r="A34" s="7" t="s">
        <v>89</v>
      </c>
      <c r="B34" s="116"/>
      <c r="C34" s="118"/>
      <c r="D34" s="118"/>
      <c r="E34" s="118"/>
      <c r="F34" s="118"/>
      <c r="G34" s="118"/>
      <c r="H34" s="118"/>
      <c r="I34" s="118"/>
      <c r="J34" s="118"/>
      <c r="K34" s="118"/>
      <c r="L34" s="106"/>
      <c r="M34" s="118"/>
      <c r="N34" s="118"/>
      <c r="O34" s="118"/>
      <c r="P34" s="106"/>
      <c r="Q34" s="118"/>
      <c r="R34" s="106"/>
      <c r="S34" s="118"/>
      <c r="T34" s="118"/>
      <c r="U34" s="118"/>
      <c r="V34" s="118"/>
      <c r="W34" s="118"/>
      <c r="X34" s="118"/>
      <c r="Y34" s="119"/>
      <c r="Z34" s="20" t="str">
        <f>AVERAGE(B35:Y35)</f>
        <v>#DIV/0!</v>
      </c>
      <c r="AA34" s="124"/>
    </row>
    <row r="35">
      <c r="B35" s="127"/>
      <c r="C35" s="121"/>
      <c r="D35" s="121"/>
      <c r="E35" s="121"/>
      <c r="F35" s="121"/>
      <c r="G35" s="121"/>
      <c r="H35" s="121"/>
      <c r="I35" s="121"/>
      <c r="J35" s="121"/>
      <c r="K35" s="121"/>
      <c r="L35" s="113"/>
      <c r="M35" s="121"/>
      <c r="N35" s="121"/>
      <c r="O35" s="121"/>
      <c r="P35" s="113"/>
      <c r="Q35" s="121"/>
      <c r="R35" s="113"/>
      <c r="S35" s="121"/>
      <c r="T35" s="121"/>
      <c r="U35" s="121"/>
      <c r="V35" s="121"/>
      <c r="W35" s="120"/>
      <c r="X35" s="121"/>
      <c r="Y35" s="129"/>
      <c r="AA35" s="123" t="str">
        <f>AVERAGE(B30:Y31,B34:Y35)</f>
        <v>#DIV/0!</v>
      </c>
    </row>
    <row r="36">
      <c r="A36" s="5" t="s">
        <v>90</v>
      </c>
      <c r="B36" s="116"/>
      <c r="C36" s="118"/>
      <c r="D36" s="118"/>
      <c r="E36" s="118"/>
      <c r="F36" s="118"/>
      <c r="G36" s="118"/>
      <c r="H36" s="118"/>
      <c r="I36" s="118"/>
      <c r="J36" s="118"/>
      <c r="K36" s="118"/>
      <c r="L36" s="106"/>
      <c r="M36" s="118"/>
      <c r="N36" s="118"/>
      <c r="O36" s="118"/>
      <c r="P36" s="118"/>
      <c r="Q36" s="118"/>
      <c r="R36" s="118"/>
      <c r="S36" s="106"/>
      <c r="T36" s="118"/>
      <c r="U36" s="106"/>
      <c r="V36" s="118"/>
      <c r="W36" s="118"/>
      <c r="X36" s="118"/>
      <c r="Y36" s="119"/>
      <c r="Z36" s="20" t="str">
        <f>AVERAGE(B37:Y37)</f>
        <v>#DIV/0!</v>
      </c>
      <c r="AA36" s="124"/>
    </row>
    <row r="37">
      <c r="B37" s="127"/>
      <c r="C37" s="121"/>
      <c r="D37" s="121"/>
      <c r="E37" s="121"/>
      <c r="F37" s="121"/>
      <c r="G37" s="121"/>
      <c r="H37" s="121"/>
      <c r="I37" s="121"/>
      <c r="J37" s="121"/>
      <c r="K37" s="121"/>
      <c r="L37" s="113"/>
      <c r="M37" s="121"/>
      <c r="N37" s="121"/>
      <c r="O37" s="121"/>
      <c r="P37" s="121"/>
      <c r="Q37" s="121"/>
      <c r="R37" s="121"/>
      <c r="S37" s="113"/>
      <c r="T37" s="121"/>
      <c r="U37" s="113"/>
      <c r="V37" s="121"/>
      <c r="W37" s="120"/>
      <c r="X37" s="121"/>
      <c r="Y37" s="129"/>
      <c r="AA37" s="123" t="str">
        <f>AVERAGE(B36:Y37,B40:Y41)</f>
        <v>#DIV/0!</v>
      </c>
    </row>
    <row r="38">
      <c r="A38" s="5" t="s">
        <v>92</v>
      </c>
      <c r="B38" s="116"/>
      <c r="C38" s="118"/>
      <c r="D38" s="118"/>
      <c r="E38" s="118"/>
      <c r="F38" s="118"/>
      <c r="G38" s="118"/>
      <c r="H38" s="118"/>
      <c r="I38" s="118"/>
      <c r="J38" s="106"/>
      <c r="K38" s="118"/>
      <c r="L38" s="106"/>
      <c r="M38" s="118"/>
      <c r="N38" s="118"/>
      <c r="O38" s="118"/>
      <c r="P38" s="118"/>
      <c r="Q38" s="118"/>
      <c r="R38" s="118"/>
      <c r="S38" s="118"/>
      <c r="T38" s="106"/>
      <c r="U38" s="118"/>
      <c r="V38" s="118"/>
      <c r="W38" s="118"/>
      <c r="X38" s="118"/>
      <c r="Y38" s="119"/>
      <c r="Z38" s="20" t="str">
        <f>AVERAGE(B39:Y39)</f>
        <v>#DIV/0!</v>
      </c>
      <c r="AA38" s="124"/>
    </row>
    <row r="39">
      <c r="B39" s="127"/>
      <c r="C39" s="121"/>
      <c r="D39" s="121"/>
      <c r="E39" s="121"/>
      <c r="F39" s="121"/>
      <c r="G39" s="121"/>
      <c r="H39" s="121"/>
      <c r="I39" s="121"/>
      <c r="J39" s="113"/>
      <c r="K39" s="121"/>
      <c r="L39" s="113"/>
      <c r="M39" s="121"/>
      <c r="N39" s="121"/>
      <c r="O39" s="121"/>
      <c r="P39" s="121"/>
      <c r="Q39" s="121"/>
      <c r="R39" s="121"/>
      <c r="S39" s="121"/>
      <c r="T39" s="113"/>
      <c r="U39" s="121"/>
      <c r="V39" s="121"/>
      <c r="W39" s="121"/>
      <c r="X39" s="121"/>
      <c r="Y39" s="129"/>
      <c r="AA39" s="123" t="str">
        <f>AVERAGE(B18:Y19,B38:Y39)</f>
        <v>#DIV/0!</v>
      </c>
    </row>
    <row r="40">
      <c r="A40" s="7" t="s">
        <v>94</v>
      </c>
      <c r="B40" s="116"/>
      <c r="C40" s="118"/>
      <c r="D40" s="118"/>
      <c r="E40" s="118"/>
      <c r="F40" s="118"/>
      <c r="G40" s="118"/>
      <c r="H40" s="118"/>
      <c r="I40" s="118"/>
      <c r="J40" s="118"/>
      <c r="K40" s="118"/>
      <c r="L40" s="106"/>
      <c r="M40" s="118"/>
      <c r="N40" s="118"/>
      <c r="O40" s="118"/>
      <c r="P40" s="118"/>
      <c r="Q40" s="118"/>
      <c r="R40" s="118"/>
      <c r="S40" s="106"/>
      <c r="T40" s="118"/>
      <c r="U40" s="106"/>
      <c r="V40" s="118"/>
      <c r="W40" s="118"/>
      <c r="X40" s="118"/>
      <c r="Y40" s="119"/>
      <c r="Z40" s="20" t="str">
        <f>AVERAGE(B41:Y41)</f>
        <v>#DIV/0!</v>
      </c>
      <c r="AA40" s="124"/>
    </row>
    <row r="41">
      <c r="B41" s="127"/>
      <c r="C41" s="121"/>
      <c r="D41" s="121"/>
      <c r="E41" s="121"/>
      <c r="F41" s="121"/>
      <c r="G41" s="121"/>
      <c r="H41" s="121"/>
      <c r="I41" s="121"/>
      <c r="J41" s="121"/>
      <c r="K41" s="121"/>
      <c r="L41" s="113"/>
      <c r="M41" s="121"/>
      <c r="N41" s="121"/>
      <c r="O41" s="121"/>
      <c r="P41" s="121"/>
      <c r="Q41" s="121"/>
      <c r="R41" s="121"/>
      <c r="S41" s="113"/>
      <c r="T41" s="121"/>
      <c r="U41" s="113"/>
      <c r="V41" s="121"/>
      <c r="W41" s="121"/>
      <c r="X41" s="121"/>
      <c r="Y41" s="129"/>
      <c r="AA41" s="123" t="str">
        <f>AVERAGE(B36:Y37,B40:Y41)</f>
        <v>#DIV/0!</v>
      </c>
    </row>
    <row r="42">
      <c r="A42" s="6" t="s">
        <v>843</v>
      </c>
      <c r="B42" s="116"/>
      <c r="C42" s="118"/>
      <c r="D42" s="118"/>
      <c r="E42" s="118"/>
      <c r="F42" s="118"/>
      <c r="G42" s="118"/>
      <c r="H42" s="118"/>
      <c r="I42" s="118"/>
      <c r="J42" s="118"/>
      <c r="K42" s="118"/>
      <c r="L42" s="106"/>
      <c r="M42" s="118"/>
      <c r="N42" s="118"/>
      <c r="O42" s="118"/>
      <c r="P42" s="118"/>
      <c r="Q42" s="118"/>
      <c r="R42" s="118"/>
      <c r="S42" s="118"/>
      <c r="T42" s="118"/>
      <c r="U42" s="118"/>
      <c r="V42" s="106"/>
      <c r="W42" s="118"/>
      <c r="X42" s="106"/>
      <c r="Y42" s="119"/>
      <c r="Z42" s="20" t="str">
        <f>AVERAGE(B43:Y43)</f>
        <v>#DIV/0!</v>
      </c>
      <c r="AA42" s="124"/>
    </row>
    <row r="43">
      <c r="B43" s="127"/>
      <c r="C43" s="121"/>
      <c r="D43" s="121"/>
      <c r="E43" s="121"/>
      <c r="F43" s="121"/>
      <c r="G43" s="121"/>
      <c r="H43" s="121"/>
      <c r="I43" s="121"/>
      <c r="J43" s="121"/>
      <c r="K43" s="121"/>
      <c r="L43" s="113"/>
      <c r="M43" s="121"/>
      <c r="N43" s="121"/>
      <c r="O43" s="121"/>
      <c r="P43" s="121"/>
      <c r="Q43" s="121"/>
      <c r="R43" s="121"/>
      <c r="S43" s="121"/>
      <c r="T43" s="121"/>
      <c r="U43" s="121"/>
      <c r="V43" s="113"/>
      <c r="W43" s="121"/>
      <c r="X43" s="113"/>
      <c r="Y43" s="129"/>
      <c r="AA43" s="123" t="str">
        <f>AVERAGE(B42:Y43,B46:Y47)</f>
        <v>#DIV/0!</v>
      </c>
    </row>
    <row r="44">
      <c r="A44" s="6" t="s">
        <v>98</v>
      </c>
      <c r="B44" s="116"/>
      <c r="C44" s="118"/>
      <c r="D44" s="118"/>
      <c r="E44" s="118"/>
      <c r="F44" s="118"/>
      <c r="G44" s="118"/>
      <c r="H44" s="118"/>
      <c r="I44" s="118"/>
      <c r="J44" s="118"/>
      <c r="K44" s="118"/>
      <c r="L44" s="106"/>
      <c r="M44" s="106"/>
      <c r="N44" s="118"/>
      <c r="O44" s="118"/>
      <c r="P44" s="118"/>
      <c r="Q44" s="118"/>
      <c r="R44" s="118"/>
      <c r="S44" s="118"/>
      <c r="T44" s="118"/>
      <c r="U44" s="118"/>
      <c r="V44" s="118"/>
      <c r="W44" s="106"/>
      <c r="X44" s="118"/>
      <c r="Y44" s="119"/>
      <c r="Z44" s="20" t="str">
        <f>AVERAGE(B45:Y45)</f>
        <v>#DIV/0!</v>
      </c>
      <c r="AA44" s="124"/>
    </row>
    <row r="45">
      <c r="B45" s="127"/>
      <c r="C45" s="121"/>
      <c r="D45" s="121"/>
      <c r="E45" s="121"/>
      <c r="F45" s="121"/>
      <c r="G45" s="121"/>
      <c r="H45" s="121"/>
      <c r="I45" s="121"/>
      <c r="J45" s="121"/>
      <c r="K45" s="121"/>
      <c r="L45" s="113"/>
      <c r="M45" s="113"/>
      <c r="N45" s="121"/>
      <c r="O45" s="121"/>
      <c r="P45" s="121"/>
      <c r="Q45" s="121"/>
      <c r="R45" s="121"/>
      <c r="S45" s="121"/>
      <c r="T45" s="121"/>
      <c r="U45" s="121"/>
      <c r="V45" s="121"/>
      <c r="W45" s="113"/>
      <c r="X45" s="121"/>
      <c r="Y45" s="129"/>
      <c r="AA45" s="123" t="str">
        <f>AVERAGE(B24:Y25,B44:Y45)</f>
        <v>#DIV/0!</v>
      </c>
    </row>
    <row r="46">
      <c r="A46" s="7" t="s">
        <v>884</v>
      </c>
      <c r="B46" s="116"/>
      <c r="C46" s="118"/>
      <c r="D46" s="118"/>
      <c r="E46" s="118"/>
      <c r="F46" s="118"/>
      <c r="G46" s="118"/>
      <c r="H46" s="118"/>
      <c r="I46" s="118"/>
      <c r="J46" s="118"/>
      <c r="K46" s="118"/>
      <c r="L46" s="106"/>
      <c r="M46" s="118"/>
      <c r="N46" s="118"/>
      <c r="O46" s="118"/>
      <c r="P46" s="118"/>
      <c r="Q46" s="118"/>
      <c r="R46" s="118"/>
      <c r="S46" s="118"/>
      <c r="T46" s="118"/>
      <c r="U46" s="118"/>
      <c r="V46" s="106"/>
      <c r="W46" s="118"/>
      <c r="X46" s="106"/>
      <c r="Y46" s="119"/>
      <c r="Z46" s="20" t="str">
        <f>AVERAGE(B47:Y47)</f>
        <v>#DIV/0!</v>
      </c>
      <c r="AA46" s="124"/>
    </row>
    <row r="47">
      <c r="B47" s="127"/>
      <c r="C47" s="121"/>
      <c r="D47" s="121"/>
      <c r="E47" s="121"/>
      <c r="F47" s="121"/>
      <c r="G47" s="121"/>
      <c r="H47" s="121"/>
      <c r="I47" s="121"/>
      <c r="J47" s="121"/>
      <c r="K47" s="121"/>
      <c r="L47" s="113"/>
      <c r="M47" s="121"/>
      <c r="N47" s="121"/>
      <c r="O47" s="121"/>
      <c r="P47" s="121"/>
      <c r="Q47" s="121"/>
      <c r="R47" s="121"/>
      <c r="S47" s="121"/>
      <c r="T47" s="121"/>
      <c r="U47" s="121"/>
      <c r="V47" s="113"/>
      <c r="W47" s="121"/>
      <c r="X47" s="113"/>
      <c r="Y47" s="129"/>
      <c r="AA47" s="123" t="str">
        <f>AVERAGE(B42:Y43,B46:Y47)</f>
        <v>#DIV/0!</v>
      </c>
    </row>
    <row r="48">
      <c r="A48" s="2" t="s">
        <v>908</v>
      </c>
      <c r="B48" s="116"/>
      <c r="C48" s="118"/>
      <c r="D48" s="118"/>
      <c r="E48" s="118"/>
      <c r="F48" s="118"/>
      <c r="G48" s="118"/>
      <c r="H48" s="118"/>
      <c r="I48" s="118"/>
      <c r="J48" s="118"/>
      <c r="K48" s="118"/>
      <c r="L48" s="106"/>
      <c r="M48" s="118"/>
      <c r="N48" s="118"/>
      <c r="O48" s="106"/>
      <c r="P48" s="118"/>
      <c r="Q48" s="118"/>
      <c r="R48" s="118"/>
      <c r="S48" s="118"/>
      <c r="T48" s="118"/>
      <c r="U48" s="118"/>
      <c r="V48" s="118"/>
      <c r="W48" s="118"/>
      <c r="X48" s="125"/>
      <c r="Y48" s="108"/>
      <c r="Z48" s="20" t="str">
        <f>AVERAGE(B49:Y49)</f>
        <v>#DIV/0!</v>
      </c>
      <c r="AA48" s="124"/>
    </row>
    <row r="49">
      <c r="B49" s="127"/>
      <c r="C49" s="128"/>
      <c r="D49" s="128"/>
      <c r="E49" s="128"/>
      <c r="F49" s="128"/>
      <c r="G49" s="128"/>
      <c r="H49" s="128"/>
      <c r="I49" s="121"/>
      <c r="J49" s="121"/>
      <c r="K49" s="121"/>
      <c r="L49" s="113"/>
      <c r="M49" s="121"/>
      <c r="N49" s="121"/>
      <c r="O49" s="113"/>
      <c r="P49" s="121"/>
      <c r="Q49" s="121"/>
      <c r="R49" s="121"/>
      <c r="S49" s="121"/>
      <c r="T49" s="121"/>
      <c r="U49" s="121"/>
      <c r="V49" s="121"/>
      <c r="W49" s="121"/>
      <c r="X49" s="128"/>
      <c r="Y49" s="114"/>
      <c r="AA49" s="123" t="str">
        <f>AVERAGE(B28:Y29,B48:Y49)</f>
        <v>#DIV/0!</v>
      </c>
    </row>
    <row r="50">
      <c r="A50" s="13"/>
      <c r="B50" s="138"/>
      <c r="C50" s="139" t="str">
        <f t="shared" ref="C50:K50" si="1">AVERAGE(C2:C49)</f>
        <v>#DIV/0!</v>
      </c>
      <c r="D50" s="139" t="str">
        <f t="shared" si="1"/>
        <v>#DIV/0!</v>
      </c>
      <c r="E50" s="139" t="str">
        <f t="shared" si="1"/>
        <v>#DIV/0!</v>
      </c>
      <c r="F50" s="139" t="str">
        <f t="shared" si="1"/>
        <v>#DIV/0!</v>
      </c>
      <c r="G50" s="139" t="str">
        <f t="shared" si="1"/>
        <v>#DIV/0!</v>
      </c>
      <c r="H50" s="139" t="str">
        <f t="shared" si="1"/>
        <v>#DIV/0!</v>
      </c>
      <c r="I50" s="139" t="str">
        <f t="shared" si="1"/>
        <v>#DIV/0!</v>
      </c>
      <c r="J50" s="139" t="str">
        <f t="shared" si="1"/>
        <v>#DIV/0!</v>
      </c>
      <c r="K50" s="139" t="str">
        <f t="shared" si="1"/>
        <v>#DIV/0!</v>
      </c>
      <c r="L50" s="139"/>
      <c r="M50" s="139" t="str">
        <f t="shared" ref="M50:Y50" si="2">AVERAGE(M2:M49)</f>
        <v>#DIV/0!</v>
      </c>
      <c r="N50" s="139" t="str">
        <f t="shared" si="2"/>
        <v>#DIV/0!</v>
      </c>
      <c r="O50" s="139" t="str">
        <f t="shared" si="2"/>
        <v>#DIV/0!</v>
      </c>
      <c r="P50" s="139" t="str">
        <f t="shared" si="2"/>
        <v>#DIV/0!</v>
      </c>
      <c r="Q50" s="139" t="str">
        <f t="shared" si="2"/>
        <v>#DIV/0!</v>
      </c>
      <c r="R50" s="139" t="str">
        <f t="shared" si="2"/>
        <v>#DIV/0!</v>
      </c>
      <c r="S50" s="139" t="str">
        <f t="shared" si="2"/>
        <v>#DIV/0!</v>
      </c>
      <c r="T50" s="139" t="str">
        <f t="shared" si="2"/>
        <v>#DIV/0!</v>
      </c>
      <c r="U50" s="139" t="str">
        <f t="shared" si="2"/>
        <v>#DIV/0!</v>
      </c>
      <c r="V50" s="139" t="str">
        <f t="shared" si="2"/>
        <v>#DIV/0!</v>
      </c>
      <c r="W50" s="139" t="str">
        <f t="shared" si="2"/>
        <v>#DIV/0!</v>
      </c>
      <c r="X50" s="139" t="str">
        <f t="shared" si="2"/>
        <v>#DIV/0!</v>
      </c>
      <c r="Y50" s="139" t="str">
        <f t="shared" si="2"/>
        <v>#DIV/0!</v>
      </c>
      <c r="Z50" s="95" t="str">
        <f>AVERAGE(B2:Y49)</f>
        <v>#DIV/0!</v>
      </c>
    </row>
    <row r="51">
      <c r="A51" s="13"/>
      <c r="B51" s="138"/>
      <c r="C51" s="139" t="str">
        <f>AVERAGE(C2:C49,E2:E49)</f>
        <v>#DIV/0!</v>
      </c>
      <c r="D51" s="139" t="str">
        <f>AVERAGE(D2:D49,N2:N49)</f>
        <v>#DIV/0!</v>
      </c>
      <c r="E51" s="139" t="str">
        <f>AVERAGE(C2:C49,E2:E49)</f>
        <v>#DIV/0!</v>
      </c>
      <c r="F51" s="139" t="str">
        <f>AVERAGE(F2:F49,H2:H49)</f>
        <v>#DIV/0!</v>
      </c>
      <c r="G51" s="139" t="str">
        <f>AVERAGE(G2:G49,Q2:Q49)</f>
        <v>#DIV/0!</v>
      </c>
      <c r="H51" s="139" t="str">
        <f>AVERAGE(F2:F49,H2:H49)</f>
        <v>#DIV/0!</v>
      </c>
      <c r="I51" s="139" t="str">
        <f>AVERAGE(I2:I49,K2:K49)</f>
        <v>#DIV/0!</v>
      </c>
      <c r="J51" s="139" t="str">
        <f>AVERAGE(J2:J49,T2:T49)</f>
        <v>#DIV/0!</v>
      </c>
      <c r="K51" s="139" t="str">
        <f>AVERAGE(I2:I49,K2:K49)</f>
        <v>#DIV/0!</v>
      </c>
      <c r="L51" s="139"/>
      <c r="M51" s="139" t="str">
        <f>AVERAGE(M2:M49,W2:W49)</f>
        <v>#DIV/0!</v>
      </c>
      <c r="N51" s="139" t="str">
        <f>AVERAGE(D2:D49,N2:N49)</f>
        <v>#DIV/0!</v>
      </c>
      <c r="O51" s="139" t="str">
        <f>AVERAGE(O2:O49,Y2:Y49)</f>
        <v>#DIV/0!</v>
      </c>
      <c r="P51" s="139" t="str">
        <f>AVERAGE(P2:P49,R2:R49)</f>
        <v>#DIV/0!</v>
      </c>
      <c r="Q51" s="139" t="str">
        <f>AVERAGE(G2:G49,Q2:Q49)</f>
        <v>#DIV/0!</v>
      </c>
      <c r="R51" s="139" t="str">
        <f>AVERAGE(P2:P49,R2:R49)</f>
        <v>#DIV/0!</v>
      </c>
      <c r="S51" s="139" t="str">
        <f>AVERAGE(S2:S49,U2:U49)</f>
        <v>#DIV/0!</v>
      </c>
      <c r="T51" s="139" t="str">
        <f>AVERAGE(J2:J49,T2:T49)</f>
        <v>#DIV/0!</v>
      </c>
      <c r="U51" s="139" t="str">
        <f>AVERAGE(S2:S49,U2:U49)</f>
        <v>#DIV/0!</v>
      </c>
      <c r="V51" s="139" t="str">
        <f>AVERAGE(V2:V49,X2:X49)</f>
        <v>#DIV/0!</v>
      </c>
      <c r="W51" s="139" t="str">
        <f>AVERAGE(M2:M49,W2:W49)</f>
        <v>#DIV/0!</v>
      </c>
      <c r="X51" s="139" t="str">
        <f>AVERAGE(V2:V49,X2:X49)</f>
        <v>#DIV/0!</v>
      </c>
      <c r="Y51" s="139" t="str">
        <f>AVERAGE(O2:O49,Y2:Y49)</f>
        <v>#DIV/0!</v>
      </c>
    </row>
  </sheetData>
  <mergeCells count="49">
    <mergeCell ref="Z26:Z27"/>
    <mergeCell ref="Z30:Z31"/>
    <mergeCell ref="Z28:Z29"/>
    <mergeCell ref="Z32:Z33"/>
    <mergeCell ref="Z34:Z35"/>
    <mergeCell ref="Z36:Z37"/>
    <mergeCell ref="Z38:Z39"/>
    <mergeCell ref="Z42:Z43"/>
    <mergeCell ref="Z40:Z41"/>
    <mergeCell ref="Z20:Z21"/>
    <mergeCell ref="Z24:Z25"/>
    <mergeCell ref="Z22:Z23"/>
    <mergeCell ref="Z50:AA51"/>
    <mergeCell ref="Z48:Z49"/>
    <mergeCell ref="Z46:Z47"/>
    <mergeCell ref="Z44:Z45"/>
    <mergeCell ref="Z2:Z3"/>
    <mergeCell ref="Z4:Z5"/>
    <mergeCell ref="Z12:Z13"/>
    <mergeCell ref="Z14:Z15"/>
    <mergeCell ref="Z16:Z17"/>
    <mergeCell ref="Z18:Z19"/>
    <mergeCell ref="Z10:Z11"/>
    <mergeCell ref="Z8:Z9"/>
    <mergeCell ref="Z6:Z7"/>
    <mergeCell ref="A26:A27"/>
    <mergeCell ref="A30:A31"/>
    <mergeCell ref="A28:A29"/>
    <mergeCell ref="A32:A33"/>
    <mergeCell ref="A34:A35"/>
    <mergeCell ref="A16:A17"/>
    <mergeCell ref="A14:A15"/>
    <mergeCell ref="A12:A13"/>
    <mergeCell ref="A6:A7"/>
    <mergeCell ref="A4:A5"/>
    <mergeCell ref="A2:A3"/>
    <mergeCell ref="A20:A21"/>
    <mergeCell ref="A10:A11"/>
    <mergeCell ref="A8:A9"/>
    <mergeCell ref="A18:A19"/>
    <mergeCell ref="A36:A37"/>
    <mergeCell ref="A38:A39"/>
    <mergeCell ref="A22:A23"/>
    <mergeCell ref="A40:A41"/>
    <mergeCell ref="A42:A43"/>
    <mergeCell ref="A44:A45"/>
    <mergeCell ref="A48:A49"/>
    <mergeCell ref="A46:A47"/>
    <mergeCell ref="A24:A25"/>
  </mergeCells>
  <conditionalFormatting sqref="B2:Y49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Z1:AA49 A50:Y51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26" width="14.43"/>
  </cols>
  <sheetData>
    <row r="1">
      <c r="A1" s="1" t="s">
        <v>905</v>
      </c>
      <c r="B1" s="2" t="s">
        <v>906</v>
      </c>
      <c r="C1" s="3" t="s">
        <v>907</v>
      </c>
      <c r="D1" s="4" t="s">
        <v>909</v>
      </c>
      <c r="E1" s="4" t="s">
        <v>910</v>
      </c>
      <c r="F1" s="3" t="s">
        <v>911</v>
      </c>
      <c r="G1" s="5" t="s">
        <v>912</v>
      </c>
      <c r="H1" s="5" t="s">
        <v>913</v>
      </c>
      <c r="I1" s="3" t="s">
        <v>914</v>
      </c>
      <c r="J1" s="6" t="s">
        <v>915</v>
      </c>
      <c r="K1" s="6" t="s">
        <v>916</v>
      </c>
      <c r="L1" s="3" t="s">
        <v>918</v>
      </c>
      <c r="M1" s="2" t="s">
        <v>919</v>
      </c>
      <c r="N1" s="2" t="s">
        <v>921</v>
      </c>
      <c r="O1" s="7" t="s">
        <v>923</v>
      </c>
      <c r="P1" s="4" t="s">
        <v>925</v>
      </c>
      <c r="Q1" s="4" t="s">
        <v>927</v>
      </c>
      <c r="R1" s="7" t="s">
        <v>929</v>
      </c>
      <c r="S1" s="5" t="s">
        <v>930</v>
      </c>
      <c r="T1" s="5" t="s">
        <v>932</v>
      </c>
      <c r="U1" s="7" t="s">
        <v>933</v>
      </c>
      <c r="V1" s="6" t="s">
        <v>934</v>
      </c>
      <c r="W1" s="6" t="s">
        <v>936</v>
      </c>
      <c r="X1" s="7" t="s">
        <v>938</v>
      </c>
      <c r="Y1" s="9" t="s">
        <v>939</v>
      </c>
      <c r="Z1" s="11"/>
    </row>
    <row r="2">
      <c r="A2" s="2" t="s">
        <v>943</v>
      </c>
      <c r="B2" s="15"/>
      <c r="C2" s="17" t="s">
        <v>949</v>
      </c>
      <c r="D2" s="134"/>
      <c r="E2" s="17"/>
      <c r="F2" s="17"/>
      <c r="G2" s="17"/>
      <c r="H2" s="17" t="s">
        <v>953</v>
      </c>
      <c r="I2" s="135"/>
      <c r="J2" s="135"/>
      <c r="K2" s="17"/>
      <c r="L2" s="18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9" t="s">
        <v>954</v>
      </c>
      <c r="Z2" s="20">
        <f>AVERAGE(B3:Y3)</f>
        <v>2.11</v>
      </c>
    </row>
    <row r="3">
      <c r="B3" s="21"/>
      <c r="C3" s="38"/>
      <c r="D3" s="38"/>
      <c r="E3" s="23"/>
      <c r="F3" s="23"/>
      <c r="G3" s="23"/>
      <c r="H3" s="23">
        <v>2.11</v>
      </c>
      <c r="I3" s="38"/>
      <c r="J3" s="38"/>
      <c r="K3" s="23"/>
      <c r="L3" s="22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9"/>
    </row>
    <row r="4">
      <c r="A4" s="3" t="s">
        <v>907</v>
      </c>
      <c r="B4" s="41" t="s">
        <v>955</v>
      </c>
      <c r="C4" s="16"/>
      <c r="D4" s="17" t="s">
        <v>956</v>
      </c>
      <c r="E4" s="17" t="s">
        <v>957</v>
      </c>
      <c r="F4" s="17" t="s">
        <v>958</v>
      </c>
      <c r="G4" s="17" t="s">
        <v>959</v>
      </c>
      <c r="H4" s="17" t="s">
        <v>960</v>
      </c>
      <c r="I4" s="135"/>
      <c r="J4" s="135"/>
      <c r="K4" s="17"/>
      <c r="L4" s="1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9" t="s">
        <v>961</v>
      </c>
      <c r="Z4" s="20">
        <f>AVERAGE(B5:Y5)</f>
        <v>1.48</v>
      </c>
    </row>
    <row r="5">
      <c r="B5" s="136"/>
      <c r="C5" s="22"/>
      <c r="D5" s="38"/>
      <c r="E5" s="38"/>
      <c r="F5" s="38"/>
      <c r="G5" s="38"/>
      <c r="H5" s="23">
        <v>1.48</v>
      </c>
      <c r="I5" s="38"/>
      <c r="J5" s="38"/>
      <c r="K5" s="38"/>
      <c r="L5" s="22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9"/>
    </row>
    <row r="6">
      <c r="A6" s="4" t="s">
        <v>909</v>
      </c>
      <c r="B6" s="137"/>
      <c r="C6" s="17" t="s">
        <v>962</v>
      </c>
      <c r="D6" s="16"/>
      <c r="E6" s="17"/>
      <c r="F6" s="17"/>
      <c r="G6" s="17"/>
      <c r="H6" s="17" t="s">
        <v>963</v>
      </c>
      <c r="I6" s="135"/>
      <c r="J6" s="135"/>
      <c r="K6" s="17"/>
      <c r="L6" s="18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9" t="s">
        <v>964</v>
      </c>
      <c r="Z6" s="20">
        <f>AVERAGE(B7:Y7)</f>
        <v>1.25</v>
      </c>
    </row>
    <row r="7">
      <c r="B7" s="136"/>
      <c r="C7" s="38"/>
      <c r="D7" s="22"/>
      <c r="E7" s="38"/>
      <c r="F7" s="38"/>
      <c r="G7" s="38"/>
      <c r="H7" s="23">
        <v>1.25</v>
      </c>
      <c r="I7" s="38"/>
      <c r="J7" s="38"/>
      <c r="K7" s="38"/>
      <c r="L7" s="22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9"/>
    </row>
    <row r="8">
      <c r="A8" s="4" t="s">
        <v>910</v>
      </c>
      <c r="B8" s="41"/>
      <c r="C8" s="17" t="s">
        <v>965</v>
      </c>
      <c r="D8" s="17"/>
      <c r="E8" s="42"/>
      <c r="F8" s="135"/>
      <c r="G8" s="135"/>
      <c r="H8" s="17" t="s">
        <v>966</v>
      </c>
      <c r="I8" s="135"/>
      <c r="J8" s="135"/>
      <c r="K8" s="17"/>
      <c r="L8" s="18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9" t="s">
        <v>967</v>
      </c>
      <c r="Z8" s="20">
        <f>AVERAGE(B9:Y9)</f>
        <v>1.19</v>
      </c>
    </row>
    <row r="9">
      <c r="B9" s="46"/>
      <c r="C9" s="23"/>
      <c r="D9" s="23"/>
      <c r="E9" s="22"/>
      <c r="F9" s="38"/>
      <c r="G9" s="38"/>
      <c r="H9" s="23">
        <v>1.19</v>
      </c>
      <c r="I9" s="38"/>
      <c r="J9" s="38"/>
      <c r="K9" s="38"/>
      <c r="L9" s="22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9"/>
    </row>
    <row r="10">
      <c r="A10" s="3" t="s">
        <v>968</v>
      </c>
      <c r="B10" s="41"/>
      <c r="C10" s="17" t="s">
        <v>969</v>
      </c>
      <c r="D10" s="17"/>
      <c r="E10" s="135"/>
      <c r="F10" s="16"/>
      <c r="G10" s="135"/>
      <c r="H10" s="17" t="s">
        <v>970</v>
      </c>
      <c r="I10" s="135"/>
      <c r="J10" s="135"/>
      <c r="K10" s="17"/>
      <c r="L10" s="18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9" t="s">
        <v>971</v>
      </c>
      <c r="Z10" s="20">
        <f>AVERAGE(B11:Y11)</f>
        <v>1.49</v>
      </c>
    </row>
    <row r="11">
      <c r="B11" s="46"/>
      <c r="C11" s="23"/>
      <c r="D11" s="23"/>
      <c r="E11" s="38"/>
      <c r="F11" s="22"/>
      <c r="G11" s="38"/>
      <c r="H11" s="23">
        <v>1.49</v>
      </c>
      <c r="I11" s="38"/>
      <c r="J11" s="38"/>
      <c r="K11" s="38"/>
      <c r="L11" s="22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9"/>
    </row>
    <row r="12">
      <c r="A12" s="5" t="s">
        <v>912</v>
      </c>
      <c r="B12" s="41"/>
      <c r="C12" s="17" t="s">
        <v>972</v>
      </c>
      <c r="D12" s="17"/>
      <c r="E12" s="135"/>
      <c r="F12" s="135"/>
      <c r="G12" s="42"/>
      <c r="H12" s="17" t="s">
        <v>973</v>
      </c>
      <c r="I12" s="135"/>
      <c r="J12" s="135"/>
      <c r="K12" s="17"/>
      <c r="L12" s="18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9" t="s">
        <v>974</v>
      </c>
      <c r="Z12" s="20">
        <f>AVERAGE(B13:Y13)</f>
        <v>1.29</v>
      </c>
    </row>
    <row r="13">
      <c r="B13" s="46"/>
      <c r="C13" s="23"/>
      <c r="D13" s="23"/>
      <c r="E13" s="38"/>
      <c r="F13" s="38"/>
      <c r="G13" s="22"/>
      <c r="H13" s="23">
        <v>1.29</v>
      </c>
      <c r="I13" s="38"/>
      <c r="J13" s="38"/>
      <c r="K13" s="38"/>
      <c r="L13" s="22"/>
      <c r="M13" s="38"/>
      <c r="N13" s="38"/>
      <c r="O13" s="23"/>
      <c r="P13" s="38"/>
      <c r="Q13" s="38"/>
      <c r="R13" s="38"/>
      <c r="S13" s="38"/>
      <c r="T13" s="38"/>
      <c r="U13" s="38"/>
      <c r="V13" s="38"/>
      <c r="W13" s="38"/>
      <c r="X13" s="38"/>
      <c r="Y13" s="39"/>
    </row>
    <row r="14">
      <c r="A14" s="5" t="s">
        <v>913</v>
      </c>
      <c r="B14" s="41" t="s">
        <v>975</v>
      </c>
      <c r="C14" s="17" t="s">
        <v>976</v>
      </c>
      <c r="D14" s="17" t="s">
        <v>977</v>
      </c>
      <c r="E14" s="17" t="s">
        <v>978</v>
      </c>
      <c r="F14" s="17" t="s">
        <v>979</v>
      </c>
      <c r="G14" s="17" t="s">
        <v>980</v>
      </c>
      <c r="H14" s="42"/>
      <c r="I14" s="17" t="s">
        <v>981</v>
      </c>
      <c r="J14" s="17" t="s">
        <v>982</v>
      </c>
      <c r="K14" s="17" t="s">
        <v>983</v>
      </c>
      <c r="L14" s="16"/>
      <c r="M14" s="17" t="s">
        <v>984</v>
      </c>
      <c r="N14" s="17" t="s">
        <v>985</v>
      </c>
      <c r="O14" s="17" t="s">
        <v>986</v>
      </c>
      <c r="P14" s="17" t="s">
        <v>987</v>
      </c>
      <c r="Q14" s="17" t="s">
        <v>988</v>
      </c>
      <c r="R14" s="17" t="s">
        <v>989</v>
      </c>
      <c r="S14" s="17" t="s">
        <v>990</v>
      </c>
      <c r="T14" s="17" t="s">
        <v>991</v>
      </c>
      <c r="U14" s="17" t="s">
        <v>992</v>
      </c>
      <c r="V14" s="17" t="s">
        <v>993</v>
      </c>
      <c r="W14" s="17" t="s">
        <v>994</v>
      </c>
      <c r="X14" s="17" t="s">
        <v>995</v>
      </c>
      <c r="Y14" s="19" t="s">
        <v>996</v>
      </c>
      <c r="Z14" s="20">
        <f>AVERAGE(B15:Y15)</f>
        <v>1.261363636</v>
      </c>
    </row>
    <row r="15">
      <c r="B15" s="46">
        <v>2.14</v>
      </c>
      <c r="C15" s="23">
        <v>1.36</v>
      </c>
      <c r="D15" s="23">
        <v>1.28</v>
      </c>
      <c r="E15" s="23">
        <v>1.32</v>
      </c>
      <c r="F15" s="23">
        <v>1.65</v>
      </c>
      <c r="G15" s="23">
        <v>1.28</v>
      </c>
      <c r="H15" s="22"/>
      <c r="I15" s="23">
        <v>1.06</v>
      </c>
      <c r="J15" s="23">
        <v>0.9</v>
      </c>
      <c r="K15" s="23">
        <v>0.96</v>
      </c>
      <c r="L15" s="22"/>
      <c r="M15" s="23">
        <v>1.08</v>
      </c>
      <c r="N15" s="23">
        <v>1.31</v>
      </c>
      <c r="O15" s="23">
        <v>1.58</v>
      </c>
      <c r="P15" s="23">
        <v>1.25</v>
      </c>
      <c r="Q15" s="23">
        <v>1.06</v>
      </c>
      <c r="R15" s="23">
        <v>1.4</v>
      </c>
      <c r="S15" s="23">
        <v>1.3</v>
      </c>
      <c r="T15" s="23">
        <v>1.05</v>
      </c>
      <c r="U15" s="23">
        <v>1.34</v>
      </c>
      <c r="V15" s="23">
        <v>1.08</v>
      </c>
      <c r="W15" s="23">
        <v>0.85</v>
      </c>
      <c r="X15" s="23">
        <v>1.22</v>
      </c>
      <c r="Y15" s="27">
        <v>1.28</v>
      </c>
    </row>
    <row r="16">
      <c r="A16" s="3" t="s">
        <v>914</v>
      </c>
      <c r="B16" s="41"/>
      <c r="C16" s="17"/>
      <c r="D16" s="17"/>
      <c r="E16" s="17"/>
      <c r="F16" s="17"/>
      <c r="G16" s="17"/>
      <c r="H16" s="17" t="s">
        <v>997</v>
      </c>
      <c r="I16" s="18"/>
      <c r="J16" s="17"/>
      <c r="K16" s="17"/>
      <c r="L16" s="16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9" t="s">
        <v>998</v>
      </c>
      <c r="Z16" s="20">
        <f>AVERAGE(B17:Y17)</f>
        <v>1.06</v>
      </c>
    </row>
    <row r="17">
      <c r="B17" s="136"/>
      <c r="C17" s="38"/>
      <c r="D17" s="38"/>
      <c r="E17" s="38"/>
      <c r="F17" s="38"/>
      <c r="G17" s="38"/>
      <c r="H17" s="23">
        <v>1.06</v>
      </c>
      <c r="I17" s="22"/>
      <c r="J17" s="38"/>
      <c r="K17" s="38"/>
      <c r="L17" s="22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9"/>
    </row>
    <row r="18">
      <c r="A18" s="6" t="s">
        <v>999</v>
      </c>
      <c r="B18" s="137"/>
      <c r="C18" s="134"/>
      <c r="D18" s="134"/>
      <c r="E18" s="134"/>
      <c r="F18" s="134"/>
      <c r="G18" s="134"/>
      <c r="H18" s="17" t="s">
        <v>1000</v>
      </c>
      <c r="I18" s="135"/>
      <c r="J18" s="42"/>
      <c r="K18" s="135"/>
      <c r="L18" s="16"/>
      <c r="M18" s="135"/>
      <c r="N18" s="135"/>
      <c r="O18" s="134"/>
      <c r="P18" s="134"/>
      <c r="Q18" s="135"/>
      <c r="R18" s="135"/>
      <c r="S18" s="135"/>
      <c r="T18" s="135"/>
      <c r="U18" s="134"/>
      <c r="V18" s="135"/>
      <c r="W18" s="135"/>
      <c r="X18" s="135"/>
      <c r="Y18" s="19" t="s">
        <v>1001</v>
      </c>
      <c r="Z18" s="20">
        <f>AVERAGE(B19:Y19)</f>
        <v>0.89</v>
      </c>
    </row>
    <row r="19">
      <c r="B19" s="136"/>
      <c r="C19" s="38"/>
      <c r="D19" s="38"/>
      <c r="E19" s="38"/>
      <c r="F19" s="38"/>
      <c r="G19" s="38"/>
      <c r="H19" s="23">
        <v>0.89</v>
      </c>
      <c r="I19" s="38"/>
      <c r="J19" s="22"/>
      <c r="K19" s="38"/>
      <c r="L19" s="22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9"/>
    </row>
    <row r="20">
      <c r="A20" s="6" t="s">
        <v>916</v>
      </c>
      <c r="B20" s="41"/>
      <c r="C20" s="17"/>
      <c r="D20" s="17"/>
      <c r="E20" s="17"/>
      <c r="F20" s="17"/>
      <c r="G20" s="17"/>
      <c r="H20" s="17" t="s">
        <v>1002</v>
      </c>
      <c r="I20" s="135"/>
      <c r="J20" s="135"/>
      <c r="K20" s="42"/>
      <c r="L20" s="16"/>
      <c r="M20" s="135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9" t="s">
        <v>1003</v>
      </c>
      <c r="Z20" s="20">
        <f>AVERAGE(B21:Y21)</f>
        <v>0.89</v>
      </c>
    </row>
    <row r="21">
      <c r="B21" s="46"/>
      <c r="C21" s="23"/>
      <c r="D21" s="23"/>
      <c r="E21" s="23"/>
      <c r="F21" s="23"/>
      <c r="G21" s="38"/>
      <c r="H21" s="23">
        <v>0.89</v>
      </c>
      <c r="I21" s="38"/>
      <c r="J21" s="38"/>
      <c r="K21" s="22"/>
      <c r="L21" s="22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>
      <c r="A22" s="3" t="s">
        <v>918</v>
      </c>
      <c r="B22" s="15"/>
      <c r="C22" s="18"/>
      <c r="D22" s="18"/>
      <c r="E22" s="18"/>
      <c r="F22" s="18"/>
      <c r="G22" s="18"/>
      <c r="H22" s="42"/>
      <c r="I22" s="42"/>
      <c r="J22" s="42"/>
      <c r="K22" s="42"/>
      <c r="L22" s="16"/>
      <c r="M22" s="42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58"/>
      <c r="Z22" s="11"/>
    </row>
    <row r="23">
      <c r="B23" s="62"/>
      <c r="C23" s="25"/>
      <c r="D23" s="25"/>
      <c r="E23" s="25"/>
      <c r="F23" s="25"/>
      <c r="G23" s="25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63"/>
    </row>
    <row r="24">
      <c r="A24" s="2" t="s">
        <v>919</v>
      </c>
      <c r="B24" s="41"/>
      <c r="C24" s="17"/>
      <c r="D24" s="17"/>
      <c r="E24" s="17"/>
      <c r="F24" s="17"/>
      <c r="G24" s="17"/>
      <c r="H24" s="17" t="s">
        <v>1004</v>
      </c>
      <c r="I24" s="135"/>
      <c r="J24" s="135"/>
      <c r="K24" s="135"/>
      <c r="L24" s="42"/>
      <c r="M24" s="42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9" t="s">
        <v>1005</v>
      </c>
      <c r="Z24" s="20">
        <f>AVERAGE(B25:Y25)</f>
        <v>1.03</v>
      </c>
    </row>
    <row r="25">
      <c r="B25" s="136"/>
      <c r="C25" s="38"/>
      <c r="D25" s="38"/>
      <c r="E25" s="23"/>
      <c r="F25" s="23"/>
      <c r="G25" s="38"/>
      <c r="H25" s="23">
        <v>1.03</v>
      </c>
      <c r="I25" s="38"/>
      <c r="J25" s="38"/>
      <c r="K25" s="38"/>
      <c r="L25" s="22"/>
      <c r="M25" s="22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>
      <c r="A26" s="2" t="s">
        <v>921</v>
      </c>
      <c r="B26" s="41"/>
      <c r="C26" s="17"/>
      <c r="D26" s="17"/>
      <c r="E26" s="17"/>
      <c r="F26" s="17"/>
      <c r="G26" s="17"/>
      <c r="H26" s="17" t="s">
        <v>1006</v>
      </c>
      <c r="I26" s="134"/>
      <c r="J26" s="134"/>
      <c r="K26" s="17"/>
      <c r="L26" s="18"/>
      <c r="M26" s="17"/>
      <c r="N26" s="42"/>
      <c r="O26" s="134"/>
      <c r="P26" s="134"/>
      <c r="Q26" s="17"/>
      <c r="R26" s="17"/>
      <c r="S26" s="17"/>
      <c r="T26" s="17"/>
      <c r="U26" s="17"/>
      <c r="V26" s="17"/>
      <c r="W26" s="17"/>
      <c r="X26" s="17"/>
      <c r="Y26" s="19" t="s">
        <v>1007</v>
      </c>
      <c r="Z26" s="20">
        <f>AVERAGE(B27:Y27)</f>
        <v>1.2</v>
      </c>
    </row>
    <row r="27">
      <c r="B27" s="136"/>
      <c r="C27" s="23"/>
      <c r="D27" s="23"/>
      <c r="E27" s="23"/>
      <c r="F27" s="23"/>
      <c r="G27" s="23"/>
      <c r="H27" s="23">
        <v>1.2</v>
      </c>
      <c r="I27" s="38"/>
      <c r="J27" s="38"/>
      <c r="K27" s="23"/>
      <c r="L27" s="25"/>
      <c r="M27" s="38"/>
      <c r="N27" s="22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>
      <c r="A28" s="7" t="s">
        <v>923</v>
      </c>
      <c r="B28" s="41"/>
      <c r="C28" s="17"/>
      <c r="D28" s="17"/>
      <c r="E28" s="17"/>
      <c r="F28" s="17"/>
      <c r="G28" s="17"/>
      <c r="H28" s="17" t="s">
        <v>1008</v>
      </c>
      <c r="I28" s="17"/>
      <c r="J28" s="134"/>
      <c r="K28" s="17"/>
      <c r="L28" s="18"/>
      <c r="M28" s="17"/>
      <c r="N28" s="135"/>
      <c r="O28" s="42"/>
      <c r="P28" s="135"/>
      <c r="Q28" s="17"/>
      <c r="R28" s="17"/>
      <c r="S28" s="17"/>
      <c r="T28" s="17"/>
      <c r="U28" s="17"/>
      <c r="V28" s="17"/>
      <c r="W28" s="17"/>
      <c r="X28" s="17"/>
      <c r="Y28" s="19" t="s">
        <v>1009</v>
      </c>
      <c r="Z28" s="20">
        <f>AVERAGE(B29:Y29)</f>
        <v>1.45</v>
      </c>
    </row>
    <row r="29">
      <c r="B29" s="46"/>
      <c r="C29" s="23"/>
      <c r="D29" s="23"/>
      <c r="E29" s="23"/>
      <c r="F29" s="23"/>
      <c r="G29" s="23"/>
      <c r="H29" s="23">
        <v>1.45</v>
      </c>
      <c r="I29" s="23"/>
      <c r="J29" s="38"/>
      <c r="K29" s="23"/>
      <c r="L29" s="22"/>
      <c r="M29" s="23"/>
      <c r="N29" s="38"/>
      <c r="O29" s="22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>
      <c r="A30" s="4" t="s">
        <v>1010</v>
      </c>
      <c r="B30" s="41"/>
      <c r="C30" s="17"/>
      <c r="D30" s="17"/>
      <c r="E30" s="17"/>
      <c r="F30" s="17"/>
      <c r="G30" s="17"/>
      <c r="H30" s="17" t="s">
        <v>1011</v>
      </c>
      <c r="I30" s="134"/>
      <c r="J30" s="134"/>
      <c r="K30" s="17"/>
      <c r="L30" s="18"/>
      <c r="M30" s="17"/>
      <c r="N30" s="135"/>
      <c r="O30" s="135"/>
      <c r="P30" s="42"/>
      <c r="Q30" s="17"/>
      <c r="R30" s="17"/>
      <c r="S30" s="17"/>
      <c r="T30" s="17"/>
      <c r="U30" s="17"/>
      <c r="V30" s="17"/>
      <c r="W30" s="17"/>
      <c r="X30" s="17"/>
      <c r="Y30" s="19" t="s">
        <v>1012</v>
      </c>
      <c r="Z30" s="20">
        <f>AVERAGE(B31:Y31)</f>
        <v>1.34</v>
      </c>
    </row>
    <row r="31">
      <c r="B31" s="136"/>
      <c r="C31" s="23"/>
      <c r="D31" s="23"/>
      <c r="E31" s="23"/>
      <c r="F31" s="23"/>
      <c r="G31" s="23"/>
      <c r="H31" s="23">
        <v>1.34</v>
      </c>
      <c r="I31" s="38"/>
      <c r="J31" s="38"/>
      <c r="K31" s="23"/>
      <c r="L31" s="25"/>
      <c r="M31" s="23"/>
      <c r="N31" s="38"/>
      <c r="O31" s="38"/>
      <c r="P31" s="22"/>
      <c r="Q31" s="38"/>
      <c r="R31" s="38"/>
      <c r="S31" s="38"/>
      <c r="T31" s="38"/>
      <c r="U31" s="38"/>
      <c r="V31" s="38"/>
      <c r="W31" s="38"/>
      <c r="X31" s="38"/>
      <c r="Y31" s="39"/>
    </row>
    <row r="32">
      <c r="A32" s="4" t="s">
        <v>927</v>
      </c>
      <c r="B32" s="41"/>
      <c r="C32" s="17"/>
      <c r="D32" s="17"/>
      <c r="E32" s="17"/>
      <c r="F32" s="17"/>
      <c r="G32" s="17"/>
      <c r="H32" s="17" t="s">
        <v>1013</v>
      </c>
      <c r="I32" s="134"/>
      <c r="J32" s="134"/>
      <c r="K32" s="17"/>
      <c r="L32" s="18"/>
      <c r="M32" s="17"/>
      <c r="N32" s="17"/>
      <c r="O32" s="17"/>
      <c r="P32" s="17"/>
      <c r="Q32" s="42"/>
      <c r="R32" s="135"/>
      <c r="S32" s="135"/>
      <c r="T32" s="17"/>
      <c r="U32" s="17"/>
      <c r="V32" s="17"/>
      <c r="W32" s="17"/>
      <c r="X32" s="17"/>
      <c r="Y32" s="19" t="s">
        <v>1014</v>
      </c>
      <c r="Z32" s="20">
        <f>AVERAGE(B33:Y33)</f>
        <v>1.25</v>
      </c>
    </row>
    <row r="33">
      <c r="B33" s="46"/>
      <c r="C33" s="23"/>
      <c r="D33" s="23"/>
      <c r="E33" s="23"/>
      <c r="F33" s="23"/>
      <c r="G33" s="38"/>
      <c r="H33" s="23">
        <v>1.25</v>
      </c>
      <c r="I33" s="38"/>
      <c r="J33" s="38"/>
      <c r="K33" s="38"/>
      <c r="L33" s="25"/>
      <c r="M33" s="23"/>
      <c r="N33" s="23"/>
      <c r="O33" s="23"/>
      <c r="P33" s="38"/>
      <c r="Q33" s="22"/>
      <c r="R33" s="38"/>
      <c r="S33" s="38"/>
      <c r="T33" s="38"/>
      <c r="U33" s="38"/>
      <c r="V33" s="38"/>
      <c r="W33" s="38"/>
      <c r="X33" s="38"/>
      <c r="Y33" s="39"/>
    </row>
    <row r="34">
      <c r="A34" s="7" t="s">
        <v>929</v>
      </c>
      <c r="B34" s="41"/>
      <c r="C34" s="17"/>
      <c r="D34" s="17"/>
      <c r="E34" s="17"/>
      <c r="F34" s="17"/>
      <c r="G34" s="17"/>
      <c r="H34" s="17" t="s">
        <v>1015</v>
      </c>
      <c r="I34" s="134"/>
      <c r="J34" s="134"/>
      <c r="K34" s="17"/>
      <c r="L34" s="18"/>
      <c r="M34" s="17"/>
      <c r="N34" s="17"/>
      <c r="O34" s="17"/>
      <c r="P34" s="17"/>
      <c r="Q34" s="135"/>
      <c r="R34" s="42"/>
      <c r="S34" s="135"/>
      <c r="T34" s="17"/>
      <c r="U34" s="17"/>
      <c r="V34" s="17"/>
      <c r="W34" s="17"/>
      <c r="X34" s="17"/>
      <c r="Y34" s="19" t="s">
        <v>1016</v>
      </c>
      <c r="Z34" s="20">
        <f>AVERAGE(B35:Y35)</f>
        <v>1.32</v>
      </c>
    </row>
    <row r="35">
      <c r="B35" s="46"/>
      <c r="C35" s="23"/>
      <c r="D35" s="38"/>
      <c r="E35" s="23"/>
      <c r="F35" s="23"/>
      <c r="G35" s="23"/>
      <c r="H35" s="23">
        <v>1.32</v>
      </c>
      <c r="I35" s="38"/>
      <c r="J35" s="38"/>
      <c r="K35" s="38"/>
      <c r="L35" s="22"/>
      <c r="M35" s="38"/>
      <c r="N35" s="23"/>
      <c r="O35" s="23"/>
      <c r="P35" s="38"/>
      <c r="Q35" s="38"/>
      <c r="R35" s="22"/>
      <c r="S35" s="38"/>
      <c r="T35" s="38"/>
      <c r="U35" s="38"/>
      <c r="V35" s="38"/>
      <c r="W35" s="38"/>
      <c r="X35" s="38"/>
      <c r="Y35" s="39"/>
    </row>
    <row r="36">
      <c r="A36" s="5" t="s">
        <v>930</v>
      </c>
      <c r="B36" s="41"/>
      <c r="C36" s="17"/>
      <c r="D36" s="17"/>
      <c r="E36" s="17"/>
      <c r="F36" s="17"/>
      <c r="G36" s="17"/>
      <c r="H36" s="17" t="s">
        <v>1017</v>
      </c>
      <c r="I36" s="134"/>
      <c r="J36" s="134"/>
      <c r="K36" s="17"/>
      <c r="L36" s="18"/>
      <c r="M36" s="17"/>
      <c r="N36" s="17"/>
      <c r="O36" s="17"/>
      <c r="P36" s="17"/>
      <c r="Q36" s="135"/>
      <c r="R36" s="135"/>
      <c r="S36" s="42"/>
      <c r="T36" s="17"/>
      <c r="U36" s="17"/>
      <c r="V36" s="17"/>
      <c r="W36" s="17"/>
      <c r="X36" s="17"/>
      <c r="Y36" s="19" t="s">
        <v>1018</v>
      </c>
      <c r="Z36" s="20">
        <f>AVERAGE(B37:Y37)</f>
        <v>1.41</v>
      </c>
    </row>
    <row r="37">
      <c r="B37" s="136"/>
      <c r="C37" s="38"/>
      <c r="D37" s="38"/>
      <c r="E37" s="38"/>
      <c r="F37" s="23"/>
      <c r="G37" s="23"/>
      <c r="H37" s="23">
        <v>1.41</v>
      </c>
      <c r="I37" s="38"/>
      <c r="J37" s="38"/>
      <c r="K37" s="23"/>
      <c r="L37" s="25"/>
      <c r="M37" s="23"/>
      <c r="N37" s="23"/>
      <c r="O37" s="23"/>
      <c r="P37" s="38"/>
      <c r="Q37" s="38"/>
      <c r="R37" s="38"/>
      <c r="S37" s="22"/>
      <c r="T37" s="38"/>
      <c r="U37" s="38"/>
      <c r="V37" s="38"/>
      <c r="W37" s="38"/>
      <c r="X37" s="38"/>
      <c r="Y37" s="39"/>
    </row>
    <row r="38">
      <c r="A38" s="5" t="s">
        <v>932</v>
      </c>
      <c r="B38" s="41"/>
      <c r="C38" s="17"/>
      <c r="D38" s="17"/>
      <c r="E38" s="17"/>
      <c r="F38" s="17"/>
      <c r="G38" s="17"/>
      <c r="H38" s="17" t="s">
        <v>1019</v>
      </c>
      <c r="I38" s="134"/>
      <c r="J38" s="134"/>
      <c r="K38" s="17"/>
      <c r="L38" s="18"/>
      <c r="M38" s="17"/>
      <c r="N38" s="17"/>
      <c r="O38" s="17"/>
      <c r="P38" s="17"/>
      <c r="Q38" s="17"/>
      <c r="R38" s="17"/>
      <c r="S38" s="17"/>
      <c r="T38" s="42"/>
      <c r="U38" s="135"/>
      <c r="V38" s="135"/>
      <c r="W38" s="17"/>
      <c r="X38" s="17"/>
      <c r="Y38" s="19" t="s">
        <v>1020</v>
      </c>
      <c r="Z38" s="20">
        <f>AVERAGE(B39:Y39)</f>
        <v>1.04</v>
      </c>
    </row>
    <row r="39">
      <c r="B39" s="136"/>
      <c r="C39" s="23"/>
      <c r="D39" s="38"/>
      <c r="E39" s="23"/>
      <c r="F39" s="23"/>
      <c r="G39" s="23"/>
      <c r="H39" s="23">
        <v>1.04</v>
      </c>
      <c r="I39" s="38"/>
      <c r="J39" s="38"/>
      <c r="K39" s="23"/>
      <c r="L39" s="25"/>
      <c r="M39" s="23"/>
      <c r="N39" s="38"/>
      <c r="O39" s="23"/>
      <c r="P39" s="38"/>
      <c r="Q39" s="23"/>
      <c r="R39" s="38"/>
      <c r="S39" s="23"/>
      <c r="T39" s="22"/>
      <c r="U39" s="38"/>
      <c r="V39" s="38"/>
      <c r="W39" s="38"/>
      <c r="X39" s="38"/>
      <c r="Y39" s="39"/>
    </row>
    <row r="40">
      <c r="A40" s="7" t="s">
        <v>933</v>
      </c>
      <c r="B40" s="41"/>
      <c r="C40" s="17"/>
      <c r="D40" s="17"/>
      <c r="E40" s="17"/>
      <c r="F40" s="17"/>
      <c r="G40" s="17"/>
      <c r="H40" s="17" t="s">
        <v>1021</v>
      </c>
      <c r="I40" s="134"/>
      <c r="J40" s="134"/>
      <c r="K40" s="17"/>
      <c r="L40" s="18"/>
      <c r="M40" s="17"/>
      <c r="N40" s="17"/>
      <c r="O40" s="17"/>
      <c r="P40" s="17"/>
      <c r="Q40" s="17"/>
      <c r="R40" s="17"/>
      <c r="S40" s="17"/>
      <c r="T40" s="135"/>
      <c r="U40" s="42"/>
      <c r="V40" s="135"/>
      <c r="W40" s="17"/>
      <c r="X40" s="17"/>
      <c r="Y40" s="19" t="s">
        <v>1022</v>
      </c>
      <c r="Z40" s="20">
        <f>AVERAGE(B41:Y41)</f>
        <v>1.42</v>
      </c>
    </row>
    <row r="41">
      <c r="B41" s="46"/>
      <c r="C41" s="23"/>
      <c r="D41" s="38"/>
      <c r="E41" s="23"/>
      <c r="F41" s="23"/>
      <c r="G41" s="38"/>
      <c r="H41" s="23">
        <v>1.42</v>
      </c>
      <c r="I41" s="38"/>
      <c r="J41" s="38"/>
      <c r="K41" s="23"/>
      <c r="L41" s="25"/>
      <c r="M41" s="38"/>
      <c r="N41" s="38"/>
      <c r="O41" s="38"/>
      <c r="P41" s="38"/>
      <c r="Q41" s="23"/>
      <c r="R41" s="23"/>
      <c r="S41" s="23"/>
      <c r="T41" s="38"/>
      <c r="U41" s="22"/>
      <c r="V41" s="38"/>
      <c r="W41" s="38"/>
      <c r="X41" s="38"/>
      <c r="Y41" s="39"/>
    </row>
    <row r="42">
      <c r="A42" s="6" t="s">
        <v>1023</v>
      </c>
      <c r="B42" s="41"/>
      <c r="C42" s="17"/>
      <c r="D42" s="17"/>
      <c r="E42" s="17"/>
      <c r="F42" s="17"/>
      <c r="G42" s="17"/>
      <c r="H42" s="17" t="s">
        <v>1024</v>
      </c>
      <c r="I42" s="134"/>
      <c r="J42" s="134"/>
      <c r="K42" s="17"/>
      <c r="L42" s="18"/>
      <c r="M42" s="17"/>
      <c r="N42" s="17"/>
      <c r="O42" s="17"/>
      <c r="P42" s="17"/>
      <c r="Q42" s="17"/>
      <c r="R42" s="17"/>
      <c r="S42" s="17"/>
      <c r="T42" s="135"/>
      <c r="U42" s="135"/>
      <c r="V42" s="42"/>
      <c r="W42" s="17"/>
      <c r="X42" s="17"/>
      <c r="Y42" s="19" t="s">
        <v>1025</v>
      </c>
      <c r="Z42" s="20">
        <f>AVERAGE(B43:Y43)</f>
        <v>1.07</v>
      </c>
    </row>
    <row r="43">
      <c r="B43" s="46"/>
      <c r="C43" s="23"/>
      <c r="D43" s="38"/>
      <c r="E43" s="23"/>
      <c r="F43" s="23"/>
      <c r="G43" s="23"/>
      <c r="H43" s="23">
        <v>1.07</v>
      </c>
      <c r="I43" s="38"/>
      <c r="J43" s="38"/>
      <c r="K43" s="23"/>
      <c r="L43" s="25"/>
      <c r="M43" s="23"/>
      <c r="N43" s="23"/>
      <c r="O43" s="23"/>
      <c r="P43" s="23"/>
      <c r="Q43" s="38"/>
      <c r="R43" s="23"/>
      <c r="S43" s="23"/>
      <c r="T43" s="38"/>
      <c r="U43" s="38"/>
      <c r="V43" s="22"/>
      <c r="W43" s="38"/>
      <c r="X43" s="38"/>
      <c r="Y43" s="39"/>
    </row>
    <row r="44">
      <c r="A44" s="6" t="s">
        <v>936</v>
      </c>
      <c r="B44" s="41"/>
      <c r="C44" s="17"/>
      <c r="D44" s="17"/>
      <c r="E44" s="17"/>
      <c r="F44" s="17"/>
      <c r="G44" s="17"/>
      <c r="H44" s="17" t="s">
        <v>1026</v>
      </c>
      <c r="I44" s="134"/>
      <c r="J44" s="134"/>
      <c r="K44" s="17"/>
      <c r="L44" s="18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6"/>
      <c r="X44" s="135"/>
      <c r="Y44" s="19" t="s">
        <v>1027</v>
      </c>
      <c r="Z44" s="20">
        <f>AVERAGE(B45:Y45)</f>
        <v>0.96</v>
      </c>
    </row>
    <row r="45">
      <c r="B45" s="136"/>
      <c r="C45" s="23"/>
      <c r="D45" s="38"/>
      <c r="E45" s="23"/>
      <c r="F45" s="23"/>
      <c r="G45" s="23"/>
      <c r="H45" s="23">
        <v>0.96</v>
      </c>
      <c r="I45" s="38"/>
      <c r="J45" s="38"/>
      <c r="K45" s="38"/>
      <c r="L45" s="25"/>
      <c r="M45" s="38"/>
      <c r="N45" s="23"/>
      <c r="O45" s="23"/>
      <c r="P45" s="23"/>
      <c r="Q45" s="23"/>
      <c r="R45" s="23"/>
      <c r="S45" s="38"/>
      <c r="T45" s="23"/>
      <c r="U45" s="38"/>
      <c r="V45" s="38"/>
      <c r="W45" s="22"/>
      <c r="X45" s="38"/>
      <c r="Y45" s="39"/>
    </row>
    <row r="46">
      <c r="A46" s="7" t="s">
        <v>1028</v>
      </c>
      <c r="B46" s="41"/>
      <c r="C46" s="17"/>
      <c r="D46" s="17"/>
      <c r="E46" s="17"/>
      <c r="F46" s="17"/>
      <c r="G46" s="17"/>
      <c r="H46" s="17" t="s">
        <v>1029</v>
      </c>
      <c r="I46" s="134"/>
      <c r="J46" s="134"/>
      <c r="K46" s="17"/>
      <c r="L46" s="18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34"/>
      <c r="X46" s="42"/>
      <c r="Y46" s="19" t="s">
        <v>1030</v>
      </c>
      <c r="Z46" s="20">
        <f>AVERAGE(B47:Y47)</f>
        <v>1.18</v>
      </c>
    </row>
    <row r="47">
      <c r="B47" s="46"/>
      <c r="C47" s="23"/>
      <c r="D47" s="23"/>
      <c r="E47" s="38"/>
      <c r="F47" s="23"/>
      <c r="G47" s="23"/>
      <c r="H47" s="23">
        <v>1.18</v>
      </c>
      <c r="I47" s="38"/>
      <c r="J47" s="38"/>
      <c r="K47" s="23"/>
      <c r="L47" s="25"/>
      <c r="M47" s="38"/>
      <c r="N47" s="23"/>
      <c r="O47" s="38"/>
      <c r="P47" s="23"/>
      <c r="Q47" s="23"/>
      <c r="R47" s="23"/>
      <c r="S47" s="23"/>
      <c r="T47" s="23"/>
      <c r="U47" s="38"/>
      <c r="V47" s="38"/>
      <c r="W47" s="38"/>
      <c r="X47" s="22"/>
      <c r="Y47" s="39"/>
    </row>
    <row r="48">
      <c r="A48" s="2" t="s">
        <v>1031</v>
      </c>
      <c r="B48" s="41" t="s">
        <v>1032</v>
      </c>
      <c r="C48" s="17" t="s">
        <v>1033</v>
      </c>
      <c r="D48" s="17" t="s">
        <v>1034</v>
      </c>
      <c r="E48" s="17" t="s">
        <v>1035</v>
      </c>
      <c r="F48" s="17" t="s">
        <v>971</v>
      </c>
      <c r="G48" s="17" t="s">
        <v>1036</v>
      </c>
      <c r="H48" s="17" t="s">
        <v>1037</v>
      </c>
      <c r="I48" s="17" t="s">
        <v>1038</v>
      </c>
      <c r="J48" s="17" t="s">
        <v>1039</v>
      </c>
      <c r="K48" s="17" t="s">
        <v>1040</v>
      </c>
      <c r="L48" s="18"/>
      <c r="M48" s="17" t="s">
        <v>1041</v>
      </c>
      <c r="N48" s="17" t="s">
        <v>1042</v>
      </c>
      <c r="O48" s="17" t="s">
        <v>1043</v>
      </c>
      <c r="P48" s="17" t="s">
        <v>1044</v>
      </c>
      <c r="Q48" s="17" t="s">
        <v>1045</v>
      </c>
      <c r="R48" s="17" t="s">
        <v>1046</v>
      </c>
      <c r="S48" s="17" t="s">
        <v>1047</v>
      </c>
      <c r="T48" s="17" t="s">
        <v>1048</v>
      </c>
      <c r="U48" s="17" t="s">
        <v>1049</v>
      </c>
      <c r="V48" s="17" t="s">
        <v>1050</v>
      </c>
      <c r="W48" s="17" t="s">
        <v>1051</v>
      </c>
      <c r="X48" s="17" t="s">
        <v>1052</v>
      </c>
      <c r="Y48" s="90"/>
      <c r="Z48" s="20">
        <f>AVERAGE(B49:Y49)</f>
        <v>1.33</v>
      </c>
    </row>
    <row r="49">
      <c r="B49" s="136"/>
      <c r="C49" s="23"/>
      <c r="D49" s="23"/>
      <c r="E49" s="38"/>
      <c r="F49" s="38"/>
      <c r="G49" s="23"/>
      <c r="H49" s="23">
        <v>1.33</v>
      </c>
      <c r="I49" s="38"/>
      <c r="J49" s="38"/>
      <c r="K49" s="23"/>
      <c r="L49" s="25"/>
      <c r="M49" s="23"/>
      <c r="N49" s="23"/>
      <c r="O49" s="38"/>
      <c r="P49" s="23"/>
      <c r="Q49" s="23"/>
      <c r="R49" s="23"/>
      <c r="S49" s="23"/>
      <c r="T49" s="23"/>
      <c r="U49" s="38"/>
      <c r="V49" s="23"/>
      <c r="W49" s="38"/>
      <c r="X49" s="38"/>
      <c r="Y49" s="63"/>
    </row>
    <row r="50">
      <c r="A50" s="13"/>
      <c r="B50" s="20">
        <f t="shared" ref="B50:K50" si="1">AVERAGE(B2:B49)</f>
        <v>2.14</v>
      </c>
      <c r="C50" s="20">
        <f t="shared" si="1"/>
        <v>1.36</v>
      </c>
      <c r="D50" s="20">
        <f t="shared" si="1"/>
        <v>1.28</v>
      </c>
      <c r="E50" s="20">
        <f t="shared" si="1"/>
        <v>1.32</v>
      </c>
      <c r="F50" s="20">
        <f t="shared" si="1"/>
        <v>1.65</v>
      </c>
      <c r="G50" s="20">
        <f t="shared" si="1"/>
        <v>1.28</v>
      </c>
      <c r="H50" s="20">
        <f t="shared" si="1"/>
        <v>1.256818182</v>
      </c>
      <c r="I50" s="20">
        <f t="shared" si="1"/>
        <v>1.06</v>
      </c>
      <c r="J50" s="20">
        <f t="shared" si="1"/>
        <v>0.9</v>
      </c>
      <c r="K50" s="20">
        <f t="shared" si="1"/>
        <v>0.96</v>
      </c>
      <c r="L50" s="20"/>
      <c r="M50" s="20">
        <f t="shared" ref="M50:Y50" si="2">AVERAGE(M2:M49)</f>
        <v>1.08</v>
      </c>
      <c r="N50" s="20">
        <f t="shared" si="2"/>
        <v>1.31</v>
      </c>
      <c r="O50" s="20">
        <f t="shared" si="2"/>
        <v>1.58</v>
      </c>
      <c r="P50" s="20">
        <f t="shared" si="2"/>
        <v>1.25</v>
      </c>
      <c r="Q50" s="20">
        <f t="shared" si="2"/>
        <v>1.06</v>
      </c>
      <c r="R50" s="20">
        <f t="shared" si="2"/>
        <v>1.4</v>
      </c>
      <c r="S50" s="20">
        <f t="shared" si="2"/>
        <v>1.3</v>
      </c>
      <c r="T50" s="20">
        <f t="shared" si="2"/>
        <v>1.05</v>
      </c>
      <c r="U50" s="20">
        <f t="shared" si="2"/>
        <v>1.34</v>
      </c>
      <c r="V50" s="20">
        <f t="shared" si="2"/>
        <v>1.08</v>
      </c>
      <c r="W50" s="20">
        <f t="shared" si="2"/>
        <v>0.85</v>
      </c>
      <c r="X50" s="20">
        <f t="shared" si="2"/>
        <v>1.22</v>
      </c>
      <c r="Y50" s="20">
        <f t="shared" si="2"/>
        <v>1.28</v>
      </c>
      <c r="Z50" s="95">
        <f>AVERAGE(B2:Y49)</f>
        <v>1.259090909</v>
      </c>
    </row>
    <row r="51">
      <c r="A51" s="20" t="s">
        <v>1079</v>
      </c>
      <c r="B51" s="140" t="s">
        <v>1080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95"/>
    </row>
    <row r="52">
      <c r="A52" s="20" t="s">
        <v>1081</v>
      </c>
      <c r="B52" s="140" t="s">
        <v>1082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95"/>
    </row>
  </sheetData>
  <mergeCells count="48">
    <mergeCell ref="A6:A7"/>
    <mergeCell ref="A8:A9"/>
    <mergeCell ref="Z10:Z11"/>
    <mergeCell ref="Z20:Z21"/>
    <mergeCell ref="Z18:Z19"/>
    <mergeCell ref="Z12:Z13"/>
    <mergeCell ref="Z6:Z7"/>
    <mergeCell ref="Z8:Z9"/>
    <mergeCell ref="A12:A13"/>
    <mergeCell ref="A18:A19"/>
    <mergeCell ref="A24:A25"/>
    <mergeCell ref="A22:A23"/>
    <mergeCell ref="A10:A11"/>
    <mergeCell ref="Z36:Z37"/>
    <mergeCell ref="Z40:Z41"/>
    <mergeCell ref="Z38:Z39"/>
    <mergeCell ref="Z46:Z47"/>
    <mergeCell ref="Z44:Z45"/>
    <mergeCell ref="Z42:Z43"/>
    <mergeCell ref="Z48:Z49"/>
    <mergeCell ref="Z32:Z33"/>
    <mergeCell ref="Z34:Z35"/>
    <mergeCell ref="A38:A39"/>
    <mergeCell ref="A40:A41"/>
    <mergeCell ref="A42:A43"/>
    <mergeCell ref="A36:A37"/>
    <mergeCell ref="A26:A27"/>
    <mergeCell ref="A16:A17"/>
    <mergeCell ref="A14:A15"/>
    <mergeCell ref="A32:A33"/>
    <mergeCell ref="A34:A35"/>
    <mergeCell ref="A28:A29"/>
    <mergeCell ref="A30:A31"/>
    <mergeCell ref="A2:A3"/>
    <mergeCell ref="A44:A45"/>
    <mergeCell ref="A46:A47"/>
    <mergeCell ref="A48:A49"/>
    <mergeCell ref="A20:A21"/>
    <mergeCell ref="A4:A5"/>
    <mergeCell ref="Z2:Z3"/>
    <mergeCell ref="Z4:Z5"/>
    <mergeCell ref="Z30:Z31"/>
    <mergeCell ref="Z14:Z15"/>
    <mergeCell ref="Z16:Z17"/>
    <mergeCell ref="Z24:Z25"/>
    <mergeCell ref="Z28:Z29"/>
    <mergeCell ref="Z26:Z27"/>
    <mergeCell ref="Z22:Z23"/>
  </mergeCells>
  <conditionalFormatting sqref="B2:Y49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Z1:Z49 A50:Y52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4.43"/>
  </cols>
  <sheetData>
    <row r="1">
      <c r="A1" s="1" t="s">
        <v>1053</v>
      </c>
      <c r="B1" s="2" t="s">
        <v>1054</v>
      </c>
      <c r="C1" s="3" t="s">
        <v>1055</v>
      </c>
      <c r="D1" s="4" t="s">
        <v>1056</v>
      </c>
      <c r="E1" s="4" t="s">
        <v>1057</v>
      </c>
      <c r="F1" s="3" t="s">
        <v>1058</v>
      </c>
      <c r="G1" s="5" t="s">
        <v>1059</v>
      </c>
      <c r="H1" s="5" t="s">
        <v>1060</v>
      </c>
      <c r="I1" s="3" t="s">
        <v>1061</v>
      </c>
      <c r="J1" s="6" t="s">
        <v>1062</v>
      </c>
      <c r="K1" s="6" t="s">
        <v>1063</v>
      </c>
      <c r="L1" s="3" t="s">
        <v>1064</v>
      </c>
      <c r="M1" s="2" t="s">
        <v>1065</v>
      </c>
      <c r="N1" s="2" t="s">
        <v>1066</v>
      </c>
      <c r="O1" s="7" t="s">
        <v>1067</v>
      </c>
      <c r="P1" s="4" t="s">
        <v>1068</v>
      </c>
      <c r="Q1" s="4" t="s">
        <v>1069</v>
      </c>
      <c r="R1" s="7" t="s">
        <v>1070</v>
      </c>
      <c r="S1" s="5" t="s">
        <v>1071</v>
      </c>
      <c r="T1" s="5" t="s">
        <v>1072</v>
      </c>
      <c r="U1" s="7" t="s">
        <v>1073</v>
      </c>
      <c r="V1" s="6" t="s">
        <v>1074</v>
      </c>
      <c r="W1" s="6" t="s">
        <v>1075</v>
      </c>
      <c r="X1" s="7" t="s">
        <v>1076</v>
      </c>
      <c r="Y1" s="9" t="s">
        <v>1077</v>
      </c>
      <c r="Z1" s="11"/>
    </row>
    <row r="2">
      <c r="A2" s="2" t="s">
        <v>1078</v>
      </c>
      <c r="B2" s="141"/>
      <c r="C2" s="142" t="s">
        <v>1083</v>
      </c>
      <c r="D2" s="32"/>
      <c r="E2" s="32"/>
      <c r="F2" s="142" t="s">
        <v>1084</v>
      </c>
      <c r="G2" s="32"/>
      <c r="H2" s="32"/>
      <c r="I2" s="142" t="s">
        <v>1085</v>
      </c>
      <c r="J2" s="32"/>
      <c r="K2" s="32"/>
      <c r="L2" s="143"/>
      <c r="M2" s="143"/>
      <c r="N2" s="143"/>
      <c r="O2" s="32"/>
      <c r="P2" s="32"/>
      <c r="Q2" s="32"/>
      <c r="R2" s="32"/>
      <c r="S2" s="32"/>
      <c r="T2" s="32"/>
      <c r="U2" s="32"/>
      <c r="V2" s="32"/>
      <c r="W2" s="32"/>
      <c r="X2" s="32"/>
      <c r="Y2" s="144"/>
      <c r="Z2" s="20" t="str">
        <f>AVERAGE(B3:Y3)</f>
        <v>#DIV/0!</v>
      </c>
    </row>
    <row r="3">
      <c r="B3" s="51"/>
      <c r="C3" s="70"/>
      <c r="D3" s="70"/>
      <c r="E3" s="70"/>
      <c r="F3" s="70"/>
      <c r="G3" s="70"/>
      <c r="H3" s="70"/>
      <c r="I3" s="70"/>
      <c r="J3" s="70"/>
      <c r="K3" s="70"/>
      <c r="L3" s="52"/>
      <c r="M3" s="52"/>
      <c r="N3" s="52"/>
      <c r="O3" s="70"/>
      <c r="P3" s="70"/>
      <c r="Q3" s="70"/>
      <c r="R3" s="70"/>
      <c r="S3" s="70"/>
      <c r="T3" s="70"/>
      <c r="U3" s="70"/>
      <c r="V3" s="70"/>
      <c r="W3" s="70"/>
      <c r="X3" s="70"/>
      <c r="Y3" s="54"/>
    </row>
    <row r="4">
      <c r="A4" s="3" t="s">
        <v>1055</v>
      </c>
      <c r="B4" s="145" t="s">
        <v>1112</v>
      </c>
      <c r="C4" s="143"/>
      <c r="D4" s="142" t="s">
        <v>1113</v>
      </c>
      <c r="E4" s="142" t="s">
        <v>1114</v>
      </c>
      <c r="F4" s="143"/>
      <c r="G4" s="142" t="s">
        <v>1115</v>
      </c>
      <c r="H4" s="142" t="s">
        <v>1116</v>
      </c>
      <c r="I4" s="143"/>
      <c r="J4" s="142" t="s">
        <v>1117</v>
      </c>
      <c r="K4" s="142" t="s">
        <v>1118</v>
      </c>
      <c r="L4" s="143"/>
      <c r="M4" s="142" t="s">
        <v>1119</v>
      </c>
      <c r="N4" s="142" t="s">
        <v>1120</v>
      </c>
      <c r="O4" s="142" t="s">
        <v>1121</v>
      </c>
      <c r="P4" s="142" t="s">
        <v>1122</v>
      </c>
      <c r="Q4" s="142" t="s">
        <v>1123</v>
      </c>
      <c r="R4" s="142" t="s">
        <v>1124</v>
      </c>
      <c r="S4" s="142" t="s">
        <v>1125</v>
      </c>
      <c r="T4" s="142" t="s">
        <v>1126</v>
      </c>
      <c r="U4" s="142" t="s">
        <v>1127</v>
      </c>
      <c r="V4" s="142" t="s">
        <v>1128</v>
      </c>
      <c r="W4" s="142" t="s">
        <v>1129</v>
      </c>
      <c r="X4" s="142" t="s">
        <v>1130</v>
      </c>
      <c r="Y4" s="146" t="s">
        <v>1131</v>
      </c>
      <c r="Z4" s="20" t="str">
        <f>AVERAGE(B5:Y5)</f>
        <v>#DIV/0!</v>
      </c>
    </row>
    <row r="5">
      <c r="B5" s="147"/>
      <c r="C5" s="52"/>
      <c r="D5" s="70"/>
      <c r="E5" s="70"/>
      <c r="F5" s="52"/>
      <c r="G5" s="70"/>
      <c r="H5" s="70"/>
      <c r="I5" s="52"/>
      <c r="J5" s="70"/>
      <c r="K5" s="70"/>
      <c r="L5" s="52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3"/>
    </row>
    <row r="6">
      <c r="A6" s="4" t="s">
        <v>1056</v>
      </c>
      <c r="B6" s="148"/>
      <c r="C6" s="142" t="s">
        <v>1132</v>
      </c>
      <c r="D6" s="143"/>
      <c r="E6" s="143"/>
      <c r="F6" s="142" t="s">
        <v>1133</v>
      </c>
      <c r="G6" s="32"/>
      <c r="H6" s="32"/>
      <c r="I6" s="142" t="s">
        <v>1134</v>
      </c>
      <c r="J6" s="32"/>
      <c r="K6" s="32"/>
      <c r="L6" s="143"/>
      <c r="M6" s="32"/>
      <c r="N6" s="32"/>
      <c r="O6" s="32"/>
      <c r="P6" s="143"/>
      <c r="Q6" s="143"/>
      <c r="R6" s="32"/>
      <c r="S6" s="32"/>
      <c r="T6" s="32"/>
      <c r="U6" s="32"/>
      <c r="V6" s="32"/>
      <c r="W6" s="32"/>
      <c r="X6" s="32"/>
      <c r="Y6" s="35"/>
      <c r="Z6" s="20" t="str">
        <f>AVERAGE(B7:Y7)</f>
        <v>#DIV/0!</v>
      </c>
    </row>
    <row r="7">
      <c r="B7" s="147"/>
      <c r="C7" s="70"/>
      <c r="D7" s="52"/>
      <c r="E7" s="52"/>
      <c r="F7" s="70"/>
      <c r="G7" s="70"/>
      <c r="H7" s="70"/>
      <c r="I7" s="70"/>
      <c r="J7" s="70"/>
      <c r="K7" s="70"/>
      <c r="L7" s="52"/>
      <c r="M7" s="70"/>
      <c r="N7" s="70"/>
      <c r="O7" s="70"/>
      <c r="P7" s="52"/>
      <c r="Q7" s="52"/>
      <c r="R7" s="70"/>
      <c r="S7" s="70"/>
      <c r="T7" s="70"/>
      <c r="U7" s="70"/>
      <c r="V7" s="70"/>
      <c r="W7" s="70"/>
      <c r="X7" s="70"/>
      <c r="Y7" s="73"/>
    </row>
    <row r="8">
      <c r="A8" s="4" t="s">
        <v>1057</v>
      </c>
      <c r="B8" s="148"/>
      <c r="C8" s="142" t="s">
        <v>1136</v>
      </c>
      <c r="D8" s="159"/>
      <c r="E8" s="143"/>
      <c r="F8" s="142" t="s">
        <v>1186</v>
      </c>
      <c r="G8" s="32"/>
      <c r="H8" s="32"/>
      <c r="I8" s="142" t="s">
        <v>1187</v>
      </c>
      <c r="J8" s="32"/>
      <c r="K8" s="32"/>
      <c r="L8" s="143"/>
      <c r="M8" s="32"/>
      <c r="N8" s="32"/>
      <c r="O8" s="32"/>
      <c r="P8" s="143"/>
      <c r="Q8" s="143"/>
      <c r="R8" s="32"/>
      <c r="S8" s="32"/>
      <c r="T8" s="32"/>
      <c r="U8" s="32"/>
      <c r="V8" s="32"/>
      <c r="W8" s="32"/>
      <c r="X8" s="32"/>
      <c r="Y8" s="35"/>
      <c r="Z8" s="20" t="str">
        <f>AVERAGE(B9:Y9)</f>
        <v>#DIV/0!</v>
      </c>
    </row>
    <row r="9">
      <c r="B9" s="150"/>
      <c r="C9" s="70"/>
      <c r="D9" s="52"/>
      <c r="E9" s="52"/>
      <c r="F9" s="70"/>
      <c r="G9" s="70"/>
      <c r="H9" s="70"/>
      <c r="I9" s="70"/>
      <c r="J9" s="70"/>
      <c r="K9" s="70"/>
      <c r="L9" s="52"/>
      <c r="M9" s="70"/>
      <c r="N9" s="70"/>
      <c r="O9" s="70"/>
      <c r="P9" s="52"/>
      <c r="Q9" s="52"/>
      <c r="R9" s="70"/>
      <c r="S9" s="70"/>
      <c r="T9" s="70"/>
      <c r="U9" s="70"/>
      <c r="V9" s="70"/>
      <c r="W9" s="70"/>
      <c r="X9" s="70"/>
      <c r="Y9" s="73"/>
    </row>
    <row r="10">
      <c r="A10" s="3" t="s">
        <v>1188</v>
      </c>
      <c r="B10" s="145" t="s">
        <v>1189</v>
      </c>
      <c r="C10" s="143"/>
      <c r="D10" s="142" t="s">
        <v>1190</v>
      </c>
      <c r="E10" s="142" t="s">
        <v>1191</v>
      </c>
      <c r="F10" s="143"/>
      <c r="G10" s="142" t="s">
        <v>1192</v>
      </c>
      <c r="H10" s="142" t="s">
        <v>1193</v>
      </c>
      <c r="I10" s="143"/>
      <c r="J10" s="142" t="s">
        <v>1194</v>
      </c>
      <c r="K10" s="142" t="s">
        <v>1195</v>
      </c>
      <c r="L10" s="143"/>
      <c r="M10" s="142" t="s">
        <v>1196</v>
      </c>
      <c r="N10" s="142" t="s">
        <v>1197</v>
      </c>
      <c r="O10" s="142" t="s">
        <v>1198</v>
      </c>
      <c r="P10" s="142" t="s">
        <v>1199</v>
      </c>
      <c r="Q10" s="142" t="s">
        <v>1200</v>
      </c>
      <c r="R10" s="142" t="s">
        <v>1201</v>
      </c>
      <c r="S10" s="142" t="s">
        <v>1202</v>
      </c>
      <c r="T10" s="142" t="s">
        <v>1203</v>
      </c>
      <c r="U10" s="142" t="s">
        <v>1204</v>
      </c>
      <c r="V10" s="142" t="s">
        <v>1205</v>
      </c>
      <c r="W10" s="142" t="s">
        <v>1206</v>
      </c>
      <c r="X10" s="142" t="s">
        <v>1207</v>
      </c>
      <c r="Y10" s="146" t="s">
        <v>1208</v>
      </c>
      <c r="Z10" s="20" t="str">
        <f>AVERAGE(B11:Y11)</f>
        <v>#DIV/0!</v>
      </c>
    </row>
    <row r="11">
      <c r="B11" s="150"/>
      <c r="C11" s="52"/>
      <c r="D11" s="70"/>
      <c r="E11" s="70"/>
      <c r="F11" s="52"/>
      <c r="G11" s="70"/>
      <c r="H11" s="70"/>
      <c r="I11" s="52"/>
      <c r="J11" s="70"/>
      <c r="K11" s="70"/>
      <c r="L11" s="52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3"/>
    </row>
    <row r="12">
      <c r="A12" s="5" t="s">
        <v>1059</v>
      </c>
      <c r="B12" s="148"/>
      <c r="C12" s="142" t="s">
        <v>1209</v>
      </c>
      <c r="D12" s="32"/>
      <c r="E12" s="32"/>
      <c r="F12" s="142" t="s">
        <v>1210</v>
      </c>
      <c r="G12" s="143"/>
      <c r="H12" s="143"/>
      <c r="I12" s="142" t="s">
        <v>1211</v>
      </c>
      <c r="J12" s="32"/>
      <c r="K12" s="32"/>
      <c r="L12" s="143"/>
      <c r="M12" s="32"/>
      <c r="N12" s="32"/>
      <c r="O12" s="32"/>
      <c r="P12" s="32"/>
      <c r="Q12" s="32"/>
      <c r="R12" s="32"/>
      <c r="S12" s="143"/>
      <c r="T12" s="143"/>
      <c r="U12" s="32"/>
      <c r="V12" s="32"/>
      <c r="W12" s="32"/>
      <c r="X12" s="32"/>
      <c r="Y12" s="35"/>
      <c r="Z12" s="20" t="str">
        <f>AVERAGE(B13:Y13)</f>
        <v>#DIV/0!</v>
      </c>
    </row>
    <row r="13">
      <c r="B13" s="150"/>
      <c r="C13" s="70"/>
      <c r="D13" s="70"/>
      <c r="E13" s="70"/>
      <c r="F13" s="70"/>
      <c r="G13" s="52"/>
      <c r="H13" s="52"/>
      <c r="I13" s="70"/>
      <c r="J13" s="70"/>
      <c r="K13" s="70"/>
      <c r="L13" s="52"/>
      <c r="M13" s="70"/>
      <c r="N13" s="70"/>
      <c r="O13" s="70"/>
      <c r="P13" s="70"/>
      <c r="Q13" s="70"/>
      <c r="R13" s="70"/>
      <c r="S13" s="52"/>
      <c r="T13" s="52"/>
      <c r="U13" s="70"/>
      <c r="V13" s="70"/>
      <c r="W13" s="70"/>
      <c r="X13" s="70"/>
      <c r="Y13" s="73"/>
    </row>
    <row r="14">
      <c r="A14" s="5" t="s">
        <v>1060</v>
      </c>
      <c r="B14" s="148"/>
      <c r="C14" s="142" t="s">
        <v>1212</v>
      </c>
      <c r="D14" s="32"/>
      <c r="E14" s="32"/>
      <c r="F14" s="142" t="s">
        <v>1193</v>
      </c>
      <c r="G14" s="143"/>
      <c r="H14" s="143"/>
      <c r="I14" s="142" t="s">
        <v>1213</v>
      </c>
      <c r="J14" s="32"/>
      <c r="K14" s="32"/>
      <c r="L14" s="143"/>
      <c r="M14" s="32"/>
      <c r="N14" s="32"/>
      <c r="O14" s="32"/>
      <c r="P14" s="32"/>
      <c r="Q14" s="32"/>
      <c r="R14" s="32"/>
      <c r="S14" s="143"/>
      <c r="T14" s="143"/>
      <c r="U14" s="32"/>
      <c r="V14" s="32"/>
      <c r="W14" s="32"/>
      <c r="X14" s="32"/>
      <c r="Y14" s="35"/>
      <c r="Z14" s="20" t="str">
        <f>AVERAGE(B15:Y15)</f>
        <v>#DIV/0!</v>
      </c>
    </row>
    <row r="15">
      <c r="B15" s="150"/>
      <c r="C15" s="70"/>
      <c r="D15" s="70"/>
      <c r="E15" s="70"/>
      <c r="F15" s="70"/>
      <c r="G15" s="52"/>
      <c r="H15" s="52"/>
      <c r="I15" s="70"/>
      <c r="J15" s="70"/>
      <c r="K15" s="70"/>
      <c r="L15" s="52"/>
      <c r="M15" s="70"/>
      <c r="N15" s="70"/>
      <c r="O15" s="70"/>
      <c r="P15" s="70"/>
      <c r="Q15" s="70"/>
      <c r="R15" s="70"/>
      <c r="S15" s="52"/>
      <c r="T15" s="52"/>
      <c r="U15" s="70"/>
      <c r="V15" s="70"/>
      <c r="W15" s="70"/>
      <c r="X15" s="70"/>
      <c r="Y15" s="73"/>
    </row>
    <row r="16">
      <c r="A16" s="3" t="s">
        <v>1061</v>
      </c>
      <c r="B16" s="145" t="s">
        <v>1214</v>
      </c>
      <c r="C16" s="143"/>
      <c r="D16" s="142" t="s">
        <v>1215</v>
      </c>
      <c r="E16" s="142" t="s">
        <v>1216</v>
      </c>
      <c r="F16" s="143"/>
      <c r="G16" s="142" t="s">
        <v>1217</v>
      </c>
      <c r="H16" s="142" t="s">
        <v>1218</v>
      </c>
      <c r="I16" s="143"/>
      <c r="J16" s="142" t="s">
        <v>1219</v>
      </c>
      <c r="K16" s="142" t="s">
        <v>1216</v>
      </c>
      <c r="L16" s="143"/>
      <c r="M16" s="142" t="s">
        <v>1220</v>
      </c>
      <c r="N16" s="142" t="s">
        <v>1221</v>
      </c>
      <c r="O16" s="142" t="s">
        <v>1222</v>
      </c>
      <c r="P16" s="142" t="s">
        <v>1223</v>
      </c>
      <c r="Q16" s="142" t="s">
        <v>1224</v>
      </c>
      <c r="R16" s="142" t="s">
        <v>1225</v>
      </c>
      <c r="S16" s="142" t="s">
        <v>1226</v>
      </c>
      <c r="T16" s="142" t="s">
        <v>1227</v>
      </c>
      <c r="U16" s="142" t="s">
        <v>1228</v>
      </c>
      <c r="V16" s="142" t="s">
        <v>1229</v>
      </c>
      <c r="W16" s="142" t="s">
        <v>1230</v>
      </c>
      <c r="X16" s="142" t="s">
        <v>1231</v>
      </c>
      <c r="Y16" s="146" t="s">
        <v>1232</v>
      </c>
      <c r="Z16" s="20" t="str">
        <f>AVERAGE(B17:Y17)</f>
        <v>#DIV/0!</v>
      </c>
    </row>
    <row r="17">
      <c r="B17" s="150"/>
      <c r="C17" s="52"/>
      <c r="D17" s="70"/>
      <c r="E17" s="70"/>
      <c r="F17" s="52"/>
      <c r="G17" s="70"/>
      <c r="H17" s="70"/>
      <c r="I17" s="52"/>
      <c r="J17" s="70"/>
      <c r="K17" s="70"/>
      <c r="L17" s="52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3"/>
    </row>
    <row r="18">
      <c r="A18" s="6" t="s">
        <v>1233</v>
      </c>
      <c r="B18" s="148"/>
      <c r="C18" s="142" t="s">
        <v>1234</v>
      </c>
      <c r="D18" s="32"/>
      <c r="E18" s="32"/>
      <c r="F18" s="142" t="s">
        <v>1235</v>
      </c>
      <c r="G18" s="32"/>
      <c r="H18" s="32"/>
      <c r="I18" s="142" t="s">
        <v>1237</v>
      </c>
      <c r="J18" s="143"/>
      <c r="K18" s="143"/>
      <c r="L18" s="143"/>
      <c r="M18" s="32"/>
      <c r="N18" s="32"/>
      <c r="O18" s="32"/>
      <c r="P18" s="32"/>
      <c r="Q18" s="32"/>
      <c r="R18" s="32"/>
      <c r="S18" s="32"/>
      <c r="T18" s="32"/>
      <c r="U18" s="32"/>
      <c r="V18" s="143"/>
      <c r="W18" s="143"/>
      <c r="X18" s="32"/>
      <c r="Y18" s="35"/>
      <c r="Z18" s="20" t="str">
        <f>AVERAGE(B19:Y19)</f>
        <v>#DIV/0!</v>
      </c>
    </row>
    <row r="19">
      <c r="B19" s="150"/>
      <c r="C19" s="70"/>
      <c r="D19" s="70"/>
      <c r="E19" s="70"/>
      <c r="F19" s="70"/>
      <c r="G19" s="70"/>
      <c r="H19" s="70"/>
      <c r="I19" s="70"/>
      <c r="J19" s="52"/>
      <c r="K19" s="52"/>
      <c r="L19" s="52"/>
      <c r="M19" s="70"/>
      <c r="N19" s="70"/>
      <c r="O19" s="70"/>
      <c r="P19" s="70"/>
      <c r="Q19" s="70"/>
      <c r="R19" s="70"/>
      <c r="S19" s="70"/>
      <c r="T19" s="70"/>
      <c r="U19" s="70"/>
      <c r="V19" s="52"/>
      <c r="W19" s="52"/>
      <c r="X19" s="70"/>
      <c r="Y19" s="73"/>
    </row>
    <row r="20">
      <c r="A20" s="6" t="s">
        <v>1063</v>
      </c>
      <c r="B20" s="148"/>
      <c r="C20" s="142" t="s">
        <v>1241</v>
      </c>
      <c r="D20" s="32"/>
      <c r="E20" s="32"/>
      <c r="F20" s="142" t="s">
        <v>1242</v>
      </c>
      <c r="G20" s="32"/>
      <c r="H20" s="32"/>
      <c r="I20" s="142" t="s">
        <v>1187</v>
      </c>
      <c r="J20" s="143"/>
      <c r="K20" s="143"/>
      <c r="L20" s="143"/>
      <c r="M20" s="32"/>
      <c r="N20" s="32"/>
      <c r="O20" s="32"/>
      <c r="P20" s="32"/>
      <c r="Q20" s="32"/>
      <c r="R20" s="32"/>
      <c r="S20" s="32"/>
      <c r="T20" s="32"/>
      <c r="U20" s="32"/>
      <c r="V20" s="143"/>
      <c r="W20" s="143"/>
      <c r="X20" s="32"/>
      <c r="Y20" s="35"/>
      <c r="Z20" s="20" t="str">
        <f>AVERAGE(B21:Y21)</f>
        <v>#DIV/0!</v>
      </c>
    </row>
    <row r="21">
      <c r="B21" s="150"/>
      <c r="C21" s="70"/>
      <c r="D21" s="70"/>
      <c r="E21" s="70"/>
      <c r="F21" s="70"/>
      <c r="G21" s="70"/>
      <c r="H21" s="70"/>
      <c r="I21" s="70"/>
      <c r="J21" s="52"/>
      <c r="K21" s="52"/>
      <c r="L21" s="52"/>
      <c r="M21" s="70"/>
      <c r="N21" s="70"/>
      <c r="O21" s="70"/>
      <c r="P21" s="70"/>
      <c r="Q21" s="70"/>
      <c r="R21" s="70"/>
      <c r="S21" s="70"/>
      <c r="T21" s="70"/>
      <c r="U21" s="70"/>
      <c r="V21" s="52"/>
      <c r="W21" s="52"/>
      <c r="X21" s="70"/>
      <c r="Y21" s="73"/>
    </row>
    <row r="22">
      <c r="A22" s="3" t="s">
        <v>1064</v>
      </c>
      <c r="B22" s="141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4"/>
      <c r="Z22" s="20"/>
    </row>
    <row r="23"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4"/>
    </row>
    <row r="24">
      <c r="A24" s="2" t="s">
        <v>1065</v>
      </c>
      <c r="B24" s="141"/>
      <c r="C24" s="142" t="s">
        <v>1264</v>
      </c>
      <c r="D24" s="32"/>
      <c r="E24" s="32"/>
      <c r="F24" s="142" t="s">
        <v>1265</v>
      </c>
      <c r="G24" s="32"/>
      <c r="H24" s="32"/>
      <c r="I24" s="142" t="s">
        <v>1220</v>
      </c>
      <c r="J24" s="32"/>
      <c r="K24" s="32"/>
      <c r="L24" s="143"/>
      <c r="M24" s="143"/>
      <c r="N24" s="143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144"/>
      <c r="Z24" s="20" t="str">
        <f>AVERAGE(B25:Y25)</f>
        <v>#DIV/0!</v>
      </c>
    </row>
    <row r="25">
      <c r="B25" s="51"/>
      <c r="C25" s="70"/>
      <c r="D25" s="70"/>
      <c r="E25" s="70"/>
      <c r="F25" s="70"/>
      <c r="G25" s="70"/>
      <c r="H25" s="70"/>
      <c r="I25" s="70"/>
      <c r="J25" s="70"/>
      <c r="K25" s="70"/>
      <c r="L25" s="52"/>
      <c r="M25" s="52"/>
      <c r="N25" s="52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54"/>
    </row>
    <row r="26">
      <c r="A26" s="2" t="s">
        <v>1066</v>
      </c>
      <c r="B26" s="141"/>
      <c r="C26" s="142" t="s">
        <v>1266</v>
      </c>
      <c r="D26" s="32"/>
      <c r="E26" s="32"/>
      <c r="F26" s="142" t="s">
        <v>1267</v>
      </c>
      <c r="G26" s="32"/>
      <c r="H26" s="32"/>
      <c r="I26" s="142" t="s">
        <v>1221</v>
      </c>
      <c r="J26" s="32"/>
      <c r="K26" s="32"/>
      <c r="L26" s="143"/>
      <c r="M26" s="143"/>
      <c r="N26" s="143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144"/>
      <c r="Z26" s="20" t="str">
        <f>AVERAGE(B27:Y27)</f>
        <v>#DIV/0!</v>
      </c>
    </row>
    <row r="27">
      <c r="B27" s="51"/>
      <c r="C27" s="70"/>
      <c r="D27" s="70"/>
      <c r="E27" s="70"/>
      <c r="F27" s="70"/>
      <c r="G27" s="70"/>
      <c r="H27" s="70"/>
      <c r="I27" s="70"/>
      <c r="J27" s="70"/>
      <c r="K27" s="70"/>
      <c r="L27" s="52"/>
      <c r="M27" s="52"/>
      <c r="N27" s="52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54"/>
    </row>
    <row r="28">
      <c r="A28" s="7" t="s">
        <v>1067</v>
      </c>
      <c r="B28" s="148"/>
      <c r="C28" s="142" t="s">
        <v>1121</v>
      </c>
      <c r="D28" s="32"/>
      <c r="E28" s="32"/>
      <c r="F28" s="142" t="s">
        <v>1268</v>
      </c>
      <c r="G28" s="32"/>
      <c r="H28" s="32"/>
      <c r="I28" s="142" t="s">
        <v>1222</v>
      </c>
      <c r="J28" s="32"/>
      <c r="K28" s="32"/>
      <c r="L28" s="143"/>
      <c r="M28" s="32"/>
      <c r="N28" s="32"/>
      <c r="O28" s="143"/>
      <c r="P28" s="32"/>
      <c r="Q28" s="32"/>
      <c r="R28" s="143"/>
      <c r="S28" s="32"/>
      <c r="T28" s="32"/>
      <c r="U28" s="143"/>
      <c r="V28" s="32"/>
      <c r="W28" s="32"/>
      <c r="X28" s="143"/>
      <c r="Y28" s="35"/>
      <c r="Z28" s="20" t="str">
        <f>AVERAGE(B29:Y29)</f>
        <v>#DIV/0!</v>
      </c>
    </row>
    <row r="29">
      <c r="B29" s="150"/>
      <c r="C29" s="70"/>
      <c r="D29" s="70"/>
      <c r="E29" s="70"/>
      <c r="F29" s="70"/>
      <c r="G29" s="70"/>
      <c r="H29" s="70"/>
      <c r="I29" s="70"/>
      <c r="J29" s="70"/>
      <c r="K29" s="70"/>
      <c r="L29" s="52"/>
      <c r="M29" s="70"/>
      <c r="N29" s="70"/>
      <c r="O29" s="52"/>
      <c r="P29" s="70"/>
      <c r="Q29" s="70"/>
      <c r="R29" s="52"/>
      <c r="S29" s="70"/>
      <c r="T29" s="70"/>
      <c r="U29" s="52"/>
      <c r="V29" s="70"/>
      <c r="W29" s="70"/>
      <c r="X29" s="52"/>
      <c r="Y29" s="73"/>
    </row>
    <row r="30">
      <c r="A30" s="4" t="s">
        <v>1269</v>
      </c>
      <c r="B30" s="148"/>
      <c r="C30" s="142" t="s">
        <v>1270</v>
      </c>
      <c r="D30" s="143"/>
      <c r="E30" s="143"/>
      <c r="F30" s="142" t="s">
        <v>1271</v>
      </c>
      <c r="G30" s="32"/>
      <c r="H30" s="32"/>
      <c r="I30" s="142" t="s">
        <v>1272</v>
      </c>
      <c r="J30" s="32"/>
      <c r="K30" s="32"/>
      <c r="L30" s="143"/>
      <c r="M30" s="32"/>
      <c r="N30" s="32"/>
      <c r="O30" s="32"/>
      <c r="P30" s="143"/>
      <c r="Q30" s="143"/>
      <c r="R30" s="32"/>
      <c r="S30" s="32"/>
      <c r="T30" s="32"/>
      <c r="U30" s="32"/>
      <c r="V30" s="32"/>
      <c r="W30" s="32"/>
      <c r="X30" s="32"/>
      <c r="Y30" s="35"/>
      <c r="Z30" s="20" t="str">
        <f>AVERAGE(B31:Y31)</f>
        <v>#DIV/0!</v>
      </c>
    </row>
    <row r="31">
      <c r="B31" s="150"/>
      <c r="C31" s="70"/>
      <c r="D31" s="52"/>
      <c r="E31" s="52"/>
      <c r="F31" s="70"/>
      <c r="G31" s="70"/>
      <c r="H31" s="70"/>
      <c r="I31" s="70"/>
      <c r="J31" s="70"/>
      <c r="K31" s="70"/>
      <c r="L31" s="52"/>
      <c r="M31" s="70"/>
      <c r="N31" s="70"/>
      <c r="O31" s="70"/>
      <c r="P31" s="52"/>
      <c r="Q31" s="52"/>
      <c r="R31" s="70"/>
      <c r="S31" s="70"/>
      <c r="T31" s="70"/>
      <c r="U31" s="70"/>
      <c r="V31" s="70"/>
      <c r="W31" s="70"/>
      <c r="X31" s="70"/>
      <c r="Y31" s="73"/>
    </row>
    <row r="32">
      <c r="A32" s="4" t="s">
        <v>1069</v>
      </c>
      <c r="B32" s="148"/>
      <c r="C32" s="142" t="s">
        <v>1274</v>
      </c>
      <c r="D32" s="143"/>
      <c r="E32" s="143"/>
      <c r="F32" s="142" t="s">
        <v>1275</v>
      </c>
      <c r="G32" s="32"/>
      <c r="H32" s="32"/>
      <c r="I32" s="142" t="s">
        <v>1276</v>
      </c>
      <c r="J32" s="32"/>
      <c r="K32" s="32"/>
      <c r="L32" s="143"/>
      <c r="M32" s="32"/>
      <c r="N32" s="32"/>
      <c r="O32" s="32"/>
      <c r="P32" s="143"/>
      <c r="Q32" s="143"/>
      <c r="R32" s="32"/>
      <c r="S32" s="32"/>
      <c r="T32" s="32"/>
      <c r="U32" s="32"/>
      <c r="V32" s="32"/>
      <c r="W32" s="32"/>
      <c r="X32" s="32"/>
      <c r="Y32" s="35"/>
      <c r="Z32" s="20" t="str">
        <f>AVERAGE(B33:Y33)</f>
        <v>#DIV/0!</v>
      </c>
    </row>
    <row r="33">
      <c r="B33" s="150"/>
      <c r="C33" s="70"/>
      <c r="D33" s="52"/>
      <c r="E33" s="52"/>
      <c r="F33" s="70"/>
      <c r="G33" s="70"/>
      <c r="H33" s="70"/>
      <c r="I33" s="70"/>
      <c r="J33" s="70"/>
      <c r="K33" s="70"/>
      <c r="L33" s="52"/>
      <c r="M33" s="70"/>
      <c r="N33" s="70"/>
      <c r="O33" s="70"/>
      <c r="P33" s="52"/>
      <c r="Q33" s="52"/>
      <c r="R33" s="70"/>
      <c r="S33" s="70"/>
      <c r="T33" s="70"/>
      <c r="U33" s="70"/>
      <c r="V33" s="70"/>
      <c r="W33" s="70"/>
      <c r="X33" s="70"/>
      <c r="Y33" s="73"/>
    </row>
    <row r="34">
      <c r="A34" s="7" t="s">
        <v>1070</v>
      </c>
      <c r="B34" s="148"/>
      <c r="C34" s="142" t="s">
        <v>1124</v>
      </c>
      <c r="D34" s="32"/>
      <c r="E34" s="32"/>
      <c r="F34" s="142" t="s">
        <v>1201</v>
      </c>
      <c r="G34" s="32"/>
      <c r="H34" s="32"/>
      <c r="I34" s="142" t="s">
        <v>1225</v>
      </c>
      <c r="J34" s="32"/>
      <c r="K34" s="32"/>
      <c r="L34" s="143"/>
      <c r="M34" s="32"/>
      <c r="N34" s="32"/>
      <c r="O34" s="143"/>
      <c r="P34" s="32"/>
      <c r="Q34" s="32"/>
      <c r="R34" s="143"/>
      <c r="S34" s="32"/>
      <c r="T34" s="32"/>
      <c r="U34" s="143"/>
      <c r="V34" s="32"/>
      <c r="W34" s="32"/>
      <c r="X34" s="143"/>
      <c r="Y34" s="35"/>
      <c r="Z34" s="20" t="str">
        <f>AVERAGE(B35:Y35)</f>
        <v>#DIV/0!</v>
      </c>
    </row>
    <row r="35">
      <c r="B35" s="150"/>
      <c r="C35" s="70"/>
      <c r="D35" s="70"/>
      <c r="E35" s="70"/>
      <c r="F35" s="70"/>
      <c r="G35" s="70"/>
      <c r="H35" s="70"/>
      <c r="I35" s="70"/>
      <c r="J35" s="70"/>
      <c r="K35" s="70"/>
      <c r="L35" s="52"/>
      <c r="M35" s="70"/>
      <c r="N35" s="70"/>
      <c r="O35" s="52"/>
      <c r="P35" s="70"/>
      <c r="Q35" s="70"/>
      <c r="R35" s="52"/>
      <c r="S35" s="70"/>
      <c r="T35" s="70"/>
      <c r="U35" s="52"/>
      <c r="V35" s="70"/>
      <c r="W35" s="70"/>
      <c r="X35" s="52"/>
      <c r="Y35" s="73"/>
    </row>
    <row r="36">
      <c r="A36" s="5" t="s">
        <v>1071</v>
      </c>
      <c r="B36" s="148"/>
      <c r="C36" s="142" t="s">
        <v>1279</v>
      </c>
      <c r="D36" s="32"/>
      <c r="E36" s="32"/>
      <c r="F36" s="142" t="s">
        <v>1280</v>
      </c>
      <c r="G36" s="143"/>
      <c r="H36" s="143"/>
      <c r="I36" s="142" t="s">
        <v>1226</v>
      </c>
      <c r="J36" s="32"/>
      <c r="K36" s="32"/>
      <c r="L36" s="143"/>
      <c r="M36" s="32"/>
      <c r="N36" s="32"/>
      <c r="O36" s="32"/>
      <c r="P36" s="32"/>
      <c r="Q36" s="32"/>
      <c r="R36" s="32"/>
      <c r="S36" s="143"/>
      <c r="T36" s="143"/>
      <c r="U36" s="32"/>
      <c r="V36" s="32"/>
      <c r="W36" s="32"/>
      <c r="X36" s="32"/>
      <c r="Y36" s="35"/>
      <c r="Z36" s="20" t="str">
        <f>AVERAGE(B37:Y37)</f>
        <v>#DIV/0!</v>
      </c>
    </row>
    <row r="37">
      <c r="B37" s="150"/>
      <c r="C37" s="70"/>
      <c r="D37" s="70"/>
      <c r="E37" s="70"/>
      <c r="F37" s="70"/>
      <c r="G37" s="52"/>
      <c r="H37" s="52"/>
      <c r="I37" s="70"/>
      <c r="J37" s="70"/>
      <c r="K37" s="70"/>
      <c r="L37" s="52"/>
      <c r="M37" s="70"/>
      <c r="N37" s="70"/>
      <c r="O37" s="70"/>
      <c r="P37" s="70"/>
      <c r="Q37" s="70"/>
      <c r="R37" s="70"/>
      <c r="S37" s="52"/>
      <c r="T37" s="52"/>
      <c r="U37" s="70"/>
      <c r="V37" s="70"/>
      <c r="W37" s="70"/>
      <c r="X37" s="70"/>
      <c r="Y37" s="73"/>
    </row>
    <row r="38">
      <c r="A38" s="5" t="s">
        <v>1072</v>
      </c>
      <c r="B38" s="148"/>
      <c r="C38" s="142" t="s">
        <v>1281</v>
      </c>
      <c r="D38" s="32"/>
      <c r="E38" s="142"/>
      <c r="F38" s="142" t="s">
        <v>1203</v>
      </c>
      <c r="G38" s="143"/>
      <c r="H38" s="143"/>
      <c r="I38" s="142" t="s">
        <v>1227</v>
      </c>
      <c r="J38" s="32"/>
      <c r="K38" s="32"/>
      <c r="L38" s="143"/>
      <c r="M38" s="32"/>
      <c r="N38" s="32"/>
      <c r="O38" s="32"/>
      <c r="P38" s="32"/>
      <c r="Q38" s="32"/>
      <c r="R38" s="32"/>
      <c r="S38" s="143"/>
      <c r="T38" s="143"/>
      <c r="U38" s="32"/>
      <c r="V38" s="32"/>
      <c r="W38" s="32"/>
      <c r="X38" s="32"/>
      <c r="Y38" s="35"/>
      <c r="Z38" s="20" t="str">
        <f>AVERAGE(B39:Y39)</f>
        <v>#DIV/0!</v>
      </c>
    </row>
    <row r="39">
      <c r="B39" s="150"/>
      <c r="C39" s="70"/>
      <c r="D39" s="70"/>
      <c r="E39" s="71"/>
      <c r="F39" s="70"/>
      <c r="G39" s="52"/>
      <c r="H39" s="52"/>
      <c r="I39" s="70"/>
      <c r="J39" s="70"/>
      <c r="K39" s="70"/>
      <c r="L39" s="52"/>
      <c r="M39" s="70"/>
      <c r="N39" s="70"/>
      <c r="O39" s="70"/>
      <c r="P39" s="70"/>
      <c r="Q39" s="70"/>
      <c r="R39" s="70"/>
      <c r="S39" s="52"/>
      <c r="T39" s="52"/>
      <c r="U39" s="70"/>
      <c r="V39" s="70"/>
      <c r="W39" s="70"/>
      <c r="X39" s="70"/>
      <c r="Y39" s="73"/>
    </row>
    <row r="40">
      <c r="A40" s="7" t="s">
        <v>1073</v>
      </c>
      <c r="B40" s="148"/>
      <c r="C40" s="142" t="s">
        <v>1127</v>
      </c>
      <c r="D40" s="32"/>
      <c r="E40" s="32"/>
      <c r="F40" s="142" t="s">
        <v>1204</v>
      </c>
      <c r="G40" s="32"/>
      <c r="H40" s="32"/>
      <c r="I40" s="142" t="s">
        <v>1282</v>
      </c>
      <c r="J40" s="32"/>
      <c r="K40" s="32"/>
      <c r="L40" s="143"/>
      <c r="M40" s="32"/>
      <c r="N40" s="32"/>
      <c r="O40" s="143"/>
      <c r="P40" s="32"/>
      <c r="Q40" s="32"/>
      <c r="R40" s="143"/>
      <c r="S40" s="32"/>
      <c r="T40" s="32"/>
      <c r="U40" s="143"/>
      <c r="V40" s="32"/>
      <c r="W40" s="32"/>
      <c r="X40" s="143"/>
      <c r="Y40" s="35"/>
      <c r="Z40" s="20" t="str">
        <f>AVERAGE(B41:Y41)</f>
        <v>#DIV/0!</v>
      </c>
    </row>
    <row r="41">
      <c r="B41" s="150"/>
      <c r="C41" s="70"/>
      <c r="D41" s="70"/>
      <c r="E41" s="70"/>
      <c r="F41" s="70"/>
      <c r="G41" s="70"/>
      <c r="H41" s="70"/>
      <c r="I41" s="70"/>
      <c r="J41" s="70"/>
      <c r="K41" s="70"/>
      <c r="L41" s="52"/>
      <c r="M41" s="70"/>
      <c r="N41" s="70"/>
      <c r="O41" s="52"/>
      <c r="P41" s="70"/>
      <c r="Q41" s="70"/>
      <c r="R41" s="52"/>
      <c r="S41" s="70"/>
      <c r="T41" s="70"/>
      <c r="U41" s="52"/>
      <c r="V41" s="70"/>
      <c r="W41" s="70"/>
      <c r="X41" s="52"/>
      <c r="Y41" s="73"/>
    </row>
    <row r="42">
      <c r="A42" s="6" t="s">
        <v>1283</v>
      </c>
      <c r="B42" s="148"/>
      <c r="C42" s="142" t="s">
        <v>1284</v>
      </c>
      <c r="D42" s="32"/>
      <c r="E42" s="32"/>
      <c r="F42" s="142" t="s">
        <v>1285</v>
      </c>
      <c r="G42" s="32"/>
      <c r="H42" s="32"/>
      <c r="I42" s="142" t="s">
        <v>1286</v>
      </c>
      <c r="J42" s="143"/>
      <c r="K42" s="143"/>
      <c r="L42" s="143"/>
      <c r="M42" s="32"/>
      <c r="N42" s="32"/>
      <c r="O42" s="32"/>
      <c r="P42" s="32"/>
      <c r="Q42" s="32"/>
      <c r="R42" s="32"/>
      <c r="S42" s="32"/>
      <c r="T42" s="32"/>
      <c r="U42" s="32"/>
      <c r="V42" s="143"/>
      <c r="W42" s="143"/>
      <c r="X42" s="32"/>
      <c r="Y42" s="146"/>
      <c r="Z42" s="20" t="str">
        <f>AVERAGE(B43:Y43)</f>
        <v>#DIV/0!</v>
      </c>
    </row>
    <row r="43">
      <c r="B43" s="150"/>
      <c r="C43" s="70"/>
      <c r="D43" s="70"/>
      <c r="E43" s="70"/>
      <c r="F43" s="70"/>
      <c r="G43" s="70"/>
      <c r="H43" s="70"/>
      <c r="I43" s="70"/>
      <c r="J43" s="52"/>
      <c r="K43" s="52"/>
      <c r="L43" s="52"/>
      <c r="M43" s="70"/>
      <c r="N43" s="70"/>
      <c r="O43" s="70"/>
      <c r="P43" s="70"/>
      <c r="Q43" s="70"/>
      <c r="R43" s="70"/>
      <c r="S43" s="70"/>
      <c r="T43" s="70"/>
      <c r="U43" s="70"/>
      <c r="V43" s="52"/>
      <c r="W43" s="52"/>
      <c r="X43" s="70"/>
      <c r="Y43" s="88"/>
    </row>
    <row r="44">
      <c r="A44" s="6" t="s">
        <v>1075</v>
      </c>
      <c r="B44" s="148"/>
      <c r="C44" s="142" t="s">
        <v>1287</v>
      </c>
      <c r="D44" s="32"/>
      <c r="E44" s="32"/>
      <c r="F44" s="142" t="s">
        <v>1288</v>
      </c>
      <c r="G44" s="32"/>
      <c r="H44" s="32"/>
      <c r="I44" s="142" t="s">
        <v>1289</v>
      </c>
      <c r="J44" s="143"/>
      <c r="K44" s="143"/>
      <c r="L44" s="143"/>
      <c r="M44" s="32"/>
      <c r="N44" s="32"/>
      <c r="O44" s="32"/>
      <c r="P44" s="32"/>
      <c r="Q44" s="32"/>
      <c r="R44" s="32"/>
      <c r="S44" s="32"/>
      <c r="T44" s="32"/>
      <c r="U44" s="32"/>
      <c r="V44" s="143"/>
      <c r="W44" s="143"/>
      <c r="X44" s="32"/>
      <c r="Y44" s="35"/>
      <c r="Z44" s="20" t="str">
        <f>AVERAGE(B45:Y45)</f>
        <v>#DIV/0!</v>
      </c>
    </row>
    <row r="45">
      <c r="B45" s="150"/>
      <c r="C45" s="70"/>
      <c r="D45" s="70"/>
      <c r="E45" s="70"/>
      <c r="F45" s="70"/>
      <c r="G45" s="70"/>
      <c r="H45" s="70"/>
      <c r="I45" s="70"/>
      <c r="J45" s="52"/>
      <c r="K45" s="52"/>
      <c r="L45" s="52"/>
      <c r="M45" s="70"/>
      <c r="N45" s="70"/>
      <c r="O45" s="70"/>
      <c r="P45" s="70"/>
      <c r="Q45" s="70"/>
      <c r="R45" s="70"/>
      <c r="S45" s="70"/>
      <c r="T45" s="70"/>
      <c r="U45" s="70"/>
      <c r="V45" s="52"/>
      <c r="W45" s="52"/>
      <c r="X45" s="70"/>
      <c r="Y45" s="73"/>
    </row>
    <row r="46">
      <c r="A46" s="7" t="s">
        <v>1290</v>
      </c>
      <c r="B46" s="148"/>
      <c r="C46" s="142" t="s">
        <v>1130</v>
      </c>
      <c r="D46" s="32"/>
      <c r="E46" s="32"/>
      <c r="F46" s="142" t="s">
        <v>1207</v>
      </c>
      <c r="G46" s="32"/>
      <c r="H46" s="32"/>
      <c r="I46" s="142" t="s">
        <v>1231</v>
      </c>
      <c r="J46" s="32"/>
      <c r="K46" s="32"/>
      <c r="L46" s="143"/>
      <c r="M46" s="32"/>
      <c r="N46" s="32"/>
      <c r="O46" s="143"/>
      <c r="P46" s="32"/>
      <c r="Q46" s="32"/>
      <c r="R46" s="143"/>
      <c r="S46" s="32"/>
      <c r="T46" s="32"/>
      <c r="U46" s="143"/>
      <c r="V46" s="32"/>
      <c r="W46" s="32"/>
      <c r="X46" s="143"/>
      <c r="Y46" s="35"/>
      <c r="Z46" s="20" t="str">
        <f>AVERAGE(B47:Y47)</f>
        <v>#DIV/0!</v>
      </c>
    </row>
    <row r="47">
      <c r="B47" s="150"/>
      <c r="C47" s="70"/>
      <c r="D47" s="70"/>
      <c r="E47" s="70"/>
      <c r="F47" s="70"/>
      <c r="G47" s="70"/>
      <c r="H47" s="70"/>
      <c r="I47" s="70"/>
      <c r="J47" s="70"/>
      <c r="K47" s="70"/>
      <c r="L47" s="52"/>
      <c r="M47" s="70"/>
      <c r="N47" s="70"/>
      <c r="O47" s="52"/>
      <c r="P47" s="70"/>
      <c r="Q47" s="70"/>
      <c r="R47" s="52"/>
      <c r="S47" s="70"/>
      <c r="T47" s="70"/>
      <c r="U47" s="52"/>
      <c r="V47" s="70"/>
      <c r="W47" s="70"/>
      <c r="X47" s="52"/>
      <c r="Y47" s="73"/>
    </row>
    <row r="48">
      <c r="A48" s="2" t="s">
        <v>1291</v>
      </c>
      <c r="B48" s="141"/>
      <c r="C48" s="142" t="s">
        <v>1292</v>
      </c>
      <c r="D48" s="32"/>
      <c r="E48" s="32"/>
      <c r="F48" s="142" t="s">
        <v>1208</v>
      </c>
      <c r="G48" s="32"/>
      <c r="H48" s="32"/>
      <c r="I48" s="142" t="s">
        <v>1232</v>
      </c>
      <c r="J48" s="32"/>
      <c r="K48" s="32"/>
      <c r="L48" s="143"/>
      <c r="M48" s="143"/>
      <c r="N48" s="143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144"/>
      <c r="Z48" s="20" t="str">
        <f>AVERAGE(B49:Y49)</f>
        <v>#DIV/0!</v>
      </c>
    </row>
    <row r="49">
      <c r="B49" s="51"/>
      <c r="C49" s="70"/>
      <c r="D49" s="70"/>
      <c r="E49" s="70"/>
      <c r="F49" s="70"/>
      <c r="G49" s="70"/>
      <c r="H49" s="70"/>
      <c r="I49" s="70"/>
      <c r="J49" s="70"/>
      <c r="K49" s="70"/>
      <c r="L49" s="52"/>
      <c r="M49" s="52"/>
      <c r="N49" s="52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54"/>
    </row>
    <row r="50">
      <c r="A50" s="13"/>
      <c r="B50" s="20" t="str">
        <f t="shared" ref="B50:K50" si="1">AVERAGE(B2:B49)</f>
        <v>#DIV/0!</v>
      </c>
      <c r="C50" s="20" t="str">
        <f t="shared" si="1"/>
        <v>#DIV/0!</v>
      </c>
      <c r="D50" s="20" t="str">
        <f t="shared" si="1"/>
        <v>#DIV/0!</v>
      </c>
      <c r="E50" s="20" t="str">
        <f t="shared" si="1"/>
        <v>#DIV/0!</v>
      </c>
      <c r="F50" s="20" t="str">
        <f t="shared" si="1"/>
        <v>#DIV/0!</v>
      </c>
      <c r="G50" s="20" t="str">
        <f t="shared" si="1"/>
        <v>#DIV/0!</v>
      </c>
      <c r="H50" s="20" t="str">
        <f t="shared" si="1"/>
        <v>#DIV/0!</v>
      </c>
      <c r="I50" s="20" t="str">
        <f t="shared" si="1"/>
        <v>#DIV/0!</v>
      </c>
      <c r="J50" s="20" t="str">
        <f t="shared" si="1"/>
        <v>#DIV/0!</v>
      </c>
      <c r="K50" s="20" t="str">
        <f t="shared" si="1"/>
        <v>#DIV/0!</v>
      </c>
      <c r="L50" s="20"/>
      <c r="M50" s="20" t="str">
        <f t="shared" ref="M50:Y50" si="2">AVERAGE(M2:M49)</f>
        <v>#DIV/0!</v>
      </c>
      <c r="N50" s="20" t="str">
        <f t="shared" si="2"/>
        <v>#DIV/0!</v>
      </c>
      <c r="O50" s="20" t="str">
        <f t="shared" si="2"/>
        <v>#DIV/0!</v>
      </c>
      <c r="P50" s="20" t="str">
        <f t="shared" si="2"/>
        <v>#DIV/0!</v>
      </c>
      <c r="Q50" s="20" t="str">
        <f t="shared" si="2"/>
        <v>#DIV/0!</v>
      </c>
      <c r="R50" s="20" t="str">
        <f t="shared" si="2"/>
        <v>#DIV/0!</v>
      </c>
      <c r="S50" s="20" t="str">
        <f t="shared" si="2"/>
        <v>#DIV/0!</v>
      </c>
      <c r="T50" s="20" t="str">
        <f t="shared" si="2"/>
        <v>#DIV/0!</v>
      </c>
      <c r="U50" s="20" t="str">
        <f t="shared" si="2"/>
        <v>#DIV/0!</v>
      </c>
      <c r="V50" s="20" t="str">
        <f t="shared" si="2"/>
        <v>#DIV/0!</v>
      </c>
      <c r="W50" s="20" t="str">
        <f t="shared" si="2"/>
        <v>#DIV/0!</v>
      </c>
      <c r="X50" s="20" t="str">
        <f t="shared" si="2"/>
        <v>#DIV/0!</v>
      </c>
      <c r="Y50" s="20" t="str">
        <f t="shared" si="2"/>
        <v>#DIV/0!</v>
      </c>
      <c r="Z50" s="95" t="str">
        <f>AVERAGE(B2:Y49)</f>
        <v>#DIV/0!</v>
      </c>
    </row>
  </sheetData>
  <mergeCells count="48">
    <mergeCell ref="Z36:Z37"/>
    <mergeCell ref="Z30:Z31"/>
    <mergeCell ref="Z32:Z33"/>
    <mergeCell ref="A30:A31"/>
    <mergeCell ref="A28:A29"/>
    <mergeCell ref="Z40:Z41"/>
    <mergeCell ref="Z42:Z43"/>
    <mergeCell ref="A16:A17"/>
    <mergeCell ref="Z20:Z21"/>
    <mergeCell ref="Z16:Z17"/>
    <mergeCell ref="Z18:Z19"/>
    <mergeCell ref="A26:A27"/>
    <mergeCell ref="A8:A9"/>
    <mergeCell ref="A10:A11"/>
    <mergeCell ref="A18:A19"/>
    <mergeCell ref="A20:A21"/>
    <mergeCell ref="A6:A7"/>
    <mergeCell ref="A2:A3"/>
    <mergeCell ref="A4:A5"/>
    <mergeCell ref="A14:A15"/>
    <mergeCell ref="A12:A13"/>
    <mergeCell ref="A34:A35"/>
    <mergeCell ref="A32:A33"/>
    <mergeCell ref="A38:A39"/>
    <mergeCell ref="A40:A41"/>
    <mergeCell ref="A24:A25"/>
    <mergeCell ref="A22:A23"/>
    <mergeCell ref="A46:A47"/>
    <mergeCell ref="A42:A43"/>
    <mergeCell ref="A44:A45"/>
    <mergeCell ref="A36:A37"/>
    <mergeCell ref="A48:A49"/>
    <mergeCell ref="Z38:Z39"/>
    <mergeCell ref="Z34:Z35"/>
    <mergeCell ref="Z46:Z47"/>
    <mergeCell ref="Z44:Z45"/>
    <mergeCell ref="Z48:Z49"/>
    <mergeCell ref="Z14:Z15"/>
    <mergeCell ref="Z12:Z13"/>
    <mergeCell ref="Z4:Z5"/>
    <mergeCell ref="Z6:Z7"/>
    <mergeCell ref="Z10:Z11"/>
    <mergeCell ref="Z8:Z9"/>
    <mergeCell ref="Z22:Z23"/>
    <mergeCell ref="Z24:Z25"/>
    <mergeCell ref="Z2:Z3"/>
    <mergeCell ref="Z28:Z29"/>
    <mergeCell ref="Z26:Z27"/>
  </mergeCells>
  <conditionalFormatting sqref="Z1:Z49 A50:Y50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B2:Y49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4.43"/>
  </cols>
  <sheetData>
    <row r="1">
      <c r="A1" s="1" t="s">
        <v>1086</v>
      </c>
      <c r="B1" s="2" t="s">
        <v>1087</v>
      </c>
      <c r="C1" s="3" t="s">
        <v>1088</v>
      </c>
      <c r="D1" s="4" t="s">
        <v>1089</v>
      </c>
      <c r="E1" s="4" t="s">
        <v>1090</v>
      </c>
      <c r="F1" s="3" t="s">
        <v>1091</v>
      </c>
      <c r="G1" s="5" t="s">
        <v>1092</v>
      </c>
      <c r="H1" s="5" t="s">
        <v>1093</v>
      </c>
      <c r="I1" s="3" t="s">
        <v>1094</v>
      </c>
      <c r="J1" s="6" t="s">
        <v>1095</v>
      </c>
      <c r="K1" s="6" t="s">
        <v>1096</v>
      </c>
      <c r="L1" s="3" t="s">
        <v>1097</v>
      </c>
      <c r="M1" s="2" t="s">
        <v>1098</v>
      </c>
      <c r="N1" s="2" t="s">
        <v>1099</v>
      </c>
      <c r="O1" s="7" t="s">
        <v>1100</v>
      </c>
      <c r="P1" s="4" t="s">
        <v>1101</v>
      </c>
      <c r="Q1" s="4" t="s">
        <v>1102</v>
      </c>
      <c r="R1" s="7" t="s">
        <v>1103</v>
      </c>
      <c r="S1" s="5" t="s">
        <v>1104</v>
      </c>
      <c r="T1" s="5" t="s">
        <v>1105</v>
      </c>
      <c r="U1" s="7" t="s">
        <v>1106</v>
      </c>
      <c r="V1" s="6" t="s">
        <v>1107</v>
      </c>
      <c r="W1" s="6" t="s">
        <v>1108</v>
      </c>
      <c r="X1" s="7" t="s">
        <v>1109</v>
      </c>
      <c r="Y1" s="9" t="s">
        <v>1110</v>
      </c>
      <c r="Z1" s="11"/>
    </row>
    <row r="2">
      <c r="A2" s="2" t="s">
        <v>1111</v>
      </c>
      <c r="B2" s="141"/>
      <c r="C2" s="32"/>
      <c r="D2" s="32"/>
      <c r="E2" s="32"/>
      <c r="F2" s="32"/>
      <c r="G2" s="32"/>
      <c r="H2" s="32"/>
      <c r="I2" s="32"/>
      <c r="J2" s="32"/>
      <c r="K2" s="32"/>
      <c r="L2" s="143"/>
      <c r="M2" s="143"/>
      <c r="N2" s="143"/>
      <c r="O2" s="32"/>
      <c r="P2" s="32"/>
      <c r="Q2" s="32"/>
      <c r="R2" s="32"/>
      <c r="S2" s="32"/>
      <c r="T2" s="32"/>
      <c r="U2" s="32"/>
      <c r="V2" s="32"/>
      <c r="W2" s="32"/>
      <c r="X2" s="32"/>
      <c r="Y2" s="144"/>
      <c r="Z2" s="20" t="str">
        <f>AVERAGE(B3:Y3)</f>
        <v>#DIV/0!</v>
      </c>
    </row>
    <row r="3">
      <c r="B3" s="51"/>
      <c r="C3" s="70"/>
      <c r="D3" s="70"/>
      <c r="E3" s="70"/>
      <c r="F3" s="70"/>
      <c r="G3" s="70"/>
      <c r="H3" s="70"/>
      <c r="I3" s="70"/>
      <c r="J3" s="70"/>
      <c r="K3" s="70"/>
      <c r="L3" s="52"/>
      <c r="M3" s="52"/>
      <c r="N3" s="52"/>
      <c r="O3" s="70"/>
      <c r="P3" s="70"/>
      <c r="Q3" s="70"/>
      <c r="R3" s="70"/>
      <c r="S3" s="70"/>
      <c r="T3" s="70"/>
      <c r="U3" s="70"/>
      <c r="V3" s="70"/>
      <c r="W3" s="70"/>
      <c r="X3" s="70"/>
      <c r="Y3" s="54"/>
    </row>
    <row r="4">
      <c r="A4" s="3" t="s">
        <v>1088</v>
      </c>
      <c r="B4" s="145"/>
      <c r="C4" s="143"/>
      <c r="D4" s="32"/>
      <c r="E4" s="32"/>
      <c r="F4" s="143"/>
      <c r="G4" s="32"/>
      <c r="H4" s="32"/>
      <c r="I4" s="143"/>
      <c r="J4" s="32"/>
      <c r="K4" s="32"/>
      <c r="L4" s="143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5"/>
      <c r="Z4" s="20" t="str">
        <f>AVERAGE(B5:Y5)</f>
        <v>#DIV/0!</v>
      </c>
    </row>
    <row r="5">
      <c r="B5" s="147"/>
      <c r="C5" s="52"/>
      <c r="D5" s="70"/>
      <c r="E5" s="70"/>
      <c r="F5" s="52"/>
      <c r="G5" s="70"/>
      <c r="H5" s="70"/>
      <c r="I5" s="52"/>
      <c r="J5" s="70"/>
      <c r="K5" s="70"/>
      <c r="L5" s="52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3"/>
    </row>
    <row r="6">
      <c r="A6" s="4" t="s">
        <v>1089</v>
      </c>
      <c r="B6" s="148"/>
      <c r="C6" s="32"/>
      <c r="D6" s="143"/>
      <c r="E6" s="143"/>
      <c r="F6" s="32"/>
      <c r="G6" s="32"/>
      <c r="H6" s="32"/>
      <c r="I6" s="32"/>
      <c r="J6" s="32"/>
      <c r="K6" s="32"/>
      <c r="L6" s="143"/>
      <c r="M6" s="32"/>
      <c r="N6" s="32"/>
      <c r="O6" s="32"/>
      <c r="P6" s="143"/>
      <c r="Q6" s="143"/>
      <c r="R6" s="32"/>
      <c r="S6" s="32"/>
      <c r="T6" s="32"/>
      <c r="U6" s="32"/>
      <c r="V6" s="32"/>
      <c r="W6" s="32"/>
      <c r="X6" s="32"/>
      <c r="Y6" s="35"/>
      <c r="Z6" s="20" t="str">
        <f>AVERAGE(B7:Y7)</f>
        <v>#DIV/0!</v>
      </c>
    </row>
    <row r="7">
      <c r="B7" s="147"/>
      <c r="C7" s="70"/>
      <c r="D7" s="52"/>
      <c r="E7" s="52"/>
      <c r="F7" s="70"/>
      <c r="G7" s="70"/>
      <c r="H7" s="70"/>
      <c r="I7" s="70"/>
      <c r="J7" s="70"/>
      <c r="K7" s="70"/>
      <c r="L7" s="52"/>
      <c r="M7" s="70"/>
      <c r="N7" s="70"/>
      <c r="O7" s="70"/>
      <c r="P7" s="52"/>
      <c r="Q7" s="52"/>
      <c r="R7" s="70"/>
      <c r="S7" s="70"/>
      <c r="T7" s="70"/>
      <c r="U7" s="70"/>
      <c r="V7" s="70"/>
      <c r="W7" s="70"/>
      <c r="X7" s="70"/>
      <c r="Y7" s="73"/>
    </row>
    <row r="8">
      <c r="A8" s="4" t="s">
        <v>1090</v>
      </c>
      <c r="B8" s="148"/>
      <c r="C8" s="32"/>
      <c r="D8" s="143"/>
      <c r="E8" s="143"/>
      <c r="F8" s="32"/>
      <c r="G8" s="32"/>
      <c r="H8" s="32"/>
      <c r="I8" s="32"/>
      <c r="J8" s="32"/>
      <c r="K8" s="32"/>
      <c r="L8" s="143"/>
      <c r="M8" s="32"/>
      <c r="N8" s="32"/>
      <c r="O8" s="32"/>
      <c r="P8" s="143"/>
      <c r="Q8" s="143"/>
      <c r="R8" s="32"/>
      <c r="S8" s="32"/>
      <c r="T8" s="32"/>
      <c r="U8" s="32"/>
      <c r="V8" s="32"/>
      <c r="W8" s="32"/>
      <c r="X8" s="32"/>
      <c r="Y8" s="35"/>
      <c r="Z8" s="20" t="str">
        <f>AVERAGE(B9:Y9)</f>
        <v>#DIV/0!</v>
      </c>
    </row>
    <row r="9">
      <c r="B9" s="150"/>
      <c r="C9" s="70"/>
      <c r="D9" s="52"/>
      <c r="E9" s="52"/>
      <c r="F9" s="70"/>
      <c r="G9" s="70"/>
      <c r="H9" s="70"/>
      <c r="I9" s="70"/>
      <c r="J9" s="70"/>
      <c r="K9" s="70"/>
      <c r="L9" s="52"/>
      <c r="M9" s="70"/>
      <c r="N9" s="70"/>
      <c r="O9" s="70"/>
      <c r="P9" s="52"/>
      <c r="Q9" s="52"/>
      <c r="R9" s="70"/>
      <c r="S9" s="70"/>
      <c r="T9" s="70"/>
      <c r="U9" s="70"/>
      <c r="V9" s="70"/>
      <c r="W9" s="70"/>
      <c r="X9" s="70"/>
      <c r="Y9" s="73"/>
    </row>
    <row r="10">
      <c r="A10" s="3" t="s">
        <v>1138</v>
      </c>
      <c r="B10" s="148"/>
      <c r="C10" s="143"/>
      <c r="D10" s="32"/>
      <c r="E10" s="32"/>
      <c r="F10" s="143"/>
      <c r="G10" s="32"/>
      <c r="H10" s="32"/>
      <c r="I10" s="143"/>
      <c r="J10" s="32"/>
      <c r="K10" s="32"/>
      <c r="L10" s="143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5"/>
      <c r="Z10" s="20" t="str">
        <f>AVERAGE(B11:Y11)</f>
        <v>#DIV/0!</v>
      </c>
    </row>
    <row r="11">
      <c r="B11" s="150"/>
      <c r="C11" s="52"/>
      <c r="D11" s="70"/>
      <c r="E11" s="70"/>
      <c r="F11" s="52"/>
      <c r="G11" s="70"/>
      <c r="H11" s="70"/>
      <c r="I11" s="52"/>
      <c r="J11" s="70"/>
      <c r="K11" s="70"/>
      <c r="L11" s="52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3"/>
    </row>
    <row r="12">
      <c r="A12" s="5" t="s">
        <v>1092</v>
      </c>
      <c r="B12" s="148"/>
      <c r="C12" s="32"/>
      <c r="D12" s="32"/>
      <c r="E12" s="32"/>
      <c r="F12" s="32"/>
      <c r="G12" s="143"/>
      <c r="H12" s="143"/>
      <c r="I12" s="32"/>
      <c r="J12" s="32"/>
      <c r="K12" s="32"/>
      <c r="L12" s="143"/>
      <c r="M12" s="32"/>
      <c r="N12" s="32"/>
      <c r="O12" s="32"/>
      <c r="P12" s="32"/>
      <c r="Q12" s="32"/>
      <c r="R12" s="32"/>
      <c r="S12" s="143"/>
      <c r="T12" s="143"/>
      <c r="U12" s="32"/>
      <c r="V12" s="32"/>
      <c r="W12" s="32"/>
      <c r="X12" s="32"/>
      <c r="Y12" s="35"/>
      <c r="Z12" s="20" t="str">
        <f>AVERAGE(B13:Y13)</f>
        <v>#DIV/0!</v>
      </c>
    </row>
    <row r="13">
      <c r="B13" s="150"/>
      <c r="C13" s="70"/>
      <c r="D13" s="70"/>
      <c r="E13" s="70"/>
      <c r="F13" s="70"/>
      <c r="G13" s="52"/>
      <c r="H13" s="52"/>
      <c r="I13" s="70"/>
      <c r="J13" s="70"/>
      <c r="K13" s="70"/>
      <c r="L13" s="52"/>
      <c r="M13" s="70"/>
      <c r="N13" s="70"/>
      <c r="O13" s="70"/>
      <c r="P13" s="70"/>
      <c r="Q13" s="70"/>
      <c r="R13" s="70"/>
      <c r="S13" s="52"/>
      <c r="T13" s="52"/>
      <c r="U13" s="70"/>
      <c r="V13" s="70"/>
      <c r="W13" s="70"/>
      <c r="X13" s="70"/>
      <c r="Y13" s="73"/>
    </row>
    <row r="14">
      <c r="A14" s="5" t="s">
        <v>1093</v>
      </c>
      <c r="B14" s="148"/>
      <c r="C14" s="32"/>
      <c r="D14" s="32"/>
      <c r="E14" s="32"/>
      <c r="F14" s="32"/>
      <c r="G14" s="143"/>
      <c r="H14" s="143"/>
      <c r="I14" s="32"/>
      <c r="J14" s="32"/>
      <c r="K14" s="32"/>
      <c r="L14" s="143"/>
      <c r="M14" s="32"/>
      <c r="N14" s="32"/>
      <c r="O14" s="32"/>
      <c r="P14" s="32"/>
      <c r="Q14" s="32"/>
      <c r="R14" s="32"/>
      <c r="S14" s="143"/>
      <c r="T14" s="143"/>
      <c r="U14" s="32"/>
      <c r="V14" s="32"/>
      <c r="W14" s="32"/>
      <c r="X14" s="32"/>
      <c r="Y14" s="35"/>
      <c r="Z14" s="20" t="str">
        <f>AVERAGE(B15:Y15)</f>
        <v>#DIV/0!</v>
      </c>
    </row>
    <row r="15">
      <c r="B15" s="150"/>
      <c r="C15" s="70"/>
      <c r="D15" s="70"/>
      <c r="E15" s="70"/>
      <c r="F15" s="70"/>
      <c r="G15" s="52"/>
      <c r="H15" s="52"/>
      <c r="I15" s="70"/>
      <c r="J15" s="70"/>
      <c r="K15" s="70"/>
      <c r="L15" s="52"/>
      <c r="M15" s="70"/>
      <c r="N15" s="70"/>
      <c r="O15" s="70"/>
      <c r="P15" s="70"/>
      <c r="Q15" s="70"/>
      <c r="R15" s="70"/>
      <c r="S15" s="52"/>
      <c r="T15" s="52"/>
      <c r="U15" s="70"/>
      <c r="V15" s="70"/>
      <c r="W15" s="70"/>
      <c r="X15" s="70"/>
      <c r="Y15" s="73"/>
    </row>
    <row r="16">
      <c r="A16" s="3" t="s">
        <v>1094</v>
      </c>
      <c r="B16" s="148"/>
      <c r="C16" s="143"/>
      <c r="D16" s="32"/>
      <c r="E16" s="32"/>
      <c r="F16" s="143"/>
      <c r="G16" s="32"/>
      <c r="H16" s="32"/>
      <c r="I16" s="143"/>
      <c r="J16" s="32"/>
      <c r="K16" s="32"/>
      <c r="L16" s="143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5"/>
      <c r="Z16" s="20" t="str">
        <f>AVERAGE(B17:Y17)</f>
        <v>#DIV/0!</v>
      </c>
    </row>
    <row r="17">
      <c r="B17" s="150"/>
      <c r="C17" s="52"/>
      <c r="D17" s="70"/>
      <c r="E17" s="70"/>
      <c r="F17" s="52"/>
      <c r="G17" s="70"/>
      <c r="H17" s="70"/>
      <c r="I17" s="52"/>
      <c r="J17" s="70"/>
      <c r="K17" s="70"/>
      <c r="L17" s="52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3"/>
    </row>
    <row r="18">
      <c r="A18" s="6" t="s">
        <v>1185</v>
      </c>
      <c r="B18" s="148"/>
      <c r="C18" s="32"/>
      <c r="D18" s="32"/>
      <c r="E18" s="32"/>
      <c r="F18" s="32"/>
      <c r="G18" s="32"/>
      <c r="H18" s="32"/>
      <c r="I18" s="32"/>
      <c r="J18" s="143"/>
      <c r="K18" s="143"/>
      <c r="L18" s="143"/>
      <c r="M18" s="32"/>
      <c r="N18" s="32"/>
      <c r="O18" s="32"/>
      <c r="P18" s="32"/>
      <c r="Q18" s="32"/>
      <c r="R18" s="32"/>
      <c r="S18" s="32"/>
      <c r="T18" s="32"/>
      <c r="U18" s="32"/>
      <c r="V18" s="143"/>
      <c r="W18" s="143"/>
      <c r="X18" s="32"/>
      <c r="Y18" s="35"/>
      <c r="Z18" s="20" t="str">
        <f>AVERAGE(B19:Y19)</f>
        <v>#DIV/0!</v>
      </c>
    </row>
    <row r="19">
      <c r="B19" s="150"/>
      <c r="C19" s="70"/>
      <c r="D19" s="70"/>
      <c r="E19" s="70"/>
      <c r="F19" s="70"/>
      <c r="G19" s="70"/>
      <c r="H19" s="70"/>
      <c r="I19" s="70"/>
      <c r="J19" s="52"/>
      <c r="K19" s="52"/>
      <c r="L19" s="52"/>
      <c r="M19" s="70"/>
      <c r="N19" s="70"/>
      <c r="O19" s="70"/>
      <c r="P19" s="70"/>
      <c r="Q19" s="70"/>
      <c r="R19" s="70"/>
      <c r="S19" s="70"/>
      <c r="T19" s="70"/>
      <c r="U19" s="70"/>
      <c r="V19" s="52"/>
      <c r="W19" s="52"/>
      <c r="X19" s="70"/>
      <c r="Y19" s="73"/>
    </row>
    <row r="20">
      <c r="A20" s="6" t="s">
        <v>1096</v>
      </c>
      <c r="B20" s="148"/>
      <c r="C20" s="32"/>
      <c r="D20" s="32"/>
      <c r="E20" s="32"/>
      <c r="F20" s="32"/>
      <c r="G20" s="32"/>
      <c r="H20" s="32"/>
      <c r="I20" s="32"/>
      <c r="J20" s="143"/>
      <c r="K20" s="143"/>
      <c r="L20" s="143"/>
      <c r="M20" s="32"/>
      <c r="N20" s="32"/>
      <c r="O20" s="32"/>
      <c r="P20" s="32"/>
      <c r="Q20" s="32"/>
      <c r="R20" s="32"/>
      <c r="S20" s="32"/>
      <c r="T20" s="32"/>
      <c r="U20" s="32"/>
      <c r="V20" s="143"/>
      <c r="W20" s="143"/>
      <c r="X20" s="32"/>
      <c r="Y20" s="35"/>
      <c r="Z20" s="20" t="str">
        <f>AVERAGE(B21:Y21)</f>
        <v>#DIV/0!</v>
      </c>
    </row>
    <row r="21">
      <c r="B21" s="150"/>
      <c r="C21" s="70"/>
      <c r="D21" s="70"/>
      <c r="E21" s="70"/>
      <c r="F21" s="70"/>
      <c r="G21" s="70"/>
      <c r="H21" s="70"/>
      <c r="I21" s="70"/>
      <c r="J21" s="52"/>
      <c r="K21" s="52"/>
      <c r="L21" s="52"/>
      <c r="M21" s="70"/>
      <c r="N21" s="70"/>
      <c r="O21" s="70"/>
      <c r="P21" s="70"/>
      <c r="Q21" s="70"/>
      <c r="R21" s="70"/>
      <c r="S21" s="70"/>
      <c r="T21" s="70"/>
      <c r="U21" s="70"/>
      <c r="V21" s="52"/>
      <c r="W21" s="52"/>
      <c r="X21" s="70"/>
      <c r="Y21" s="73"/>
    </row>
    <row r="22">
      <c r="A22" s="3" t="s">
        <v>1097</v>
      </c>
      <c r="B22" s="141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4"/>
      <c r="Z22" s="20"/>
    </row>
    <row r="23"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4"/>
    </row>
    <row r="24">
      <c r="A24" s="2" t="s">
        <v>1098</v>
      </c>
      <c r="B24" s="141"/>
      <c r="C24" s="32"/>
      <c r="D24" s="32"/>
      <c r="E24" s="32"/>
      <c r="F24" s="32"/>
      <c r="G24" s="32"/>
      <c r="H24" s="32"/>
      <c r="I24" s="32"/>
      <c r="J24" s="32"/>
      <c r="K24" s="32"/>
      <c r="L24" s="143"/>
      <c r="M24" s="143"/>
      <c r="N24" s="143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144"/>
      <c r="Z24" s="20" t="str">
        <f>AVERAGE(B25:Y25)</f>
        <v>#DIV/0!</v>
      </c>
    </row>
    <row r="25">
      <c r="B25" s="51"/>
      <c r="C25" s="70"/>
      <c r="D25" s="70"/>
      <c r="E25" s="70"/>
      <c r="F25" s="70"/>
      <c r="G25" s="70"/>
      <c r="H25" s="70"/>
      <c r="I25" s="70"/>
      <c r="J25" s="70"/>
      <c r="K25" s="70"/>
      <c r="L25" s="52"/>
      <c r="M25" s="52"/>
      <c r="N25" s="52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54"/>
    </row>
    <row r="26">
      <c r="A26" s="2" t="s">
        <v>1099</v>
      </c>
      <c r="B26" s="141"/>
      <c r="C26" s="32"/>
      <c r="D26" s="32"/>
      <c r="E26" s="32"/>
      <c r="F26" s="32"/>
      <c r="G26" s="32"/>
      <c r="H26" s="32"/>
      <c r="I26" s="32"/>
      <c r="J26" s="32"/>
      <c r="K26" s="32"/>
      <c r="L26" s="143"/>
      <c r="M26" s="143"/>
      <c r="N26" s="143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144"/>
      <c r="Z26" s="20" t="str">
        <f>AVERAGE(B27:Y27)</f>
        <v>#DIV/0!</v>
      </c>
    </row>
    <row r="27">
      <c r="B27" s="51"/>
      <c r="C27" s="70"/>
      <c r="D27" s="70"/>
      <c r="E27" s="70"/>
      <c r="F27" s="70"/>
      <c r="G27" s="70"/>
      <c r="H27" s="70"/>
      <c r="I27" s="70"/>
      <c r="J27" s="70"/>
      <c r="K27" s="70"/>
      <c r="L27" s="52"/>
      <c r="M27" s="52"/>
      <c r="N27" s="52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54"/>
    </row>
    <row r="28">
      <c r="A28" s="7" t="s">
        <v>1100</v>
      </c>
      <c r="B28" s="148"/>
      <c r="C28" s="32"/>
      <c r="D28" s="32"/>
      <c r="E28" s="32"/>
      <c r="F28" s="32"/>
      <c r="G28" s="32"/>
      <c r="H28" s="32"/>
      <c r="I28" s="32"/>
      <c r="J28" s="32"/>
      <c r="K28" s="32"/>
      <c r="L28" s="143"/>
      <c r="M28" s="32"/>
      <c r="N28" s="32"/>
      <c r="O28" s="143"/>
      <c r="P28" s="32"/>
      <c r="Q28" s="32"/>
      <c r="R28" s="143"/>
      <c r="S28" s="32"/>
      <c r="T28" s="32"/>
      <c r="U28" s="143"/>
      <c r="V28" s="32"/>
      <c r="W28" s="32"/>
      <c r="X28" s="143"/>
      <c r="Y28" s="35"/>
      <c r="Z28" s="20" t="str">
        <f>AVERAGE(B29:Y29)</f>
        <v>#DIV/0!</v>
      </c>
    </row>
    <row r="29">
      <c r="B29" s="150"/>
      <c r="C29" s="70"/>
      <c r="D29" s="70"/>
      <c r="E29" s="70"/>
      <c r="F29" s="70"/>
      <c r="G29" s="70"/>
      <c r="H29" s="70"/>
      <c r="I29" s="70"/>
      <c r="J29" s="70"/>
      <c r="K29" s="70"/>
      <c r="L29" s="52"/>
      <c r="M29" s="70"/>
      <c r="N29" s="70"/>
      <c r="O29" s="52"/>
      <c r="P29" s="70"/>
      <c r="Q29" s="70"/>
      <c r="R29" s="52"/>
      <c r="S29" s="70"/>
      <c r="T29" s="70"/>
      <c r="U29" s="52"/>
      <c r="V29" s="70"/>
      <c r="W29" s="70"/>
      <c r="X29" s="52"/>
      <c r="Y29" s="73"/>
    </row>
    <row r="30">
      <c r="A30" s="4" t="s">
        <v>1236</v>
      </c>
      <c r="B30" s="148"/>
      <c r="C30" s="32"/>
      <c r="D30" s="143"/>
      <c r="E30" s="143"/>
      <c r="F30" s="32"/>
      <c r="G30" s="32"/>
      <c r="H30" s="32"/>
      <c r="I30" s="32"/>
      <c r="J30" s="32"/>
      <c r="K30" s="32"/>
      <c r="L30" s="143"/>
      <c r="M30" s="32"/>
      <c r="N30" s="32"/>
      <c r="O30" s="32"/>
      <c r="P30" s="143"/>
      <c r="Q30" s="143"/>
      <c r="R30" s="32"/>
      <c r="S30" s="32"/>
      <c r="T30" s="32"/>
      <c r="U30" s="32"/>
      <c r="V30" s="32"/>
      <c r="W30" s="32"/>
      <c r="X30" s="32"/>
      <c r="Y30" s="35"/>
      <c r="Z30" s="20" t="str">
        <f>AVERAGE(B31:Y31)</f>
        <v>#DIV/0!</v>
      </c>
    </row>
    <row r="31">
      <c r="B31" s="150"/>
      <c r="C31" s="70"/>
      <c r="D31" s="52"/>
      <c r="E31" s="52"/>
      <c r="F31" s="70"/>
      <c r="G31" s="70"/>
      <c r="H31" s="70"/>
      <c r="I31" s="70"/>
      <c r="J31" s="70"/>
      <c r="K31" s="70"/>
      <c r="L31" s="52"/>
      <c r="M31" s="70"/>
      <c r="N31" s="70"/>
      <c r="O31" s="70"/>
      <c r="P31" s="52"/>
      <c r="Q31" s="52"/>
      <c r="R31" s="70"/>
      <c r="S31" s="70"/>
      <c r="T31" s="70"/>
      <c r="U31" s="70"/>
      <c r="V31" s="70"/>
      <c r="W31" s="70"/>
      <c r="X31" s="70"/>
      <c r="Y31" s="73"/>
    </row>
    <row r="32">
      <c r="A32" s="4" t="s">
        <v>1102</v>
      </c>
      <c r="B32" s="148"/>
      <c r="C32" s="32"/>
      <c r="D32" s="143"/>
      <c r="E32" s="143"/>
      <c r="F32" s="32"/>
      <c r="G32" s="32"/>
      <c r="H32" s="32"/>
      <c r="I32" s="32"/>
      <c r="J32" s="32"/>
      <c r="K32" s="32"/>
      <c r="L32" s="143"/>
      <c r="M32" s="32"/>
      <c r="N32" s="32"/>
      <c r="O32" s="32"/>
      <c r="P32" s="143"/>
      <c r="Q32" s="143"/>
      <c r="R32" s="32"/>
      <c r="S32" s="32"/>
      <c r="T32" s="32"/>
      <c r="U32" s="32"/>
      <c r="V32" s="32"/>
      <c r="W32" s="32"/>
      <c r="X32" s="32"/>
      <c r="Y32" s="35"/>
      <c r="Z32" s="20" t="str">
        <f>AVERAGE(B33:Y33)</f>
        <v>#DIV/0!</v>
      </c>
    </row>
    <row r="33">
      <c r="B33" s="150"/>
      <c r="C33" s="70"/>
      <c r="D33" s="52"/>
      <c r="E33" s="52"/>
      <c r="F33" s="70"/>
      <c r="G33" s="70"/>
      <c r="H33" s="70"/>
      <c r="I33" s="70"/>
      <c r="J33" s="70"/>
      <c r="K33" s="70"/>
      <c r="L33" s="52"/>
      <c r="M33" s="70"/>
      <c r="N33" s="70"/>
      <c r="O33" s="70"/>
      <c r="P33" s="52"/>
      <c r="Q33" s="52"/>
      <c r="R33" s="70"/>
      <c r="S33" s="70"/>
      <c r="T33" s="70"/>
      <c r="U33" s="70"/>
      <c r="V33" s="70"/>
      <c r="W33" s="70"/>
      <c r="X33" s="70"/>
      <c r="Y33" s="73"/>
    </row>
    <row r="34">
      <c r="A34" s="7" t="s">
        <v>1103</v>
      </c>
      <c r="B34" s="148"/>
      <c r="C34" s="32"/>
      <c r="D34" s="32"/>
      <c r="E34" s="32"/>
      <c r="F34" s="32"/>
      <c r="G34" s="32"/>
      <c r="H34" s="32"/>
      <c r="I34" s="32"/>
      <c r="J34" s="32"/>
      <c r="K34" s="32"/>
      <c r="L34" s="143"/>
      <c r="M34" s="32"/>
      <c r="N34" s="32"/>
      <c r="O34" s="143"/>
      <c r="P34" s="32"/>
      <c r="Q34" s="32"/>
      <c r="R34" s="143"/>
      <c r="S34" s="32"/>
      <c r="T34" s="32"/>
      <c r="U34" s="143"/>
      <c r="V34" s="32"/>
      <c r="W34" s="32"/>
      <c r="X34" s="143"/>
      <c r="Y34" s="35"/>
      <c r="Z34" s="20" t="str">
        <f>AVERAGE(B35:Y35)</f>
        <v>#DIV/0!</v>
      </c>
    </row>
    <row r="35">
      <c r="B35" s="150"/>
      <c r="C35" s="70"/>
      <c r="D35" s="70"/>
      <c r="E35" s="70"/>
      <c r="F35" s="70"/>
      <c r="G35" s="70"/>
      <c r="H35" s="70"/>
      <c r="I35" s="70"/>
      <c r="J35" s="70"/>
      <c r="K35" s="70"/>
      <c r="L35" s="52"/>
      <c r="M35" s="70"/>
      <c r="N35" s="70"/>
      <c r="O35" s="52"/>
      <c r="P35" s="70"/>
      <c r="Q35" s="70"/>
      <c r="R35" s="52"/>
      <c r="S35" s="70"/>
      <c r="T35" s="70"/>
      <c r="U35" s="52"/>
      <c r="V35" s="70"/>
      <c r="W35" s="70"/>
      <c r="X35" s="52"/>
      <c r="Y35" s="73"/>
    </row>
    <row r="36">
      <c r="A36" s="5" t="s">
        <v>1104</v>
      </c>
      <c r="B36" s="148"/>
      <c r="C36" s="32"/>
      <c r="D36" s="32"/>
      <c r="E36" s="32"/>
      <c r="F36" s="32"/>
      <c r="G36" s="143"/>
      <c r="H36" s="143"/>
      <c r="I36" s="32"/>
      <c r="J36" s="32"/>
      <c r="K36" s="32"/>
      <c r="L36" s="143"/>
      <c r="M36" s="32"/>
      <c r="N36" s="32"/>
      <c r="O36" s="32"/>
      <c r="P36" s="32"/>
      <c r="Q36" s="32"/>
      <c r="R36" s="32"/>
      <c r="S36" s="143"/>
      <c r="T36" s="143"/>
      <c r="U36" s="32"/>
      <c r="V36" s="32"/>
      <c r="W36" s="32"/>
      <c r="X36" s="32"/>
      <c r="Y36" s="35"/>
      <c r="Z36" s="20" t="str">
        <f>AVERAGE(B37:Y37)</f>
        <v>#DIV/0!</v>
      </c>
    </row>
    <row r="37">
      <c r="B37" s="150"/>
      <c r="C37" s="70"/>
      <c r="D37" s="70"/>
      <c r="E37" s="70"/>
      <c r="F37" s="70"/>
      <c r="G37" s="52"/>
      <c r="H37" s="52"/>
      <c r="I37" s="70"/>
      <c r="J37" s="70"/>
      <c r="K37" s="70"/>
      <c r="L37" s="52"/>
      <c r="M37" s="70"/>
      <c r="N37" s="70"/>
      <c r="O37" s="70"/>
      <c r="P37" s="70"/>
      <c r="Q37" s="70"/>
      <c r="R37" s="70"/>
      <c r="S37" s="52"/>
      <c r="T37" s="52"/>
      <c r="U37" s="70"/>
      <c r="V37" s="70"/>
      <c r="W37" s="70"/>
      <c r="X37" s="70"/>
      <c r="Y37" s="73"/>
    </row>
    <row r="38">
      <c r="A38" s="5" t="s">
        <v>1105</v>
      </c>
      <c r="B38" s="148"/>
      <c r="C38" s="32"/>
      <c r="D38" s="32"/>
      <c r="E38" s="32"/>
      <c r="F38" s="32"/>
      <c r="G38" s="143"/>
      <c r="H38" s="143"/>
      <c r="I38" s="32"/>
      <c r="J38" s="32"/>
      <c r="K38" s="32"/>
      <c r="L38" s="143"/>
      <c r="M38" s="32"/>
      <c r="N38" s="32"/>
      <c r="O38" s="32"/>
      <c r="P38" s="32"/>
      <c r="Q38" s="32"/>
      <c r="R38" s="32"/>
      <c r="S38" s="143"/>
      <c r="T38" s="143"/>
      <c r="U38" s="32"/>
      <c r="V38" s="32"/>
      <c r="W38" s="32"/>
      <c r="X38" s="32"/>
      <c r="Y38" s="35"/>
      <c r="Z38" s="20" t="str">
        <f>AVERAGE(B39:Y39)</f>
        <v>#DIV/0!</v>
      </c>
    </row>
    <row r="39">
      <c r="B39" s="150"/>
      <c r="C39" s="70"/>
      <c r="D39" s="70"/>
      <c r="E39" s="70"/>
      <c r="F39" s="70"/>
      <c r="G39" s="52"/>
      <c r="H39" s="52"/>
      <c r="I39" s="70"/>
      <c r="J39" s="70"/>
      <c r="K39" s="70"/>
      <c r="L39" s="52"/>
      <c r="M39" s="70"/>
      <c r="N39" s="70"/>
      <c r="O39" s="70"/>
      <c r="P39" s="70"/>
      <c r="Q39" s="70"/>
      <c r="R39" s="70"/>
      <c r="S39" s="52"/>
      <c r="T39" s="52"/>
      <c r="U39" s="70"/>
      <c r="V39" s="70"/>
      <c r="W39" s="70"/>
      <c r="X39" s="70"/>
      <c r="Y39" s="73"/>
    </row>
    <row r="40">
      <c r="A40" s="7" t="s">
        <v>1106</v>
      </c>
      <c r="B40" s="148"/>
      <c r="C40" s="32"/>
      <c r="D40" s="32"/>
      <c r="E40" s="32"/>
      <c r="F40" s="32"/>
      <c r="G40" s="32"/>
      <c r="H40" s="32"/>
      <c r="I40" s="32"/>
      <c r="J40" s="32"/>
      <c r="K40" s="32"/>
      <c r="L40" s="143"/>
      <c r="M40" s="32"/>
      <c r="N40" s="32"/>
      <c r="O40" s="143"/>
      <c r="P40" s="32"/>
      <c r="Q40" s="32"/>
      <c r="R40" s="143"/>
      <c r="S40" s="32"/>
      <c r="T40" s="32"/>
      <c r="U40" s="143"/>
      <c r="V40" s="32"/>
      <c r="W40" s="32"/>
      <c r="X40" s="143"/>
      <c r="Y40" s="35"/>
      <c r="Z40" s="20" t="str">
        <f>AVERAGE(B41:Y41)</f>
        <v>#DIV/0!</v>
      </c>
    </row>
    <row r="41">
      <c r="B41" s="150"/>
      <c r="C41" s="70"/>
      <c r="D41" s="70"/>
      <c r="E41" s="70"/>
      <c r="F41" s="70"/>
      <c r="G41" s="70"/>
      <c r="H41" s="70"/>
      <c r="I41" s="70"/>
      <c r="J41" s="70"/>
      <c r="K41" s="70"/>
      <c r="L41" s="52"/>
      <c r="M41" s="70"/>
      <c r="N41" s="70"/>
      <c r="O41" s="52"/>
      <c r="P41" s="70"/>
      <c r="Q41" s="70"/>
      <c r="R41" s="52"/>
      <c r="S41" s="70"/>
      <c r="T41" s="70"/>
      <c r="U41" s="52"/>
      <c r="V41" s="70"/>
      <c r="W41" s="70"/>
      <c r="X41" s="52"/>
      <c r="Y41" s="73"/>
    </row>
    <row r="42">
      <c r="A42" s="6" t="s">
        <v>1273</v>
      </c>
      <c r="B42" s="148"/>
      <c r="C42" s="32"/>
      <c r="D42" s="32"/>
      <c r="E42" s="32"/>
      <c r="F42" s="32"/>
      <c r="G42" s="32"/>
      <c r="H42" s="32"/>
      <c r="I42" s="32"/>
      <c r="J42" s="143"/>
      <c r="K42" s="143"/>
      <c r="L42" s="143"/>
      <c r="M42" s="32"/>
      <c r="N42" s="32"/>
      <c r="O42" s="32"/>
      <c r="P42" s="32"/>
      <c r="Q42" s="32"/>
      <c r="R42" s="32"/>
      <c r="S42" s="32"/>
      <c r="T42" s="32"/>
      <c r="U42" s="32"/>
      <c r="V42" s="143"/>
      <c r="W42" s="143"/>
      <c r="X42" s="32"/>
      <c r="Y42" s="35"/>
      <c r="Z42" s="20" t="str">
        <f>AVERAGE(B43:Y43)</f>
        <v>#DIV/0!</v>
      </c>
    </row>
    <row r="43">
      <c r="B43" s="150"/>
      <c r="C43" s="70"/>
      <c r="D43" s="70"/>
      <c r="E43" s="70"/>
      <c r="F43" s="70"/>
      <c r="G43" s="70"/>
      <c r="H43" s="70"/>
      <c r="I43" s="70"/>
      <c r="J43" s="52"/>
      <c r="K43" s="52"/>
      <c r="L43" s="52"/>
      <c r="M43" s="70"/>
      <c r="N43" s="70"/>
      <c r="O43" s="70"/>
      <c r="P43" s="70"/>
      <c r="Q43" s="70"/>
      <c r="R43" s="70"/>
      <c r="S43" s="70"/>
      <c r="T43" s="70"/>
      <c r="U43" s="70"/>
      <c r="V43" s="52"/>
      <c r="W43" s="52"/>
      <c r="X43" s="70"/>
      <c r="Y43" s="73"/>
    </row>
    <row r="44">
      <c r="A44" s="6" t="s">
        <v>1108</v>
      </c>
      <c r="B44" s="148"/>
      <c r="C44" s="32"/>
      <c r="D44" s="32"/>
      <c r="E44" s="32"/>
      <c r="F44" s="32"/>
      <c r="G44" s="32"/>
      <c r="H44" s="32"/>
      <c r="I44" s="32"/>
      <c r="J44" s="143"/>
      <c r="K44" s="143"/>
      <c r="L44" s="143"/>
      <c r="M44" s="32"/>
      <c r="N44" s="32"/>
      <c r="O44" s="32"/>
      <c r="P44" s="32"/>
      <c r="Q44" s="32"/>
      <c r="R44" s="32"/>
      <c r="S44" s="32"/>
      <c r="T44" s="32"/>
      <c r="U44" s="32"/>
      <c r="V44" s="143"/>
      <c r="W44" s="143"/>
      <c r="X44" s="32"/>
      <c r="Y44" s="35"/>
      <c r="Z44" s="20" t="str">
        <f>AVERAGE(B45:Y45)</f>
        <v>#DIV/0!</v>
      </c>
    </row>
    <row r="45">
      <c r="B45" s="150"/>
      <c r="C45" s="70"/>
      <c r="D45" s="70"/>
      <c r="E45" s="70"/>
      <c r="F45" s="70"/>
      <c r="G45" s="70"/>
      <c r="H45" s="70"/>
      <c r="I45" s="70"/>
      <c r="J45" s="52"/>
      <c r="K45" s="52"/>
      <c r="L45" s="52"/>
      <c r="M45" s="70"/>
      <c r="N45" s="70"/>
      <c r="O45" s="70"/>
      <c r="P45" s="70"/>
      <c r="Q45" s="70"/>
      <c r="R45" s="70"/>
      <c r="S45" s="70"/>
      <c r="T45" s="70"/>
      <c r="U45" s="70"/>
      <c r="V45" s="52"/>
      <c r="W45" s="52"/>
      <c r="X45" s="70"/>
      <c r="Y45" s="73"/>
    </row>
    <row r="46">
      <c r="A46" s="7" t="s">
        <v>1277</v>
      </c>
      <c r="B46" s="148"/>
      <c r="C46" s="32"/>
      <c r="D46" s="32"/>
      <c r="E46" s="32"/>
      <c r="F46" s="32"/>
      <c r="G46" s="32"/>
      <c r="H46" s="32"/>
      <c r="I46" s="32"/>
      <c r="J46" s="32"/>
      <c r="K46" s="32"/>
      <c r="L46" s="143"/>
      <c r="M46" s="32"/>
      <c r="N46" s="32"/>
      <c r="O46" s="143"/>
      <c r="P46" s="32"/>
      <c r="Q46" s="32"/>
      <c r="R46" s="143"/>
      <c r="S46" s="32"/>
      <c r="T46" s="32"/>
      <c r="U46" s="143"/>
      <c r="V46" s="32"/>
      <c r="W46" s="32"/>
      <c r="X46" s="143"/>
      <c r="Y46" s="35"/>
      <c r="Z46" s="20" t="str">
        <f>AVERAGE(B47:Y47)</f>
        <v>#DIV/0!</v>
      </c>
    </row>
    <row r="47">
      <c r="B47" s="150"/>
      <c r="C47" s="70"/>
      <c r="D47" s="70"/>
      <c r="E47" s="70"/>
      <c r="F47" s="70"/>
      <c r="G47" s="70"/>
      <c r="H47" s="70"/>
      <c r="I47" s="70"/>
      <c r="J47" s="70"/>
      <c r="K47" s="70"/>
      <c r="L47" s="52"/>
      <c r="M47" s="70"/>
      <c r="N47" s="70"/>
      <c r="O47" s="52"/>
      <c r="P47" s="70"/>
      <c r="Q47" s="70"/>
      <c r="R47" s="52"/>
      <c r="S47" s="70"/>
      <c r="T47" s="70"/>
      <c r="U47" s="52"/>
      <c r="V47" s="70"/>
      <c r="W47" s="70"/>
      <c r="X47" s="52"/>
      <c r="Y47" s="73"/>
    </row>
    <row r="48">
      <c r="A48" s="2" t="s">
        <v>1278</v>
      </c>
      <c r="B48" s="141"/>
      <c r="C48" s="32"/>
      <c r="D48" s="32"/>
      <c r="E48" s="32"/>
      <c r="F48" s="32"/>
      <c r="G48" s="32"/>
      <c r="H48" s="32"/>
      <c r="I48" s="32"/>
      <c r="J48" s="32"/>
      <c r="K48" s="32"/>
      <c r="L48" s="143"/>
      <c r="M48" s="143"/>
      <c r="N48" s="143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144"/>
      <c r="Z48" s="20" t="str">
        <f>AVERAGE(B49:Y49)</f>
        <v>#DIV/0!</v>
      </c>
    </row>
    <row r="49">
      <c r="B49" s="51"/>
      <c r="C49" s="70"/>
      <c r="D49" s="70"/>
      <c r="E49" s="70"/>
      <c r="F49" s="70"/>
      <c r="G49" s="70"/>
      <c r="H49" s="70"/>
      <c r="I49" s="70"/>
      <c r="J49" s="70"/>
      <c r="K49" s="70"/>
      <c r="L49" s="52"/>
      <c r="M49" s="52"/>
      <c r="N49" s="52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54"/>
    </row>
    <row r="50">
      <c r="A50" s="13"/>
      <c r="B50" s="20" t="str">
        <f t="shared" ref="B50:K50" si="1">AVERAGE(B2:B49)</f>
        <v>#DIV/0!</v>
      </c>
      <c r="C50" s="20" t="str">
        <f t="shared" si="1"/>
        <v>#DIV/0!</v>
      </c>
      <c r="D50" s="20" t="str">
        <f t="shared" si="1"/>
        <v>#DIV/0!</v>
      </c>
      <c r="E50" s="20" t="str">
        <f t="shared" si="1"/>
        <v>#DIV/0!</v>
      </c>
      <c r="F50" s="20" t="str">
        <f t="shared" si="1"/>
        <v>#DIV/0!</v>
      </c>
      <c r="G50" s="20" t="str">
        <f t="shared" si="1"/>
        <v>#DIV/0!</v>
      </c>
      <c r="H50" s="20" t="str">
        <f t="shared" si="1"/>
        <v>#DIV/0!</v>
      </c>
      <c r="I50" s="20" t="str">
        <f t="shared" si="1"/>
        <v>#DIV/0!</v>
      </c>
      <c r="J50" s="20" t="str">
        <f t="shared" si="1"/>
        <v>#DIV/0!</v>
      </c>
      <c r="K50" s="20" t="str">
        <f t="shared" si="1"/>
        <v>#DIV/0!</v>
      </c>
      <c r="L50" s="20"/>
      <c r="M50" s="20" t="str">
        <f t="shared" ref="M50:Y50" si="2">AVERAGE(M2:M49)</f>
        <v>#DIV/0!</v>
      </c>
      <c r="N50" s="20" t="str">
        <f t="shared" si="2"/>
        <v>#DIV/0!</v>
      </c>
      <c r="O50" s="20" t="str">
        <f t="shared" si="2"/>
        <v>#DIV/0!</v>
      </c>
      <c r="P50" s="20" t="str">
        <f t="shared" si="2"/>
        <v>#DIV/0!</v>
      </c>
      <c r="Q50" s="20" t="str">
        <f t="shared" si="2"/>
        <v>#DIV/0!</v>
      </c>
      <c r="R50" s="20" t="str">
        <f t="shared" si="2"/>
        <v>#DIV/0!</v>
      </c>
      <c r="S50" s="20" t="str">
        <f t="shared" si="2"/>
        <v>#DIV/0!</v>
      </c>
      <c r="T50" s="20" t="str">
        <f t="shared" si="2"/>
        <v>#DIV/0!</v>
      </c>
      <c r="U50" s="20" t="str">
        <f t="shared" si="2"/>
        <v>#DIV/0!</v>
      </c>
      <c r="V50" s="20" t="str">
        <f t="shared" si="2"/>
        <v>#DIV/0!</v>
      </c>
      <c r="W50" s="20" t="str">
        <f t="shared" si="2"/>
        <v>#DIV/0!</v>
      </c>
      <c r="X50" s="20" t="str">
        <f t="shared" si="2"/>
        <v>#DIV/0!</v>
      </c>
      <c r="Y50" s="20" t="str">
        <f t="shared" si="2"/>
        <v>#DIV/0!</v>
      </c>
      <c r="Z50" s="95" t="str">
        <f>AVERAGE(B2:Y49)</f>
        <v>#DIV/0!</v>
      </c>
    </row>
  </sheetData>
  <mergeCells count="48">
    <mergeCell ref="Z36:Z37"/>
    <mergeCell ref="Z30:Z31"/>
    <mergeCell ref="Z32:Z33"/>
    <mergeCell ref="A30:A31"/>
    <mergeCell ref="A28:A29"/>
    <mergeCell ref="Z40:Z41"/>
    <mergeCell ref="Z42:Z43"/>
    <mergeCell ref="A16:A17"/>
    <mergeCell ref="Z20:Z21"/>
    <mergeCell ref="Z16:Z17"/>
    <mergeCell ref="Z18:Z19"/>
    <mergeCell ref="A26:A27"/>
    <mergeCell ref="A8:A9"/>
    <mergeCell ref="A10:A11"/>
    <mergeCell ref="A18:A19"/>
    <mergeCell ref="A20:A21"/>
    <mergeCell ref="A6:A7"/>
    <mergeCell ref="A2:A3"/>
    <mergeCell ref="A4:A5"/>
    <mergeCell ref="A14:A15"/>
    <mergeCell ref="A12:A13"/>
    <mergeCell ref="A34:A35"/>
    <mergeCell ref="A32:A33"/>
    <mergeCell ref="A38:A39"/>
    <mergeCell ref="A40:A41"/>
    <mergeCell ref="A24:A25"/>
    <mergeCell ref="A22:A23"/>
    <mergeCell ref="A46:A47"/>
    <mergeCell ref="A42:A43"/>
    <mergeCell ref="A44:A45"/>
    <mergeCell ref="A36:A37"/>
    <mergeCell ref="A48:A49"/>
    <mergeCell ref="Z38:Z39"/>
    <mergeCell ref="Z34:Z35"/>
    <mergeCell ref="Z46:Z47"/>
    <mergeCell ref="Z44:Z45"/>
    <mergeCell ref="Z48:Z49"/>
    <mergeCell ref="Z14:Z15"/>
    <mergeCell ref="Z12:Z13"/>
    <mergeCell ref="Z4:Z5"/>
    <mergeCell ref="Z6:Z7"/>
    <mergeCell ref="Z10:Z11"/>
    <mergeCell ref="Z8:Z9"/>
    <mergeCell ref="Z22:Z23"/>
    <mergeCell ref="Z24:Z25"/>
    <mergeCell ref="Z2:Z3"/>
    <mergeCell ref="Z28:Z29"/>
    <mergeCell ref="Z26:Z27"/>
  </mergeCells>
  <conditionalFormatting sqref="Z1:Z49 A50:Y50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B2:Y49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5.14"/>
    <col customWidth="1" min="2" max="2" width="25.86"/>
    <col customWidth="1" min="3" max="3" width="31.43"/>
    <col customWidth="1" min="4" max="4" width="7.29"/>
  </cols>
  <sheetData>
    <row r="1">
      <c r="A1" s="149" t="s">
        <v>1135</v>
      </c>
      <c r="B1" s="151" t="s">
        <v>1137</v>
      </c>
      <c r="C1" s="151" t="s">
        <v>1139</v>
      </c>
      <c r="D1" s="152" t="s">
        <v>1140</v>
      </c>
    </row>
    <row r="2">
      <c r="A2" s="2" t="s">
        <v>1141</v>
      </c>
      <c r="B2" s="153" t="s">
        <v>1142</v>
      </c>
      <c r="C2" s="153" t="s">
        <v>1143</v>
      </c>
      <c r="D2" s="154">
        <v>1.25</v>
      </c>
    </row>
    <row r="3">
      <c r="A3" s="4" t="s">
        <v>1144</v>
      </c>
      <c r="B3" s="153" t="s">
        <v>1145</v>
      </c>
      <c r="C3" s="153" t="s">
        <v>1146</v>
      </c>
      <c r="D3" s="154">
        <v>1.27</v>
      </c>
    </row>
    <row r="4">
      <c r="A4" s="4" t="s">
        <v>1147</v>
      </c>
      <c r="B4" s="153" t="s">
        <v>1148</v>
      </c>
      <c r="C4" s="153" t="s">
        <v>1149</v>
      </c>
      <c r="D4" s="154">
        <v>1.42</v>
      </c>
    </row>
    <row r="5">
      <c r="A5" s="5" t="s">
        <v>1150</v>
      </c>
      <c r="B5" s="153" t="s">
        <v>1151</v>
      </c>
      <c r="C5" s="153" t="s">
        <v>1152</v>
      </c>
      <c r="D5" s="154">
        <v>1.42</v>
      </c>
    </row>
    <row r="6">
      <c r="A6" s="5" t="s">
        <v>1153</v>
      </c>
      <c r="B6" s="153" t="s">
        <v>1154</v>
      </c>
      <c r="C6" s="153" t="s">
        <v>1155</v>
      </c>
      <c r="D6" s="154">
        <v>1.25</v>
      </c>
    </row>
    <row r="7">
      <c r="A7" s="6" t="s">
        <v>1156</v>
      </c>
      <c r="B7" s="153" t="s">
        <v>1157</v>
      </c>
      <c r="C7" s="153" t="s">
        <v>1158</v>
      </c>
      <c r="D7" s="154">
        <v>1.26</v>
      </c>
    </row>
    <row r="8">
      <c r="A8" s="6" t="s">
        <v>1159</v>
      </c>
      <c r="B8" s="155"/>
      <c r="C8" s="156"/>
      <c r="D8" s="157"/>
    </row>
    <row r="9">
      <c r="A9" s="2" t="s">
        <v>1160</v>
      </c>
      <c r="B9" s="155"/>
      <c r="C9" s="155"/>
      <c r="D9" s="157"/>
    </row>
    <row r="10">
      <c r="A10" s="2" t="s">
        <v>1161</v>
      </c>
      <c r="B10" s="153" t="s">
        <v>1162</v>
      </c>
      <c r="C10" s="153" t="s">
        <v>1163</v>
      </c>
      <c r="D10" s="158"/>
    </row>
    <row r="11">
      <c r="A11" s="4" t="s">
        <v>1164</v>
      </c>
      <c r="B11" s="153" t="s">
        <v>1165</v>
      </c>
      <c r="C11" s="153" t="s">
        <v>1166</v>
      </c>
      <c r="D11" s="158"/>
    </row>
    <row r="12">
      <c r="A12" s="4" t="s">
        <v>1167</v>
      </c>
      <c r="B12" s="153" t="s">
        <v>1168</v>
      </c>
      <c r="C12" s="153" t="s">
        <v>1169</v>
      </c>
      <c r="D12" s="158"/>
    </row>
    <row r="13">
      <c r="A13" s="5" t="s">
        <v>1170</v>
      </c>
      <c r="B13" s="153" t="s">
        <v>1171</v>
      </c>
      <c r="C13" s="153" t="s">
        <v>1172</v>
      </c>
      <c r="D13" s="158"/>
    </row>
    <row r="14">
      <c r="A14" s="5" t="s">
        <v>1173</v>
      </c>
      <c r="B14" s="153" t="s">
        <v>1174</v>
      </c>
      <c r="C14" s="153" t="s">
        <v>1175</v>
      </c>
      <c r="D14" s="158"/>
    </row>
    <row r="15">
      <c r="A15" s="6" t="s">
        <v>1176</v>
      </c>
      <c r="B15" s="153" t="s">
        <v>1177</v>
      </c>
      <c r="C15" s="153" t="s">
        <v>1178</v>
      </c>
      <c r="D15" s="158"/>
    </row>
    <row r="16">
      <c r="A16" s="6" t="s">
        <v>1179</v>
      </c>
      <c r="B16" s="153" t="s">
        <v>1180</v>
      </c>
      <c r="C16" s="153" t="s">
        <v>1181</v>
      </c>
      <c r="D16" s="158"/>
    </row>
    <row r="17">
      <c r="A17" s="2" t="s">
        <v>1182</v>
      </c>
      <c r="B17" s="153" t="s">
        <v>1183</v>
      </c>
      <c r="C17" s="153" t="s">
        <v>1184</v>
      </c>
      <c r="D17" s="158"/>
    </row>
    <row r="18">
      <c r="A18" s="13"/>
      <c r="D18" s="158">
        <f>AVERAGE(D2:D17)</f>
        <v>1.311666667</v>
      </c>
    </row>
  </sheetData>
  <conditionalFormatting sqref="A18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D2:D17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75"/>
  <cols>
    <col customWidth="1" min="1" max="1" width="14.71"/>
    <col customWidth="1" min="2" max="2" width="17.57"/>
    <col customWidth="1" min="3" max="3" width="27.0"/>
    <col customWidth="1" min="4" max="4" width="7.29"/>
  </cols>
  <sheetData>
    <row r="1">
      <c r="A1" s="8" t="s">
        <v>4</v>
      </c>
      <c r="B1" s="160" t="s">
        <v>1238</v>
      </c>
      <c r="C1" s="160" t="s">
        <v>1139</v>
      </c>
      <c r="D1" s="160" t="s">
        <v>1140</v>
      </c>
    </row>
    <row r="2">
      <c r="A2" s="12" t="s">
        <v>1239</v>
      </c>
      <c r="B2" s="153" t="s">
        <v>1240</v>
      </c>
      <c r="D2" s="161"/>
    </row>
    <row r="3">
      <c r="A3" s="12" t="s">
        <v>1243</v>
      </c>
      <c r="B3" s="153" t="s">
        <v>1244</v>
      </c>
      <c r="D3" s="162"/>
    </row>
    <row r="4">
      <c r="A4" s="30" t="s">
        <v>1245</v>
      </c>
      <c r="B4" s="153" t="s">
        <v>1246</v>
      </c>
      <c r="D4" s="162"/>
    </row>
    <row r="5">
      <c r="A5" s="12" t="s">
        <v>1247</v>
      </c>
      <c r="B5" s="153" t="s">
        <v>1248</v>
      </c>
      <c r="D5" s="162"/>
    </row>
    <row r="6">
      <c r="A6" s="12" t="s">
        <v>1249</v>
      </c>
      <c r="B6" s="155"/>
      <c r="C6" s="155"/>
      <c r="D6" s="163"/>
    </row>
    <row r="7">
      <c r="A7" s="10" t="s">
        <v>1250</v>
      </c>
      <c r="B7" s="153" t="s">
        <v>1251</v>
      </c>
      <c r="D7" s="162"/>
    </row>
    <row r="8">
      <c r="A8" s="10" t="s">
        <v>1252</v>
      </c>
      <c r="B8" s="153" t="s">
        <v>1253</v>
      </c>
      <c r="D8" s="162"/>
    </row>
    <row r="9">
      <c r="A9" s="33" t="s">
        <v>1254</v>
      </c>
      <c r="B9" s="153" t="s">
        <v>1255</v>
      </c>
      <c r="D9" s="162"/>
    </row>
    <row r="10">
      <c r="A10" s="33" t="s">
        <v>1256</v>
      </c>
      <c r="B10" s="153" t="s">
        <v>1257</v>
      </c>
      <c r="D10" s="162"/>
    </row>
    <row r="11">
      <c r="A11" s="30" t="s">
        <v>1258</v>
      </c>
      <c r="B11" s="153" t="s">
        <v>1259</v>
      </c>
      <c r="D11" s="162"/>
    </row>
    <row r="12">
      <c r="A12" s="33" t="s">
        <v>1260</v>
      </c>
      <c r="B12" s="153" t="s">
        <v>1261</v>
      </c>
      <c r="D12" s="162"/>
    </row>
    <row r="13">
      <c r="A13" s="33" t="s">
        <v>1262</v>
      </c>
      <c r="B13" s="153" t="s">
        <v>1263</v>
      </c>
      <c r="D13" s="162"/>
    </row>
    <row r="14">
      <c r="A14" s="115"/>
      <c r="D14" s="162" t="str">
        <f>AVERAGE(D2:D13)</f>
        <v>#DIV/0!</v>
      </c>
    </row>
  </sheetData>
  <conditionalFormatting sqref="A14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D2:D13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9.14"/>
    <col customWidth="1" min="2" max="2" width="14.43"/>
  </cols>
  <sheetData>
    <row r="1">
      <c r="A1" s="8"/>
      <c r="B1" s="10" t="s">
        <v>26</v>
      </c>
      <c r="C1" s="12" t="s">
        <v>27</v>
      </c>
      <c r="D1" s="14" t="s">
        <v>28</v>
      </c>
      <c r="E1" s="14" t="s">
        <v>30</v>
      </c>
      <c r="F1" s="12" t="s">
        <v>31</v>
      </c>
      <c r="G1" s="30" t="s">
        <v>32</v>
      </c>
      <c r="H1" s="30" t="s">
        <v>70</v>
      </c>
      <c r="I1" s="12" t="s">
        <v>71</v>
      </c>
      <c r="J1" s="31" t="s">
        <v>72</v>
      </c>
      <c r="K1" s="31" t="s">
        <v>73</v>
      </c>
      <c r="L1" s="12" t="s">
        <v>74</v>
      </c>
      <c r="M1" s="10" t="s">
        <v>75</v>
      </c>
      <c r="N1" s="10" t="s">
        <v>76</v>
      </c>
      <c r="O1" s="33" t="s">
        <v>79</v>
      </c>
      <c r="P1" s="14" t="s">
        <v>85</v>
      </c>
      <c r="Q1" s="14" t="s">
        <v>87</v>
      </c>
      <c r="R1" s="33" t="s">
        <v>89</v>
      </c>
      <c r="S1" s="30" t="s">
        <v>90</v>
      </c>
      <c r="T1" s="30" t="s">
        <v>92</v>
      </c>
      <c r="U1" s="33" t="s">
        <v>94</v>
      </c>
      <c r="V1" s="31" t="s">
        <v>96</v>
      </c>
      <c r="W1" s="31" t="s">
        <v>98</v>
      </c>
      <c r="X1" s="36" t="s">
        <v>100</v>
      </c>
      <c r="Y1" s="10" t="s">
        <v>106</v>
      </c>
      <c r="Z1" s="11"/>
    </row>
    <row r="2">
      <c r="A2" s="2" t="s">
        <v>29</v>
      </c>
      <c r="B2" s="164"/>
      <c r="C2" s="165"/>
      <c r="D2" s="166"/>
      <c r="E2" s="166"/>
      <c r="F2" s="166"/>
      <c r="G2" s="166"/>
      <c r="H2" s="166"/>
      <c r="I2" s="166"/>
      <c r="J2" s="166"/>
      <c r="K2" s="166"/>
      <c r="L2" s="164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7"/>
      <c r="Z2" s="168" t="str">
        <f>AVERAGE(B3:Y3)</f>
        <v>#DIV/0!</v>
      </c>
    </row>
    <row r="3">
      <c r="B3" s="169"/>
      <c r="C3" s="170"/>
      <c r="D3" s="170"/>
      <c r="E3" s="170"/>
      <c r="F3" s="170"/>
      <c r="G3" s="170"/>
      <c r="H3" s="170"/>
      <c r="I3" s="170"/>
      <c r="J3" s="170"/>
      <c r="K3" s="170"/>
      <c r="L3" s="169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1"/>
    </row>
    <row r="4">
      <c r="A4" s="3" t="s">
        <v>2</v>
      </c>
      <c r="B4" s="172"/>
      <c r="C4" s="166"/>
      <c r="D4" s="165"/>
      <c r="E4" s="166"/>
      <c r="F4" s="166"/>
      <c r="G4" s="166"/>
      <c r="H4" s="166"/>
      <c r="I4" s="165" t="s">
        <v>1293</v>
      </c>
      <c r="J4" s="166"/>
      <c r="K4" s="166"/>
      <c r="L4" s="172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7"/>
      <c r="Z4" s="168">
        <f>AVERAGE(B5:Y5)</f>
        <v>1.09</v>
      </c>
    </row>
    <row r="5">
      <c r="B5" s="173"/>
      <c r="C5" s="170"/>
      <c r="D5" s="168"/>
      <c r="E5" s="168"/>
      <c r="F5" s="168"/>
      <c r="G5" s="168"/>
      <c r="H5" s="168"/>
      <c r="I5" s="168">
        <v>1.09</v>
      </c>
      <c r="J5" s="170"/>
      <c r="K5" s="170"/>
      <c r="L5" s="173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1"/>
    </row>
    <row r="6">
      <c r="A6" s="4" t="s">
        <v>3</v>
      </c>
      <c r="B6" s="172"/>
      <c r="C6" s="166"/>
      <c r="D6" s="166"/>
      <c r="E6" s="166"/>
      <c r="F6" s="166"/>
      <c r="G6" s="166"/>
      <c r="H6" s="166"/>
      <c r="I6" s="166"/>
      <c r="J6" s="166"/>
      <c r="K6" s="166"/>
      <c r="L6" s="172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7"/>
      <c r="Z6" s="168" t="str">
        <f>AVERAGE(B7:Y7)</f>
        <v>#DIV/0!</v>
      </c>
    </row>
    <row r="7">
      <c r="B7" s="173"/>
      <c r="C7" s="170"/>
      <c r="D7" s="170"/>
      <c r="E7" s="170"/>
      <c r="F7" s="170"/>
      <c r="G7" s="170"/>
      <c r="H7" s="170"/>
      <c r="I7" s="170"/>
      <c r="J7" s="170"/>
      <c r="K7" s="170"/>
      <c r="L7" s="173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1"/>
    </row>
    <row r="8">
      <c r="A8" s="4" t="s">
        <v>5</v>
      </c>
      <c r="B8" s="172"/>
      <c r="C8" s="166"/>
      <c r="D8" s="166"/>
      <c r="E8" s="166"/>
      <c r="F8" s="166"/>
      <c r="G8" s="166"/>
      <c r="H8" s="166"/>
      <c r="I8" s="165" t="s">
        <v>1299</v>
      </c>
      <c r="J8" s="166"/>
      <c r="K8" s="166"/>
      <c r="L8" s="172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7"/>
      <c r="Z8" s="168">
        <f>AVERAGE(B9:Y9)</f>
        <v>1.05</v>
      </c>
    </row>
    <row r="9">
      <c r="B9" s="173"/>
      <c r="C9" s="170"/>
      <c r="D9" s="170"/>
      <c r="E9" s="170"/>
      <c r="F9" s="170"/>
      <c r="G9" s="170"/>
      <c r="H9" s="170"/>
      <c r="I9" s="168">
        <v>1.05</v>
      </c>
      <c r="J9" s="170"/>
      <c r="K9" s="170"/>
      <c r="L9" s="173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1"/>
    </row>
    <row r="10">
      <c r="A10" s="3" t="s">
        <v>127</v>
      </c>
      <c r="B10" s="172"/>
      <c r="C10" s="166"/>
      <c r="D10" s="166"/>
      <c r="E10" s="166"/>
      <c r="F10" s="166"/>
      <c r="G10" s="166"/>
      <c r="H10" s="166"/>
      <c r="I10" s="165"/>
      <c r="J10" s="166"/>
      <c r="K10" s="166"/>
      <c r="L10" s="172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7"/>
      <c r="Z10" s="168" t="str">
        <f>AVERAGE(B11:Y11)</f>
        <v>#DIV/0!</v>
      </c>
    </row>
    <row r="11">
      <c r="B11" s="173"/>
      <c r="C11" s="170"/>
      <c r="D11" s="170"/>
      <c r="E11" s="170"/>
      <c r="F11" s="170"/>
      <c r="G11" s="170"/>
      <c r="H11" s="170"/>
      <c r="I11" s="170"/>
      <c r="J11" s="170"/>
      <c r="K11" s="170"/>
      <c r="L11" s="173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1"/>
    </row>
    <row r="12">
      <c r="A12" s="5" t="s">
        <v>7</v>
      </c>
      <c r="B12" s="172"/>
      <c r="C12" s="166"/>
      <c r="D12" s="166"/>
      <c r="E12" s="166"/>
      <c r="F12" s="166"/>
      <c r="G12" s="166"/>
      <c r="H12" s="166"/>
      <c r="I12" s="165" t="s">
        <v>1322</v>
      </c>
      <c r="J12" s="166"/>
      <c r="K12" s="166"/>
      <c r="L12" s="172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7"/>
      <c r="Z12" s="168">
        <f>AVERAGE(B13:Y13)</f>
        <v>1.01</v>
      </c>
    </row>
    <row r="13">
      <c r="B13" s="173"/>
      <c r="C13" s="170"/>
      <c r="D13" s="170"/>
      <c r="E13" s="170"/>
      <c r="F13" s="170"/>
      <c r="G13" s="170"/>
      <c r="H13" s="170"/>
      <c r="I13" s="168">
        <v>1.01</v>
      </c>
      <c r="J13" s="170"/>
      <c r="K13" s="170"/>
      <c r="L13" s="173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1"/>
    </row>
    <row r="14">
      <c r="A14" s="5" t="s">
        <v>8</v>
      </c>
      <c r="B14" s="172"/>
      <c r="C14" s="166"/>
      <c r="D14" s="166"/>
      <c r="E14" s="166"/>
      <c r="F14" s="166"/>
      <c r="G14" s="166"/>
      <c r="H14" s="166"/>
      <c r="I14" s="165" t="s">
        <v>1337</v>
      </c>
      <c r="J14" s="166"/>
      <c r="K14" s="166"/>
      <c r="L14" s="172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7"/>
      <c r="Z14" s="168" t="str">
        <f>AVERAGE(B15:Y15)</f>
        <v>#DIV/0!</v>
      </c>
    </row>
    <row r="15">
      <c r="B15" s="173"/>
      <c r="C15" s="170"/>
      <c r="D15" s="170"/>
      <c r="E15" s="170"/>
      <c r="F15" s="170"/>
      <c r="G15" s="170"/>
      <c r="H15" s="170"/>
      <c r="I15" s="170"/>
      <c r="J15" s="170"/>
      <c r="K15" s="170"/>
      <c r="L15" s="173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1"/>
    </row>
    <row r="16">
      <c r="A16" s="3" t="s">
        <v>9</v>
      </c>
      <c r="B16" s="172"/>
      <c r="C16" s="166"/>
      <c r="D16" s="166"/>
      <c r="E16" s="166"/>
      <c r="F16" s="166"/>
      <c r="G16" s="166"/>
      <c r="H16" s="166"/>
      <c r="I16" s="165" t="s">
        <v>1364</v>
      </c>
      <c r="J16" s="166"/>
      <c r="K16" s="166"/>
      <c r="L16" s="172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7"/>
      <c r="Z16" s="168">
        <f>AVERAGE(B17:Y17)</f>
        <v>1.02</v>
      </c>
    </row>
    <row r="17">
      <c r="B17" s="173"/>
      <c r="C17" s="170"/>
      <c r="D17" s="170"/>
      <c r="E17" s="170"/>
      <c r="F17" s="170"/>
      <c r="G17" s="170"/>
      <c r="H17" s="170"/>
      <c r="I17" s="168">
        <v>1.02</v>
      </c>
      <c r="J17" s="170"/>
      <c r="K17" s="170"/>
      <c r="L17" s="173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1"/>
    </row>
    <row r="18">
      <c r="A18" s="6" t="s">
        <v>200</v>
      </c>
      <c r="B18" s="172"/>
      <c r="C18" s="166"/>
      <c r="D18" s="166"/>
      <c r="E18" s="166"/>
      <c r="F18" s="166"/>
      <c r="G18" s="166"/>
      <c r="H18" s="166"/>
      <c r="I18" s="165"/>
      <c r="J18" s="166"/>
      <c r="K18" s="166"/>
      <c r="L18" s="172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7"/>
      <c r="Z18" s="168" t="str">
        <f>AVERAGE(B19:Y19)</f>
        <v>#DIV/0!</v>
      </c>
    </row>
    <row r="19">
      <c r="B19" s="173"/>
      <c r="C19" s="170"/>
      <c r="D19" s="170"/>
      <c r="E19" s="170"/>
      <c r="F19" s="170"/>
      <c r="G19" s="170"/>
      <c r="H19" s="170"/>
      <c r="I19" s="170"/>
      <c r="J19" s="170"/>
      <c r="K19" s="170"/>
      <c r="L19" s="173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1"/>
    </row>
    <row r="20">
      <c r="A20" s="6" t="s">
        <v>11</v>
      </c>
      <c r="B20" s="164"/>
      <c r="C20" s="164"/>
      <c r="D20" s="172"/>
      <c r="E20" s="172"/>
      <c r="F20" s="172"/>
      <c r="G20" s="172"/>
      <c r="H20" s="164"/>
      <c r="I20" s="164"/>
      <c r="J20" s="172"/>
      <c r="K20" s="172"/>
      <c r="L20" s="172"/>
      <c r="M20" s="172"/>
      <c r="N20" s="172"/>
      <c r="O20" s="172"/>
      <c r="P20" s="183"/>
      <c r="Q20" s="183"/>
      <c r="R20" s="183"/>
      <c r="S20" s="183"/>
      <c r="T20" s="172"/>
      <c r="U20" s="172"/>
      <c r="V20" s="183"/>
      <c r="W20" s="183"/>
      <c r="X20" s="183"/>
      <c r="Y20" s="184"/>
      <c r="Z20" s="45"/>
    </row>
    <row r="21">
      <c r="B21" s="169"/>
      <c r="C21" s="169"/>
      <c r="D21" s="173"/>
      <c r="E21" s="173"/>
      <c r="F21" s="173"/>
      <c r="G21" s="173"/>
      <c r="H21" s="169"/>
      <c r="I21" s="169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85"/>
    </row>
    <row r="22">
      <c r="A22" s="3" t="s">
        <v>12</v>
      </c>
      <c r="B22" s="164"/>
      <c r="C22" s="164"/>
      <c r="D22" s="172"/>
      <c r="E22" s="172"/>
      <c r="F22" s="172"/>
      <c r="G22" s="172"/>
      <c r="H22" s="164"/>
      <c r="I22" s="164"/>
      <c r="J22" s="172"/>
      <c r="K22" s="172"/>
      <c r="L22" s="172"/>
      <c r="M22" s="172"/>
      <c r="N22" s="172"/>
      <c r="O22" s="172"/>
      <c r="P22" s="183"/>
      <c r="Q22" s="183"/>
      <c r="R22" s="183"/>
      <c r="S22" s="183"/>
      <c r="T22" s="172"/>
      <c r="U22" s="172"/>
      <c r="V22" s="183"/>
      <c r="W22" s="183"/>
      <c r="X22" s="183"/>
      <c r="Y22" s="184"/>
      <c r="Z22" s="45"/>
    </row>
    <row r="23">
      <c r="B23" s="169"/>
      <c r="C23" s="169"/>
      <c r="D23" s="173"/>
      <c r="E23" s="173"/>
      <c r="F23" s="173"/>
      <c r="G23" s="173"/>
      <c r="H23" s="169"/>
      <c r="I23" s="169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85"/>
    </row>
    <row r="24">
      <c r="A24" s="2" t="s">
        <v>13</v>
      </c>
      <c r="B24" s="164"/>
      <c r="C24" s="164"/>
      <c r="D24" s="172"/>
      <c r="E24" s="172"/>
      <c r="F24" s="172"/>
      <c r="G24" s="172"/>
      <c r="H24" s="164"/>
      <c r="I24" s="164"/>
      <c r="J24" s="172"/>
      <c r="K24" s="172"/>
      <c r="L24" s="172"/>
      <c r="M24" s="172"/>
      <c r="N24" s="172"/>
      <c r="O24" s="172"/>
      <c r="P24" s="183"/>
      <c r="Q24" s="183"/>
      <c r="R24" s="183"/>
      <c r="S24" s="183"/>
      <c r="T24" s="172"/>
      <c r="U24" s="172"/>
      <c r="V24" s="183"/>
      <c r="W24" s="183"/>
      <c r="X24" s="183"/>
      <c r="Y24" s="184"/>
      <c r="Z24" s="45"/>
    </row>
    <row r="25">
      <c r="B25" s="169"/>
      <c r="C25" s="169"/>
      <c r="D25" s="173"/>
      <c r="E25" s="173"/>
      <c r="F25" s="173"/>
      <c r="G25" s="173"/>
      <c r="H25" s="169"/>
      <c r="I25" s="169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85"/>
    </row>
    <row r="26">
      <c r="A26" s="2" t="s">
        <v>14</v>
      </c>
      <c r="B26" s="172"/>
      <c r="C26" s="166"/>
      <c r="D26" s="166"/>
      <c r="E26" s="166"/>
      <c r="F26" s="166"/>
      <c r="G26" s="166"/>
      <c r="H26" s="166"/>
      <c r="I26" s="166"/>
      <c r="J26" s="166"/>
      <c r="K26" s="166"/>
      <c r="L26" s="172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7"/>
      <c r="Z26" s="168" t="str">
        <f>AVERAGE(B27:Y27)</f>
        <v>#DIV/0!</v>
      </c>
    </row>
    <row r="27">
      <c r="B27" s="173"/>
      <c r="C27" s="170"/>
      <c r="D27" s="170"/>
      <c r="E27" s="170"/>
      <c r="F27" s="170"/>
      <c r="G27" s="170"/>
      <c r="H27" s="170"/>
      <c r="I27" s="170"/>
      <c r="J27" s="170"/>
      <c r="K27" s="170"/>
      <c r="L27" s="173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1"/>
    </row>
    <row r="28">
      <c r="A28" s="7" t="s">
        <v>15</v>
      </c>
      <c r="B28" s="183"/>
      <c r="C28" s="166"/>
      <c r="D28" s="166"/>
      <c r="E28" s="166"/>
      <c r="F28" s="166"/>
      <c r="G28" s="166"/>
      <c r="H28" s="166"/>
      <c r="I28" s="165" t="s">
        <v>1722</v>
      </c>
      <c r="J28" s="166"/>
      <c r="K28" s="166"/>
      <c r="L28" s="183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7"/>
      <c r="Z28" s="168" t="str">
        <f>AVERAGE(B29:Y29)</f>
        <v>#DIV/0!</v>
      </c>
    </row>
    <row r="29">
      <c r="B29" s="173"/>
      <c r="C29" s="170"/>
      <c r="D29" s="170"/>
      <c r="E29" s="170"/>
      <c r="F29" s="170"/>
      <c r="G29" s="170"/>
      <c r="H29" s="170"/>
      <c r="I29" s="170"/>
      <c r="J29" s="170"/>
      <c r="K29" s="170"/>
      <c r="L29" s="173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1"/>
    </row>
    <row r="30">
      <c r="A30" s="4" t="s">
        <v>279</v>
      </c>
      <c r="B30" s="183"/>
      <c r="C30" s="166"/>
      <c r="D30" s="166"/>
      <c r="E30" s="166"/>
      <c r="F30" s="166"/>
      <c r="G30" s="166"/>
      <c r="H30" s="166"/>
      <c r="I30" s="166"/>
      <c r="J30" s="166"/>
      <c r="K30" s="166"/>
      <c r="L30" s="183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7"/>
      <c r="Z30" s="168" t="str">
        <f>AVERAGE(B31:Y31)</f>
        <v>#DIV/0!</v>
      </c>
    </row>
    <row r="31">
      <c r="B31" s="173"/>
      <c r="C31" s="170"/>
      <c r="D31" s="170"/>
      <c r="E31" s="170"/>
      <c r="F31" s="170"/>
      <c r="G31" s="170"/>
      <c r="H31" s="170"/>
      <c r="I31" s="170"/>
      <c r="J31" s="170"/>
      <c r="K31" s="170"/>
      <c r="L31" s="173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1"/>
    </row>
    <row r="32">
      <c r="A32" s="4" t="s">
        <v>17</v>
      </c>
      <c r="B32" s="172"/>
      <c r="C32" s="166"/>
      <c r="D32" s="166"/>
      <c r="E32" s="166"/>
      <c r="F32" s="166"/>
      <c r="G32" s="166"/>
      <c r="H32" s="166"/>
      <c r="I32" s="166"/>
      <c r="J32" s="166"/>
      <c r="K32" s="166"/>
      <c r="L32" s="172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7"/>
      <c r="Z32" s="168" t="str">
        <f>AVERAGE(B33:Y33)</f>
        <v>#DIV/0!</v>
      </c>
    </row>
    <row r="33">
      <c r="B33" s="173"/>
      <c r="C33" s="170"/>
      <c r="D33" s="170"/>
      <c r="E33" s="170"/>
      <c r="F33" s="170"/>
      <c r="G33" s="170"/>
      <c r="H33" s="170"/>
      <c r="I33" s="170"/>
      <c r="J33" s="170"/>
      <c r="K33" s="170"/>
      <c r="L33" s="173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1"/>
    </row>
    <row r="34">
      <c r="A34" s="7" t="s">
        <v>18</v>
      </c>
      <c r="B34" s="183"/>
      <c r="C34" s="166"/>
      <c r="D34" s="166"/>
      <c r="E34" s="166"/>
      <c r="F34" s="166"/>
      <c r="G34" s="166"/>
      <c r="H34" s="166"/>
      <c r="I34" s="165" t="s">
        <v>1890</v>
      </c>
      <c r="J34" s="166"/>
      <c r="K34" s="166"/>
      <c r="L34" s="183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7"/>
      <c r="Z34" s="168">
        <f>AVERAGE(B35:Y35)</f>
        <v>1.11</v>
      </c>
    </row>
    <row r="35">
      <c r="B35" s="173"/>
      <c r="C35" s="170"/>
      <c r="D35" s="170"/>
      <c r="E35" s="170"/>
      <c r="F35" s="170"/>
      <c r="G35" s="170"/>
      <c r="H35" s="170"/>
      <c r="I35" s="168">
        <v>1.11</v>
      </c>
      <c r="J35" s="170"/>
      <c r="K35" s="170"/>
      <c r="L35" s="173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1"/>
    </row>
    <row r="36">
      <c r="A36" s="5" t="s">
        <v>19</v>
      </c>
      <c r="B36" s="183"/>
      <c r="C36" s="166"/>
      <c r="D36" s="166"/>
      <c r="E36" s="166"/>
      <c r="F36" s="166"/>
      <c r="G36" s="166"/>
      <c r="H36" s="166"/>
      <c r="I36" s="166"/>
      <c r="J36" s="166"/>
      <c r="K36" s="166"/>
      <c r="L36" s="183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7"/>
      <c r="Z36" s="168" t="str">
        <f>AVERAGE(B37:Y37)</f>
        <v>#DIV/0!</v>
      </c>
    </row>
    <row r="37">
      <c r="B37" s="173"/>
      <c r="C37" s="170"/>
      <c r="D37" s="170"/>
      <c r="E37" s="170"/>
      <c r="F37" s="170"/>
      <c r="G37" s="170"/>
      <c r="H37" s="170"/>
      <c r="I37" s="170"/>
      <c r="J37" s="170"/>
      <c r="K37" s="170"/>
      <c r="L37" s="173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1"/>
    </row>
    <row r="38">
      <c r="A38" s="5" t="s">
        <v>20</v>
      </c>
      <c r="B38" s="183"/>
      <c r="C38" s="166"/>
      <c r="D38" s="166"/>
      <c r="E38" s="166"/>
      <c r="F38" s="166"/>
      <c r="G38" s="166"/>
      <c r="H38" s="166"/>
      <c r="I38" s="166"/>
      <c r="J38" s="166"/>
      <c r="K38" s="166"/>
      <c r="L38" s="183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7"/>
      <c r="Z38" s="168" t="str">
        <f>AVERAGE(B39:Y39)</f>
        <v>#DIV/0!</v>
      </c>
    </row>
    <row r="39">
      <c r="B39" s="173"/>
      <c r="C39" s="170"/>
      <c r="D39" s="170"/>
      <c r="E39" s="170"/>
      <c r="F39" s="170"/>
      <c r="G39" s="170"/>
      <c r="H39" s="170"/>
      <c r="I39" s="170"/>
      <c r="J39" s="170"/>
      <c r="K39" s="170"/>
      <c r="L39" s="173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1"/>
    </row>
    <row r="40">
      <c r="A40" s="7" t="s">
        <v>21</v>
      </c>
      <c r="B40" s="183"/>
      <c r="C40" s="166"/>
      <c r="D40" s="166"/>
      <c r="E40" s="166"/>
      <c r="F40" s="166"/>
      <c r="G40" s="166"/>
      <c r="H40" s="166"/>
      <c r="I40" s="165" t="s">
        <v>2091</v>
      </c>
      <c r="J40" s="166"/>
      <c r="K40" s="166"/>
      <c r="L40" s="183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7"/>
      <c r="Z40" s="168" t="str">
        <f>AVERAGE(B41:Y41)</f>
        <v>#DIV/0!</v>
      </c>
    </row>
    <row r="41">
      <c r="B41" s="173"/>
      <c r="C41" s="170"/>
      <c r="D41" s="170"/>
      <c r="E41" s="170"/>
      <c r="F41" s="170"/>
      <c r="G41" s="170"/>
      <c r="H41" s="170"/>
      <c r="I41" s="170"/>
      <c r="J41" s="170"/>
      <c r="K41" s="170"/>
      <c r="L41" s="173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1"/>
    </row>
    <row r="42">
      <c r="A42" s="6" t="s">
        <v>448</v>
      </c>
      <c r="B42" s="183"/>
      <c r="C42" s="166"/>
      <c r="D42" s="166"/>
      <c r="E42" s="166"/>
      <c r="F42" s="166"/>
      <c r="G42" s="166"/>
      <c r="H42" s="166"/>
      <c r="I42" s="166"/>
      <c r="J42" s="166"/>
      <c r="K42" s="166"/>
      <c r="L42" s="183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7"/>
      <c r="Z42" s="168" t="str">
        <f>AVERAGE(B43:Y43)</f>
        <v>#DIV/0!</v>
      </c>
    </row>
    <row r="43">
      <c r="B43" s="173"/>
      <c r="C43" s="170"/>
      <c r="D43" s="170"/>
      <c r="E43" s="170"/>
      <c r="F43" s="170"/>
      <c r="G43" s="170"/>
      <c r="H43" s="170"/>
      <c r="I43" s="170"/>
      <c r="J43" s="170"/>
      <c r="K43" s="170"/>
      <c r="L43" s="173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1"/>
    </row>
    <row r="44">
      <c r="A44" s="6" t="s">
        <v>23</v>
      </c>
      <c r="B44" s="183"/>
      <c r="C44" s="166"/>
      <c r="D44" s="166"/>
      <c r="E44" s="166"/>
      <c r="F44" s="166"/>
      <c r="G44" s="166"/>
      <c r="H44" s="166"/>
      <c r="I44" s="166"/>
      <c r="J44" s="166"/>
      <c r="K44" s="166"/>
      <c r="L44" s="183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7"/>
      <c r="Z44" s="168" t="str">
        <f>AVERAGE(B45:Y45)</f>
        <v>#DIV/0!</v>
      </c>
    </row>
    <row r="45">
      <c r="B45" s="173"/>
      <c r="C45" s="170"/>
      <c r="D45" s="170"/>
      <c r="E45" s="170"/>
      <c r="F45" s="170"/>
      <c r="G45" s="170"/>
      <c r="H45" s="170"/>
      <c r="I45" s="170"/>
      <c r="J45" s="170"/>
      <c r="K45" s="170"/>
      <c r="L45" s="173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1"/>
    </row>
    <row r="46">
      <c r="A46" s="7" t="s">
        <v>522</v>
      </c>
      <c r="B46" s="183"/>
      <c r="C46" s="166"/>
      <c r="D46" s="166"/>
      <c r="E46" s="166"/>
      <c r="F46" s="166"/>
      <c r="G46" s="166"/>
      <c r="H46" s="166"/>
      <c r="I46" s="165" t="s">
        <v>1722</v>
      </c>
      <c r="J46" s="166"/>
      <c r="K46" s="166"/>
      <c r="L46" s="183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7"/>
      <c r="Z46" s="168" t="str">
        <f>AVERAGE(B47:Y47)</f>
        <v>#DIV/0!</v>
      </c>
    </row>
    <row r="47">
      <c r="B47" s="173"/>
      <c r="C47" s="170"/>
      <c r="D47" s="170"/>
      <c r="E47" s="170"/>
      <c r="F47" s="170"/>
      <c r="G47" s="170"/>
      <c r="H47" s="170"/>
      <c r="I47" s="170"/>
      <c r="J47" s="170"/>
      <c r="K47" s="170"/>
      <c r="L47" s="173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1"/>
    </row>
    <row r="48">
      <c r="A48" s="2" t="s">
        <v>561</v>
      </c>
      <c r="B48" s="183"/>
      <c r="C48" s="166"/>
      <c r="D48" s="166"/>
      <c r="E48" s="166"/>
      <c r="F48" s="166"/>
      <c r="G48" s="166"/>
      <c r="H48" s="166"/>
      <c r="I48" s="166"/>
      <c r="J48" s="166"/>
      <c r="K48" s="166"/>
      <c r="L48" s="183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7"/>
      <c r="Z48" s="168" t="str">
        <f>AVERAGE(B49:Y49)</f>
        <v>#DIV/0!</v>
      </c>
    </row>
    <row r="49">
      <c r="B49" s="189"/>
      <c r="C49" s="190"/>
      <c r="D49" s="190"/>
      <c r="E49" s="190"/>
      <c r="F49" s="190"/>
      <c r="G49" s="190"/>
      <c r="H49" s="190"/>
      <c r="I49" s="190"/>
      <c r="J49" s="190"/>
      <c r="K49" s="190"/>
      <c r="L49" s="189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1"/>
    </row>
    <row r="50">
      <c r="A50" s="192"/>
      <c r="B50" s="20"/>
      <c r="C50" s="20" t="str">
        <f t="shared" ref="C50:K50" si="1">AVERAGE(C2:C49)</f>
        <v>#DIV/0!</v>
      </c>
      <c r="D50" s="20" t="str">
        <f t="shared" si="1"/>
        <v>#DIV/0!</v>
      </c>
      <c r="E50" s="20" t="str">
        <f t="shared" si="1"/>
        <v>#DIV/0!</v>
      </c>
      <c r="F50" s="20" t="str">
        <f t="shared" si="1"/>
        <v>#DIV/0!</v>
      </c>
      <c r="G50" s="20" t="str">
        <f t="shared" si="1"/>
        <v>#DIV/0!</v>
      </c>
      <c r="H50" s="20" t="str">
        <f t="shared" si="1"/>
        <v>#DIV/0!</v>
      </c>
      <c r="I50" s="20">
        <f t="shared" si="1"/>
        <v>1.056</v>
      </c>
      <c r="J50" s="20" t="str">
        <f t="shared" si="1"/>
        <v>#DIV/0!</v>
      </c>
      <c r="K50" s="20" t="str">
        <f t="shared" si="1"/>
        <v>#DIV/0!</v>
      </c>
      <c r="L50" s="20"/>
      <c r="M50" s="20" t="str">
        <f t="shared" ref="M50:Y50" si="2">AVERAGE(M2:M49)</f>
        <v>#DIV/0!</v>
      </c>
      <c r="N50" s="20" t="str">
        <f t="shared" si="2"/>
        <v>#DIV/0!</v>
      </c>
      <c r="O50" s="20" t="str">
        <f t="shared" si="2"/>
        <v>#DIV/0!</v>
      </c>
      <c r="P50" s="20" t="str">
        <f t="shared" si="2"/>
        <v>#DIV/0!</v>
      </c>
      <c r="Q50" s="20" t="str">
        <f t="shared" si="2"/>
        <v>#DIV/0!</v>
      </c>
      <c r="R50" s="20" t="str">
        <f t="shared" si="2"/>
        <v>#DIV/0!</v>
      </c>
      <c r="S50" s="20" t="str">
        <f t="shared" si="2"/>
        <v>#DIV/0!</v>
      </c>
      <c r="T50" s="20" t="str">
        <f t="shared" si="2"/>
        <v>#DIV/0!</v>
      </c>
      <c r="U50" s="20" t="str">
        <f t="shared" si="2"/>
        <v>#DIV/0!</v>
      </c>
      <c r="V50" s="20" t="str">
        <f t="shared" si="2"/>
        <v>#DIV/0!</v>
      </c>
      <c r="W50" s="20" t="str">
        <f t="shared" si="2"/>
        <v>#DIV/0!</v>
      </c>
      <c r="X50" s="20" t="str">
        <f t="shared" si="2"/>
        <v>#DIV/0!</v>
      </c>
      <c r="Y50" s="20" t="str">
        <f t="shared" si="2"/>
        <v>#DIV/0!</v>
      </c>
      <c r="Z50" s="170">
        <f>AVERAGE(B2:Y49)</f>
        <v>1.056</v>
      </c>
    </row>
  </sheetData>
  <mergeCells count="48">
    <mergeCell ref="Z30:Z31"/>
    <mergeCell ref="Z26:Z27"/>
    <mergeCell ref="Z28:Z29"/>
    <mergeCell ref="Z48:Z49"/>
    <mergeCell ref="Z42:Z43"/>
    <mergeCell ref="Z40:Z41"/>
    <mergeCell ref="Z44:Z45"/>
    <mergeCell ref="Z46:Z47"/>
    <mergeCell ref="Z14:Z15"/>
    <mergeCell ref="Z16:Z17"/>
    <mergeCell ref="A20:A21"/>
    <mergeCell ref="A22:A23"/>
    <mergeCell ref="Z24:Z25"/>
    <mergeCell ref="A26:A27"/>
    <mergeCell ref="A24:A25"/>
    <mergeCell ref="Z20:Z21"/>
    <mergeCell ref="Z22:Z23"/>
    <mergeCell ref="A18:A19"/>
    <mergeCell ref="Z18:Z19"/>
    <mergeCell ref="A30:A31"/>
    <mergeCell ref="A34:A35"/>
    <mergeCell ref="A32:A33"/>
    <mergeCell ref="A28:A29"/>
    <mergeCell ref="A46:A47"/>
    <mergeCell ref="A44:A45"/>
    <mergeCell ref="A14:A15"/>
    <mergeCell ref="A16:A17"/>
    <mergeCell ref="A6:A7"/>
    <mergeCell ref="A8:A9"/>
    <mergeCell ref="A48:A49"/>
    <mergeCell ref="A4:A5"/>
    <mergeCell ref="A2:A3"/>
    <mergeCell ref="A12:A13"/>
    <mergeCell ref="A10:A11"/>
    <mergeCell ref="Z34:Z35"/>
    <mergeCell ref="Z32:Z33"/>
    <mergeCell ref="Z38:Z39"/>
    <mergeCell ref="Z36:Z37"/>
    <mergeCell ref="Z8:Z9"/>
    <mergeCell ref="Z6:Z7"/>
    <mergeCell ref="Z4:Z5"/>
    <mergeCell ref="Z2:Z3"/>
    <mergeCell ref="Z10:Z11"/>
    <mergeCell ref="Z12:Z13"/>
    <mergeCell ref="A40:A41"/>
    <mergeCell ref="A42:A43"/>
    <mergeCell ref="A36:A37"/>
    <mergeCell ref="A38:A39"/>
  </mergeCells>
  <conditionalFormatting sqref="B2:Y49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Z2:Z49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B50:Y50">
    <cfRule type="colorScale" priority="3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7.43"/>
    <col customWidth="1" min="2" max="24" width="7.29"/>
    <col customWidth="1" min="25" max="25" width="4.29"/>
  </cols>
  <sheetData>
    <row r="1">
      <c r="A1" s="174">
        <f>COUNTA(B2:X24)/(23*23)</f>
        <v>0.9792060491</v>
      </c>
      <c r="B1" s="175" t="s">
        <v>1294</v>
      </c>
      <c r="C1" s="175" t="s">
        <v>126</v>
      </c>
      <c r="D1" s="175" t="s">
        <v>240</v>
      </c>
      <c r="E1" s="175" t="s">
        <v>239</v>
      </c>
      <c r="F1" s="175" t="s">
        <v>1295</v>
      </c>
      <c r="G1" s="175" t="s">
        <v>351</v>
      </c>
      <c r="H1" s="175" t="s">
        <v>329</v>
      </c>
      <c r="I1" s="175" t="s">
        <v>1296</v>
      </c>
      <c r="J1" s="175" t="s">
        <v>1297</v>
      </c>
      <c r="K1" s="175" t="s">
        <v>298</v>
      </c>
      <c r="L1" s="175" t="s">
        <v>83</v>
      </c>
      <c r="M1" s="175" t="s">
        <v>260</v>
      </c>
      <c r="N1" s="175" t="s">
        <v>386</v>
      </c>
      <c r="O1" s="175" t="s">
        <v>479</v>
      </c>
      <c r="P1" s="175" t="s">
        <v>1298</v>
      </c>
      <c r="Q1" s="175" t="s">
        <v>358</v>
      </c>
      <c r="R1" s="175" t="s">
        <v>500</v>
      </c>
      <c r="S1" s="175" t="s">
        <v>440</v>
      </c>
      <c r="T1" s="175" t="s">
        <v>417</v>
      </c>
      <c r="U1" s="175" t="s">
        <v>518</v>
      </c>
      <c r="V1" s="175" t="s">
        <v>1300</v>
      </c>
      <c r="W1" s="175" t="s">
        <v>401</v>
      </c>
      <c r="X1" s="175" t="s">
        <v>1301</v>
      </c>
      <c r="Y1" s="176"/>
    </row>
    <row r="2">
      <c r="A2" s="160" t="s">
        <v>1302</v>
      </c>
      <c r="C2" s="153" t="s">
        <v>1303</v>
      </c>
      <c r="D2" s="153" t="s">
        <v>1304</v>
      </c>
      <c r="E2" s="153" t="s">
        <v>1305</v>
      </c>
      <c r="F2" s="153" t="s">
        <v>1306</v>
      </c>
      <c r="G2" s="153" t="s">
        <v>1307</v>
      </c>
      <c r="H2" s="177" t="s">
        <v>1308</v>
      </c>
      <c r="I2" s="153" t="s">
        <v>1309</v>
      </c>
      <c r="J2" s="177" t="s">
        <v>1310</v>
      </c>
      <c r="K2" s="177" t="s">
        <v>1311</v>
      </c>
      <c r="L2" s="153" t="s">
        <v>1312</v>
      </c>
      <c r="N2" s="153" t="s">
        <v>1313</v>
      </c>
      <c r="O2" s="153" t="s">
        <v>1314</v>
      </c>
      <c r="P2" s="153" t="s">
        <v>1315</v>
      </c>
      <c r="Q2" s="153" t="s">
        <v>1316</v>
      </c>
      <c r="R2" s="153" t="s">
        <v>1317</v>
      </c>
      <c r="T2" s="153" t="s">
        <v>1318</v>
      </c>
      <c r="U2" s="153" t="s">
        <v>1319</v>
      </c>
      <c r="V2" s="153" t="s">
        <v>1320</v>
      </c>
      <c r="X2" s="153" t="s">
        <v>1321</v>
      </c>
      <c r="Y2" s="178">
        <f t="shared" ref="Y2:Y24" si="1">23-COUNTA(B2:X2)</f>
        <v>4</v>
      </c>
    </row>
    <row r="3">
      <c r="A3" s="175" t="s">
        <v>126</v>
      </c>
      <c r="B3" s="179" t="s">
        <v>1323</v>
      </c>
      <c r="C3" s="179" t="s">
        <v>1324</v>
      </c>
      <c r="D3" s="179" t="s">
        <v>1325</v>
      </c>
      <c r="E3" s="179" t="s">
        <v>1326</v>
      </c>
      <c r="F3" s="179" t="s">
        <v>1327</v>
      </c>
      <c r="G3" s="179" t="s">
        <v>1328</v>
      </c>
      <c r="H3" s="179" t="s">
        <v>1329</v>
      </c>
      <c r="I3" s="179" t="s">
        <v>1330</v>
      </c>
      <c r="J3" s="179" t="s">
        <v>1331</v>
      </c>
      <c r="K3" s="179" t="s">
        <v>1332</v>
      </c>
      <c r="L3" s="179" t="s">
        <v>1333</v>
      </c>
      <c r="M3" s="179" t="s">
        <v>1334</v>
      </c>
      <c r="N3" s="179" t="s">
        <v>1335</v>
      </c>
      <c r="O3" s="179" t="s">
        <v>1336</v>
      </c>
      <c r="P3" s="179" t="s">
        <v>1338</v>
      </c>
      <c r="Q3" s="179" t="s">
        <v>1339</v>
      </c>
      <c r="R3" s="179" t="s">
        <v>1340</v>
      </c>
      <c r="S3" s="179" t="s">
        <v>1341</v>
      </c>
      <c r="T3" s="179" t="s">
        <v>1342</v>
      </c>
      <c r="U3" s="179" t="s">
        <v>1343</v>
      </c>
      <c r="V3" s="179" t="s">
        <v>1344</v>
      </c>
      <c r="W3" s="179" t="s">
        <v>1345</v>
      </c>
      <c r="X3" s="179" t="s">
        <v>1346</v>
      </c>
      <c r="Y3" s="178">
        <f t="shared" si="1"/>
        <v>0</v>
      </c>
    </row>
    <row r="4">
      <c r="A4" s="175" t="s">
        <v>240</v>
      </c>
      <c r="B4" s="179" t="s">
        <v>1347</v>
      </c>
      <c r="C4" s="179" t="s">
        <v>1145</v>
      </c>
      <c r="D4" s="179" t="s">
        <v>1348</v>
      </c>
      <c r="E4" s="179" t="s">
        <v>1349</v>
      </c>
      <c r="F4" s="179" t="s">
        <v>1350</v>
      </c>
      <c r="G4" s="179" t="s">
        <v>1351</v>
      </c>
      <c r="H4" s="179" t="s">
        <v>1352</v>
      </c>
      <c r="I4" s="179" t="s">
        <v>1353</v>
      </c>
      <c r="J4" s="179" t="s">
        <v>1354</v>
      </c>
      <c r="K4" s="179" t="s">
        <v>1355</v>
      </c>
      <c r="L4" s="179" t="s">
        <v>1356</v>
      </c>
      <c r="M4" s="179" t="s">
        <v>1357</v>
      </c>
      <c r="N4" s="179" t="s">
        <v>1358</v>
      </c>
      <c r="O4" s="179" t="s">
        <v>1359</v>
      </c>
      <c r="P4" s="179" t="s">
        <v>1360</v>
      </c>
      <c r="Q4" s="179" t="s">
        <v>1361</v>
      </c>
      <c r="R4" s="179"/>
      <c r="S4" s="179" t="s">
        <v>1362</v>
      </c>
      <c r="T4" s="180" t="s">
        <v>1363</v>
      </c>
      <c r="U4" s="180" t="s">
        <v>1365</v>
      </c>
      <c r="V4" s="179" t="s">
        <v>1366</v>
      </c>
      <c r="W4" s="179" t="s">
        <v>1367</v>
      </c>
      <c r="X4" s="179" t="s">
        <v>1368</v>
      </c>
      <c r="Y4" s="178">
        <f t="shared" si="1"/>
        <v>1</v>
      </c>
    </row>
    <row r="5">
      <c r="A5" s="175" t="s">
        <v>239</v>
      </c>
      <c r="B5" s="179" t="s">
        <v>1369</v>
      </c>
      <c r="C5" s="179" t="s">
        <v>1370</v>
      </c>
      <c r="D5" s="179" t="s">
        <v>1371</v>
      </c>
      <c r="E5" s="179" t="s">
        <v>1372</v>
      </c>
      <c r="F5" s="179" t="s">
        <v>1373</v>
      </c>
      <c r="G5" s="179" t="s">
        <v>1151</v>
      </c>
      <c r="H5" s="179" t="s">
        <v>1374</v>
      </c>
      <c r="I5" s="179" t="s">
        <v>1375</v>
      </c>
      <c r="J5" s="179" t="s">
        <v>1376</v>
      </c>
      <c r="K5" s="179" t="s">
        <v>1377</v>
      </c>
      <c r="L5" s="179" t="s">
        <v>1378</v>
      </c>
      <c r="M5" s="179" t="s">
        <v>1379</v>
      </c>
      <c r="N5" s="179" t="s">
        <v>1380</v>
      </c>
      <c r="O5" s="179" t="s">
        <v>1381</v>
      </c>
      <c r="P5" s="179" t="s">
        <v>1382</v>
      </c>
      <c r="Q5" s="179" t="s">
        <v>1383</v>
      </c>
      <c r="R5" s="179" t="s">
        <v>1384</v>
      </c>
      <c r="S5" s="179" t="s">
        <v>1385</v>
      </c>
      <c r="T5" s="179" t="s">
        <v>1386</v>
      </c>
      <c r="U5" s="179" t="s">
        <v>1387</v>
      </c>
      <c r="V5" s="179" t="s">
        <v>1388</v>
      </c>
      <c r="W5" s="179" t="s">
        <v>1389</v>
      </c>
      <c r="X5" s="179" t="s">
        <v>1390</v>
      </c>
      <c r="Y5" s="178">
        <f t="shared" si="1"/>
        <v>0</v>
      </c>
    </row>
    <row r="6">
      <c r="A6" s="160" t="s">
        <v>1391</v>
      </c>
      <c r="B6" s="177" t="s">
        <v>1393</v>
      </c>
      <c r="C6" s="153" t="s">
        <v>1395</v>
      </c>
      <c r="D6" s="153" t="s">
        <v>1396</v>
      </c>
      <c r="E6" s="153" t="s">
        <v>1399</v>
      </c>
      <c r="F6" s="153" t="s">
        <v>1402</v>
      </c>
      <c r="G6" s="153" t="s">
        <v>1404</v>
      </c>
      <c r="H6" s="177" t="s">
        <v>1412</v>
      </c>
      <c r="J6" s="153" t="s">
        <v>1415</v>
      </c>
      <c r="K6" s="177" t="s">
        <v>1418</v>
      </c>
      <c r="L6" s="153" t="s">
        <v>1420</v>
      </c>
      <c r="M6" s="182"/>
      <c r="N6" s="153" t="s">
        <v>1424</v>
      </c>
      <c r="O6" s="153" t="s">
        <v>1426</v>
      </c>
      <c r="P6" s="153" t="s">
        <v>1429</v>
      </c>
      <c r="Q6" s="153" t="s">
        <v>1431</v>
      </c>
      <c r="R6" s="153" t="s">
        <v>1433</v>
      </c>
      <c r="S6" s="153" t="s">
        <v>1435</v>
      </c>
      <c r="T6" s="153"/>
      <c r="U6" s="153" t="s">
        <v>1438</v>
      </c>
      <c r="V6" s="153" t="s">
        <v>1440</v>
      </c>
      <c r="W6" s="153" t="s">
        <v>1442</v>
      </c>
      <c r="X6" s="153" t="s">
        <v>1444</v>
      </c>
      <c r="Y6" s="178">
        <f t="shared" si="1"/>
        <v>3</v>
      </c>
    </row>
    <row r="7">
      <c r="A7" s="175" t="s">
        <v>351</v>
      </c>
      <c r="B7" s="179" t="s">
        <v>1455</v>
      </c>
      <c r="C7" s="179" t="s">
        <v>1457</v>
      </c>
      <c r="D7" s="179" t="s">
        <v>1459</v>
      </c>
      <c r="E7" s="179" t="s">
        <v>1460</v>
      </c>
      <c r="F7" s="179" t="s">
        <v>1461</v>
      </c>
      <c r="G7" s="179" t="s">
        <v>1462</v>
      </c>
      <c r="H7" s="179" t="s">
        <v>1463</v>
      </c>
      <c r="I7" s="179" t="s">
        <v>1464</v>
      </c>
      <c r="J7" s="180" t="s">
        <v>1465</v>
      </c>
      <c r="K7" s="179" t="s">
        <v>1466</v>
      </c>
      <c r="L7" s="179" t="s">
        <v>1467</v>
      </c>
      <c r="M7" s="179" t="s">
        <v>1468</v>
      </c>
      <c r="N7" s="179" t="s">
        <v>1469</v>
      </c>
      <c r="O7" s="179" t="s">
        <v>1470</v>
      </c>
      <c r="P7" s="179" t="s">
        <v>1472</v>
      </c>
      <c r="Q7" s="179" t="s">
        <v>1474</v>
      </c>
      <c r="R7" s="179" t="s">
        <v>1476</v>
      </c>
      <c r="S7" s="179" t="s">
        <v>1478</v>
      </c>
      <c r="T7" s="179" t="s">
        <v>1480</v>
      </c>
      <c r="U7" s="179" t="s">
        <v>1482</v>
      </c>
      <c r="V7" s="179" t="s">
        <v>1484</v>
      </c>
      <c r="W7" s="179" t="s">
        <v>1491</v>
      </c>
      <c r="X7" s="179" t="s">
        <v>1493</v>
      </c>
      <c r="Y7" s="178">
        <f t="shared" si="1"/>
        <v>0</v>
      </c>
    </row>
    <row r="8">
      <c r="A8" s="175" t="s">
        <v>329</v>
      </c>
      <c r="B8" s="179" t="s">
        <v>1503</v>
      </c>
      <c r="C8" s="179" t="s">
        <v>1504</v>
      </c>
      <c r="D8" s="179" t="s">
        <v>1505</v>
      </c>
      <c r="E8" s="179" t="s">
        <v>1506</v>
      </c>
      <c r="F8" s="179" t="s">
        <v>1507</v>
      </c>
      <c r="G8" s="179" t="s">
        <v>1508</v>
      </c>
      <c r="H8" s="179" t="s">
        <v>1509</v>
      </c>
      <c r="I8" s="179" t="s">
        <v>1510</v>
      </c>
      <c r="J8" s="179" t="s">
        <v>1512</v>
      </c>
      <c r="K8" s="179" t="s">
        <v>1514</v>
      </c>
      <c r="L8" s="179" t="s">
        <v>1154</v>
      </c>
      <c r="M8" s="179" t="s">
        <v>1517</v>
      </c>
      <c r="N8" s="179" t="s">
        <v>1519</v>
      </c>
      <c r="O8" s="179" t="s">
        <v>1522</v>
      </c>
      <c r="P8" s="179" t="s">
        <v>1524</v>
      </c>
      <c r="Q8" s="179" t="s">
        <v>1526</v>
      </c>
      <c r="R8" s="179" t="s">
        <v>1528</v>
      </c>
      <c r="S8" s="179" t="s">
        <v>1530</v>
      </c>
      <c r="T8" s="179" t="s">
        <v>1532</v>
      </c>
      <c r="U8" s="179" t="s">
        <v>1534</v>
      </c>
      <c r="V8" s="179" t="s">
        <v>1536</v>
      </c>
      <c r="W8" s="179" t="s">
        <v>1537</v>
      </c>
      <c r="X8" s="180" t="s">
        <v>1538</v>
      </c>
      <c r="Y8" s="178">
        <f t="shared" si="1"/>
        <v>0</v>
      </c>
    </row>
    <row r="9">
      <c r="A9" s="175" t="s">
        <v>1539</v>
      </c>
      <c r="B9" s="179" t="s">
        <v>1540</v>
      </c>
      <c r="C9" s="179" t="s">
        <v>1541</v>
      </c>
      <c r="D9" s="179" t="s">
        <v>1542</v>
      </c>
      <c r="E9" s="179" t="s">
        <v>1543</v>
      </c>
      <c r="F9" s="179" t="s">
        <v>1544</v>
      </c>
      <c r="G9" s="179" t="s">
        <v>1545</v>
      </c>
      <c r="H9" s="179" t="s">
        <v>1546</v>
      </c>
      <c r="I9" s="179" t="s">
        <v>1547</v>
      </c>
      <c r="J9" s="179" t="s">
        <v>1548</v>
      </c>
      <c r="K9" s="179" t="s">
        <v>1549</v>
      </c>
      <c r="L9" s="179" t="s">
        <v>1550</v>
      </c>
      <c r="M9" s="179" t="s">
        <v>1551</v>
      </c>
      <c r="N9" s="179" t="s">
        <v>1552</v>
      </c>
      <c r="O9" s="179" t="s">
        <v>1553</v>
      </c>
      <c r="P9" s="179" t="s">
        <v>1554</v>
      </c>
      <c r="Q9" s="179" t="s">
        <v>1555</v>
      </c>
      <c r="R9" s="179" t="s">
        <v>1556</v>
      </c>
      <c r="S9" s="179" t="s">
        <v>1557</v>
      </c>
      <c r="T9" s="179" t="s">
        <v>1558</v>
      </c>
      <c r="U9" s="179" t="s">
        <v>1559</v>
      </c>
      <c r="V9" s="179" t="s">
        <v>1560</v>
      </c>
      <c r="W9" s="179" t="s">
        <v>1180</v>
      </c>
      <c r="X9" s="179" t="s">
        <v>1561</v>
      </c>
      <c r="Y9" s="178">
        <f t="shared" si="1"/>
        <v>0</v>
      </c>
    </row>
    <row r="10">
      <c r="A10" s="160" t="s">
        <v>1562</v>
      </c>
      <c r="B10" s="153" t="s">
        <v>1563</v>
      </c>
      <c r="C10" s="153" t="s">
        <v>1564</v>
      </c>
      <c r="D10" s="153" t="s">
        <v>1565</v>
      </c>
      <c r="E10" s="153" t="s">
        <v>1566</v>
      </c>
      <c r="F10" s="153" t="s">
        <v>1567</v>
      </c>
      <c r="G10" s="153" t="s">
        <v>1568</v>
      </c>
      <c r="H10" s="153" t="s">
        <v>1569</v>
      </c>
      <c r="I10" s="177" t="s">
        <v>1570</v>
      </c>
      <c r="J10" s="153" t="s">
        <v>1571</v>
      </c>
      <c r="K10" s="153" t="s">
        <v>1572</v>
      </c>
      <c r="L10" s="153" t="s">
        <v>1573</v>
      </c>
      <c r="M10" s="153" t="s">
        <v>1574</v>
      </c>
      <c r="N10" s="153" t="s">
        <v>1575</v>
      </c>
      <c r="O10" s="153" t="s">
        <v>1576</v>
      </c>
      <c r="P10" s="153" t="s">
        <v>1577</v>
      </c>
      <c r="Q10" s="153" t="s">
        <v>1578</v>
      </c>
      <c r="R10" s="153" t="s">
        <v>1580</v>
      </c>
      <c r="S10" s="153" t="s">
        <v>1581</v>
      </c>
      <c r="T10" s="153" t="s">
        <v>1584</v>
      </c>
      <c r="U10" s="153" t="s">
        <v>1586</v>
      </c>
      <c r="V10" s="153" t="s">
        <v>1588</v>
      </c>
      <c r="W10" s="153" t="s">
        <v>1590</v>
      </c>
      <c r="X10" s="153" t="s">
        <v>1591</v>
      </c>
      <c r="Y10" s="178">
        <f t="shared" si="1"/>
        <v>0</v>
      </c>
    </row>
    <row r="11">
      <c r="A11" s="175" t="s">
        <v>298</v>
      </c>
      <c r="B11" s="179" t="s">
        <v>1595</v>
      </c>
      <c r="C11" s="179" t="s">
        <v>1596</v>
      </c>
      <c r="D11" s="179" t="s">
        <v>1597</v>
      </c>
      <c r="E11" s="179" t="s">
        <v>1598</v>
      </c>
      <c r="F11" s="179" t="s">
        <v>1599</v>
      </c>
      <c r="G11" s="179" t="s">
        <v>1601</v>
      </c>
      <c r="H11" s="179" t="s">
        <v>1603</v>
      </c>
      <c r="I11" s="179" t="s">
        <v>1605</v>
      </c>
      <c r="J11" s="179" t="s">
        <v>1606</v>
      </c>
      <c r="K11" s="179" t="s">
        <v>1607</v>
      </c>
      <c r="L11" s="179" t="s">
        <v>1609</v>
      </c>
      <c r="M11" s="179" t="s">
        <v>1611</v>
      </c>
      <c r="N11" s="179" t="s">
        <v>1613</v>
      </c>
      <c r="O11" s="179" t="s">
        <v>1614</v>
      </c>
      <c r="P11" s="179" t="s">
        <v>1616</v>
      </c>
      <c r="Q11" s="179" t="s">
        <v>1617</v>
      </c>
      <c r="R11" s="179" t="s">
        <v>1619</v>
      </c>
      <c r="S11" s="179" t="s">
        <v>1621</v>
      </c>
      <c r="T11" s="179" t="s">
        <v>1622</v>
      </c>
      <c r="U11" s="179" t="s">
        <v>1624</v>
      </c>
      <c r="V11" s="179" t="s">
        <v>1625</v>
      </c>
      <c r="W11" s="180" t="s">
        <v>1627</v>
      </c>
      <c r="X11" s="179" t="s">
        <v>1630</v>
      </c>
      <c r="Y11" s="178">
        <f t="shared" si="1"/>
        <v>0</v>
      </c>
    </row>
    <row r="12">
      <c r="A12" s="175" t="s">
        <v>83</v>
      </c>
      <c r="B12" s="179" t="s">
        <v>1639</v>
      </c>
      <c r="C12" s="179" t="s">
        <v>1640</v>
      </c>
      <c r="D12" s="179" t="s">
        <v>1641</v>
      </c>
      <c r="E12" s="179" t="s">
        <v>1642</v>
      </c>
      <c r="F12" s="179" t="s">
        <v>1647</v>
      </c>
      <c r="G12" s="179" t="s">
        <v>1649</v>
      </c>
      <c r="H12" s="180" t="s">
        <v>1651</v>
      </c>
      <c r="I12" s="179" t="s">
        <v>1653</v>
      </c>
      <c r="J12" s="179" t="s">
        <v>1655</v>
      </c>
      <c r="K12" s="179" t="s">
        <v>1656</v>
      </c>
      <c r="L12" s="179" t="s">
        <v>1658</v>
      </c>
      <c r="M12" s="179" t="s">
        <v>1660</v>
      </c>
      <c r="N12" s="179" t="s">
        <v>1662</v>
      </c>
      <c r="O12" s="179" t="s">
        <v>1663</v>
      </c>
      <c r="P12" s="179" t="s">
        <v>1665</v>
      </c>
      <c r="Q12" s="179" t="s">
        <v>1667</v>
      </c>
      <c r="R12" s="179" t="s">
        <v>1669</v>
      </c>
      <c r="S12" s="179" t="s">
        <v>1671</v>
      </c>
      <c r="T12" s="179" t="s">
        <v>1673</v>
      </c>
      <c r="U12" s="179" t="s">
        <v>1675</v>
      </c>
      <c r="V12" s="179" t="s">
        <v>1677</v>
      </c>
      <c r="W12" s="179" t="s">
        <v>1679</v>
      </c>
      <c r="X12" s="179" t="s">
        <v>1684</v>
      </c>
      <c r="Y12" s="178">
        <f t="shared" si="1"/>
        <v>0</v>
      </c>
    </row>
    <row r="13">
      <c r="A13" s="175" t="s">
        <v>260</v>
      </c>
      <c r="B13" s="179" t="s">
        <v>1690</v>
      </c>
      <c r="C13" s="179" t="s">
        <v>1692</v>
      </c>
      <c r="D13" s="179" t="s">
        <v>1694</v>
      </c>
      <c r="E13" s="179" t="s">
        <v>1696</v>
      </c>
      <c r="F13" s="179" t="s">
        <v>1701</v>
      </c>
      <c r="G13" s="179" t="s">
        <v>1703</v>
      </c>
      <c r="H13" s="179" t="s">
        <v>1706</v>
      </c>
      <c r="I13" s="179" t="s">
        <v>1707</v>
      </c>
      <c r="J13" s="179" t="s">
        <v>1709</v>
      </c>
      <c r="K13" s="179" t="s">
        <v>1712</v>
      </c>
      <c r="L13" s="179" t="s">
        <v>1713</v>
      </c>
      <c r="M13" s="179" t="s">
        <v>1715</v>
      </c>
      <c r="N13" s="179" t="s">
        <v>1717</v>
      </c>
      <c r="O13" s="179" t="s">
        <v>1719</v>
      </c>
      <c r="P13" s="179" t="s">
        <v>1721</v>
      </c>
      <c r="Q13" s="179" t="s">
        <v>1724</v>
      </c>
      <c r="R13" s="179" t="s">
        <v>1725</v>
      </c>
      <c r="S13" s="179" t="s">
        <v>1726</v>
      </c>
      <c r="T13" s="179" t="s">
        <v>1727</v>
      </c>
      <c r="U13" s="179" t="s">
        <v>1728</v>
      </c>
      <c r="V13" s="179" t="s">
        <v>1729</v>
      </c>
      <c r="W13" s="179" t="s">
        <v>1730</v>
      </c>
      <c r="X13" s="179" t="s">
        <v>1731</v>
      </c>
      <c r="Y13" s="178">
        <f t="shared" si="1"/>
        <v>0</v>
      </c>
    </row>
    <row r="14">
      <c r="A14" s="175" t="s">
        <v>386</v>
      </c>
      <c r="B14" s="179" t="s">
        <v>1740</v>
      </c>
      <c r="C14" s="179" t="s">
        <v>1741</v>
      </c>
      <c r="D14" s="179" t="s">
        <v>1743</v>
      </c>
      <c r="E14" s="179" t="s">
        <v>1745</v>
      </c>
      <c r="F14" s="179" t="s">
        <v>1747</v>
      </c>
      <c r="G14" s="179" t="s">
        <v>1749</v>
      </c>
      <c r="H14" s="179" t="s">
        <v>1751</v>
      </c>
      <c r="I14" s="179" t="s">
        <v>1753</v>
      </c>
      <c r="J14" s="179" t="s">
        <v>1755</v>
      </c>
      <c r="K14" s="179" t="s">
        <v>1757</v>
      </c>
      <c r="L14" s="179" t="s">
        <v>1759</v>
      </c>
      <c r="M14" s="179" t="s">
        <v>1760</v>
      </c>
      <c r="N14" s="179" t="s">
        <v>1761</v>
      </c>
      <c r="O14" s="179" t="s">
        <v>1762</v>
      </c>
      <c r="P14" s="179" t="s">
        <v>1165</v>
      </c>
      <c r="Q14" s="179" t="s">
        <v>1763</v>
      </c>
      <c r="R14" s="179" t="s">
        <v>1764</v>
      </c>
      <c r="S14" s="179" t="s">
        <v>1765</v>
      </c>
      <c r="T14" s="179" t="s">
        <v>1766</v>
      </c>
      <c r="U14" s="179" t="s">
        <v>1767</v>
      </c>
      <c r="V14" s="179" t="s">
        <v>1768</v>
      </c>
      <c r="W14" s="179" t="s">
        <v>1769</v>
      </c>
      <c r="X14" s="179" t="s">
        <v>1770</v>
      </c>
      <c r="Y14" s="178">
        <f t="shared" si="1"/>
        <v>0</v>
      </c>
    </row>
    <row r="15">
      <c r="A15" s="175" t="s">
        <v>479</v>
      </c>
      <c r="B15" s="179" t="s">
        <v>1777</v>
      </c>
      <c r="C15" s="179" t="s">
        <v>1778</v>
      </c>
      <c r="D15" s="179" t="s">
        <v>1779</v>
      </c>
      <c r="E15" s="179" t="s">
        <v>1780</v>
      </c>
      <c r="F15" s="179" t="s">
        <v>1783</v>
      </c>
      <c r="G15" s="179" t="s">
        <v>1785</v>
      </c>
      <c r="H15" s="180" t="s">
        <v>1787</v>
      </c>
      <c r="I15" s="180" t="s">
        <v>1790</v>
      </c>
      <c r="J15" s="179" t="s">
        <v>1792</v>
      </c>
      <c r="K15" s="179" t="s">
        <v>1795</v>
      </c>
      <c r="L15" s="179" t="s">
        <v>1798</v>
      </c>
      <c r="M15" s="179" t="s">
        <v>1800</v>
      </c>
      <c r="N15" s="179" t="s">
        <v>1802</v>
      </c>
      <c r="O15" s="179" t="s">
        <v>1805</v>
      </c>
      <c r="P15" s="179" t="s">
        <v>1807</v>
      </c>
      <c r="Q15" s="179" t="s">
        <v>1808</v>
      </c>
      <c r="R15" s="179" t="s">
        <v>1811</v>
      </c>
      <c r="S15" s="179" t="s">
        <v>1813</v>
      </c>
      <c r="T15" s="179" t="s">
        <v>1815</v>
      </c>
      <c r="U15" s="179" t="s">
        <v>1817</v>
      </c>
      <c r="V15" s="179" t="s">
        <v>1819</v>
      </c>
      <c r="W15" s="179" t="s">
        <v>1820</v>
      </c>
      <c r="X15" s="179" t="s">
        <v>1821</v>
      </c>
      <c r="Y15" s="178">
        <f t="shared" si="1"/>
        <v>0</v>
      </c>
    </row>
    <row r="16">
      <c r="A16" s="160" t="s">
        <v>1830</v>
      </c>
      <c r="B16" s="153" t="s">
        <v>1832</v>
      </c>
      <c r="C16" s="153" t="s">
        <v>1833</v>
      </c>
      <c r="D16" s="153" t="s">
        <v>1836</v>
      </c>
      <c r="E16" s="153" t="s">
        <v>1838</v>
      </c>
      <c r="F16" s="153" t="s">
        <v>1840</v>
      </c>
      <c r="G16" s="153" t="s">
        <v>1843</v>
      </c>
      <c r="H16" s="153" t="s">
        <v>1845</v>
      </c>
      <c r="J16" s="153" t="s">
        <v>1847</v>
      </c>
      <c r="K16" s="153" t="s">
        <v>1849</v>
      </c>
      <c r="L16" s="153" t="s">
        <v>1851</v>
      </c>
      <c r="M16" s="153" t="s">
        <v>1853</v>
      </c>
      <c r="N16" s="153" t="s">
        <v>1855</v>
      </c>
      <c r="O16" s="153" t="s">
        <v>1858</v>
      </c>
      <c r="P16" s="153" t="s">
        <v>1859</v>
      </c>
      <c r="Q16" s="153" t="s">
        <v>1860</v>
      </c>
      <c r="R16" s="153" t="s">
        <v>1861</v>
      </c>
      <c r="S16" s="153" t="s">
        <v>1862</v>
      </c>
      <c r="T16" s="153" t="s">
        <v>1863</v>
      </c>
      <c r="U16" s="153" t="s">
        <v>1864</v>
      </c>
      <c r="V16" s="153" t="s">
        <v>1865</v>
      </c>
      <c r="W16" s="153" t="s">
        <v>1866</v>
      </c>
      <c r="X16" s="153" t="s">
        <v>1869</v>
      </c>
      <c r="Y16" s="178">
        <f t="shared" si="1"/>
        <v>1</v>
      </c>
    </row>
    <row r="17">
      <c r="A17" s="175" t="s">
        <v>358</v>
      </c>
      <c r="B17" s="179" t="s">
        <v>1879</v>
      </c>
      <c r="C17" s="179" t="s">
        <v>1881</v>
      </c>
      <c r="D17" s="179" t="s">
        <v>1883</v>
      </c>
      <c r="E17" s="179" t="s">
        <v>1885</v>
      </c>
      <c r="F17" s="179" t="s">
        <v>1887</v>
      </c>
      <c r="G17" s="179" t="s">
        <v>1888</v>
      </c>
      <c r="H17" s="179" t="s">
        <v>1889</v>
      </c>
      <c r="I17" s="180" t="s">
        <v>1891</v>
      </c>
      <c r="J17" s="179" t="s">
        <v>1892</v>
      </c>
      <c r="K17" s="179" t="s">
        <v>1894</v>
      </c>
      <c r="L17" s="179" t="s">
        <v>1896</v>
      </c>
      <c r="M17" s="179" t="s">
        <v>1898</v>
      </c>
      <c r="N17" s="179" t="s">
        <v>1900</v>
      </c>
      <c r="O17" s="179" t="s">
        <v>1902</v>
      </c>
      <c r="P17" s="179" t="s">
        <v>1904</v>
      </c>
      <c r="Q17" s="179" t="s">
        <v>1906</v>
      </c>
      <c r="R17" s="179" t="s">
        <v>1908</v>
      </c>
      <c r="S17" s="179" t="s">
        <v>1171</v>
      </c>
      <c r="T17" s="179" t="s">
        <v>1909</v>
      </c>
      <c r="U17" s="179" t="s">
        <v>1910</v>
      </c>
      <c r="V17" s="179" t="s">
        <v>1911</v>
      </c>
      <c r="W17" s="179" t="s">
        <v>1912</v>
      </c>
      <c r="X17" s="179" t="s">
        <v>1913</v>
      </c>
      <c r="Y17" s="178">
        <f t="shared" si="1"/>
        <v>0</v>
      </c>
    </row>
    <row r="18">
      <c r="A18" s="175" t="s">
        <v>500</v>
      </c>
      <c r="B18" s="179" t="s">
        <v>1914</v>
      </c>
      <c r="C18" s="179" t="s">
        <v>1916</v>
      </c>
      <c r="D18" s="179" t="s">
        <v>1918</v>
      </c>
      <c r="E18" s="179" t="s">
        <v>1920</v>
      </c>
      <c r="F18" s="179" t="s">
        <v>1922</v>
      </c>
      <c r="G18" s="179" t="s">
        <v>1923</v>
      </c>
      <c r="H18" s="179" t="s">
        <v>1925</v>
      </c>
      <c r="I18" s="179" t="s">
        <v>1928</v>
      </c>
      <c r="J18" s="179" t="s">
        <v>1930</v>
      </c>
      <c r="K18" s="180" t="s">
        <v>1932</v>
      </c>
      <c r="L18" s="179" t="s">
        <v>1934</v>
      </c>
      <c r="M18" s="179" t="s">
        <v>1936</v>
      </c>
      <c r="N18" s="179" t="s">
        <v>1938</v>
      </c>
      <c r="O18" s="179" t="s">
        <v>1940</v>
      </c>
      <c r="P18" s="179" t="s">
        <v>1942</v>
      </c>
      <c r="Q18" s="179" t="s">
        <v>1944</v>
      </c>
      <c r="R18" s="180" t="s">
        <v>1946</v>
      </c>
      <c r="S18" s="179" t="s">
        <v>1948</v>
      </c>
      <c r="T18" s="179" t="s">
        <v>1950</v>
      </c>
      <c r="U18" s="179" t="s">
        <v>1951</v>
      </c>
      <c r="V18" s="179" t="s">
        <v>1953</v>
      </c>
      <c r="W18" s="180" t="s">
        <v>1955</v>
      </c>
      <c r="X18" s="179" t="s">
        <v>1957</v>
      </c>
      <c r="Y18" s="178">
        <f t="shared" si="1"/>
        <v>0</v>
      </c>
    </row>
    <row r="19">
      <c r="A19" s="175" t="s">
        <v>440</v>
      </c>
      <c r="B19" s="179" t="s">
        <v>1960</v>
      </c>
      <c r="C19" s="179" t="s">
        <v>1961</v>
      </c>
      <c r="D19" s="179" t="s">
        <v>1963</v>
      </c>
      <c r="E19" s="179" t="s">
        <v>1965</v>
      </c>
      <c r="F19" s="179" t="s">
        <v>1969</v>
      </c>
      <c r="G19" s="179" t="s">
        <v>1971</v>
      </c>
      <c r="H19" s="179" t="s">
        <v>1973</v>
      </c>
      <c r="I19" s="179" t="s">
        <v>1975</v>
      </c>
      <c r="J19" s="179" t="s">
        <v>1977</v>
      </c>
      <c r="K19" s="179" t="s">
        <v>1979</v>
      </c>
      <c r="L19" s="179" t="s">
        <v>1981</v>
      </c>
      <c r="M19" s="179" t="s">
        <v>1983</v>
      </c>
      <c r="N19" s="179" t="s">
        <v>1985</v>
      </c>
      <c r="O19" s="179" t="s">
        <v>1987</v>
      </c>
      <c r="P19" s="179" t="s">
        <v>1989</v>
      </c>
      <c r="Q19" s="179" t="s">
        <v>1168</v>
      </c>
      <c r="R19" s="179" t="s">
        <v>1994</v>
      </c>
      <c r="S19" s="179" t="s">
        <v>1996</v>
      </c>
      <c r="T19" s="179" t="s">
        <v>1998</v>
      </c>
      <c r="U19" s="179" t="s">
        <v>2000</v>
      </c>
      <c r="V19" s="179" t="s">
        <v>2002</v>
      </c>
      <c r="W19" s="179" t="s">
        <v>2003</v>
      </c>
      <c r="X19" s="179" t="s">
        <v>2004</v>
      </c>
      <c r="Y19" s="178">
        <f t="shared" si="1"/>
        <v>0</v>
      </c>
    </row>
    <row r="20">
      <c r="A20" s="175" t="s">
        <v>417</v>
      </c>
      <c r="B20" s="179" t="s">
        <v>2011</v>
      </c>
      <c r="C20" s="179" t="s">
        <v>2013</v>
      </c>
      <c r="D20" s="179" t="s">
        <v>2015</v>
      </c>
      <c r="E20" s="179" t="s">
        <v>2017</v>
      </c>
      <c r="F20" s="179" t="s">
        <v>2019</v>
      </c>
      <c r="G20" s="179" t="s">
        <v>2021</v>
      </c>
      <c r="H20" s="179" t="s">
        <v>2023</v>
      </c>
      <c r="I20" s="179" t="s">
        <v>2025</v>
      </c>
      <c r="J20" s="179" t="s">
        <v>2027</v>
      </c>
      <c r="K20" s="179" t="s">
        <v>2029</v>
      </c>
      <c r="L20" s="179" t="s">
        <v>2031</v>
      </c>
      <c r="M20" s="179" t="s">
        <v>2033</v>
      </c>
      <c r="N20" s="179" t="s">
        <v>2035</v>
      </c>
      <c r="O20" s="179" t="s">
        <v>2037</v>
      </c>
      <c r="P20" s="179" t="s">
        <v>2039</v>
      </c>
      <c r="Q20" s="179" t="s">
        <v>2041</v>
      </c>
      <c r="R20" s="179" t="s">
        <v>2043</v>
      </c>
      <c r="S20" s="179" t="s">
        <v>2045</v>
      </c>
      <c r="T20" s="179" t="s">
        <v>2046</v>
      </c>
      <c r="U20" s="179" t="s">
        <v>2047</v>
      </c>
      <c r="V20" s="179" t="s">
        <v>1177</v>
      </c>
      <c r="W20" s="179" t="s">
        <v>2048</v>
      </c>
      <c r="X20" s="179" t="s">
        <v>2049</v>
      </c>
      <c r="Y20" s="178">
        <f t="shared" si="1"/>
        <v>0</v>
      </c>
    </row>
    <row r="21">
      <c r="A21" s="175" t="s">
        <v>518</v>
      </c>
      <c r="B21" s="179" t="s">
        <v>2056</v>
      </c>
      <c r="C21" s="179" t="s">
        <v>2058</v>
      </c>
      <c r="D21" s="179" t="s">
        <v>2062</v>
      </c>
      <c r="E21" s="179" t="s">
        <v>2064</v>
      </c>
      <c r="F21" s="179" t="s">
        <v>2066</v>
      </c>
      <c r="G21" s="179" t="s">
        <v>2070</v>
      </c>
      <c r="H21" s="179" t="s">
        <v>2072</v>
      </c>
      <c r="I21" s="179" t="s">
        <v>2074</v>
      </c>
      <c r="J21" s="179" t="s">
        <v>2076</v>
      </c>
      <c r="K21" s="179" t="s">
        <v>2078</v>
      </c>
      <c r="L21" s="179" t="s">
        <v>2080</v>
      </c>
      <c r="M21" s="180" t="s">
        <v>2083</v>
      </c>
      <c r="N21" s="179" t="s">
        <v>2084</v>
      </c>
      <c r="O21" s="179" t="s">
        <v>2085</v>
      </c>
      <c r="P21" s="179" t="s">
        <v>2086</v>
      </c>
      <c r="Q21" s="179" t="s">
        <v>2087</v>
      </c>
      <c r="R21" s="179" t="s">
        <v>2088</v>
      </c>
      <c r="S21" s="179" t="s">
        <v>2090</v>
      </c>
      <c r="T21" s="179" t="s">
        <v>2092</v>
      </c>
      <c r="U21" s="180" t="s">
        <v>2094</v>
      </c>
      <c r="V21" s="179" t="s">
        <v>2096</v>
      </c>
      <c r="W21" s="179" t="s">
        <v>2097</v>
      </c>
      <c r="X21" s="179" t="s">
        <v>2099</v>
      </c>
      <c r="Y21" s="178">
        <f t="shared" si="1"/>
        <v>0</v>
      </c>
    </row>
    <row r="22">
      <c r="A22" s="160" t="s">
        <v>2106</v>
      </c>
      <c r="B22" s="153" t="s">
        <v>2108</v>
      </c>
      <c r="C22" s="153" t="s">
        <v>2110</v>
      </c>
      <c r="D22" s="153" t="s">
        <v>2114</v>
      </c>
      <c r="E22" s="177" t="s">
        <v>2116</v>
      </c>
      <c r="F22" s="153" t="s">
        <v>2118</v>
      </c>
      <c r="G22" s="153" t="s">
        <v>2120</v>
      </c>
      <c r="H22" s="153" t="s">
        <v>2122</v>
      </c>
      <c r="I22" s="177" t="s">
        <v>2124</v>
      </c>
      <c r="J22" s="153" t="s">
        <v>2126</v>
      </c>
      <c r="K22" s="177" t="s">
        <v>2128</v>
      </c>
      <c r="L22" s="153" t="s">
        <v>2130</v>
      </c>
      <c r="M22" s="153" t="s">
        <v>2131</v>
      </c>
      <c r="N22" s="153" t="s">
        <v>2132</v>
      </c>
      <c r="O22" s="153" t="s">
        <v>2133</v>
      </c>
      <c r="P22" s="153" t="s">
        <v>2135</v>
      </c>
      <c r="Q22" s="153" t="s">
        <v>2137</v>
      </c>
      <c r="R22" s="153" t="s">
        <v>2139</v>
      </c>
      <c r="T22" s="153" t="s">
        <v>2141</v>
      </c>
      <c r="U22" s="153" t="s">
        <v>2143</v>
      </c>
      <c r="V22" s="153" t="s">
        <v>2145</v>
      </c>
      <c r="W22" s="153" t="s">
        <v>2147</v>
      </c>
      <c r="X22" s="177" t="s">
        <v>2149</v>
      </c>
      <c r="Y22" s="178">
        <f t="shared" si="1"/>
        <v>1</v>
      </c>
    </row>
    <row r="23">
      <c r="A23" s="175" t="s">
        <v>401</v>
      </c>
      <c r="B23" s="179" t="s">
        <v>2159</v>
      </c>
      <c r="C23" s="179" t="s">
        <v>2161</v>
      </c>
      <c r="D23" s="179" t="s">
        <v>2163</v>
      </c>
      <c r="E23" s="179" t="s">
        <v>2165</v>
      </c>
      <c r="F23" s="179" t="s">
        <v>2167</v>
      </c>
      <c r="G23" s="179" t="s">
        <v>2168</v>
      </c>
      <c r="H23" s="179" t="s">
        <v>2169</v>
      </c>
      <c r="I23" s="179" t="s">
        <v>1183</v>
      </c>
      <c r="J23" s="179" t="s">
        <v>2170</v>
      </c>
      <c r="K23" s="179" t="s">
        <v>2171</v>
      </c>
      <c r="L23" s="179" t="s">
        <v>2172</v>
      </c>
      <c r="M23" s="179" t="s">
        <v>2174</v>
      </c>
      <c r="N23" s="179" t="s">
        <v>2176</v>
      </c>
      <c r="O23" s="179" t="s">
        <v>2178</v>
      </c>
      <c r="P23" s="179" t="s">
        <v>2179</v>
      </c>
      <c r="Q23" s="179" t="s">
        <v>2181</v>
      </c>
      <c r="R23" s="179" t="s">
        <v>2183</v>
      </c>
      <c r="S23" s="179" t="s">
        <v>2185</v>
      </c>
      <c r="T23" s="179" t="s">
        <v>2187</v>
      </c>
      <c r="U23" s="180" t="s">
        <v>2189</v>
      </c>
      <c r="V23" s="179" t="s">
        <v>2191</v>
      </c>
      <c r="W23" s="179" t="s">
        <v>2193</v>
      </c>
      <c r="X23" s="180" t="s">
        <v>2194</v>
      </c>
      <c r="Y23" s="178">
        <f t="shared" si="1"/>
        <v>0</v>
      </c>
    </row>
    <row r="24">
      <c r="A24" s="175" t="s">
        <v>2202</v>
      </c>
      <c r="B24" s="179" t="s">
        <v>2204</v>
      </c>
      <c r="C24" s="179" t="s">
        <v>2206</v>
      </c>
      <c r="D24" s="179" t="s">
        <v>2208</v>
      </c>
      <c r="E24" s="179" t="s">
        <v>2210</v>
      </c>
      <c r="F24" s="179" t="s">
        <v>2212</v>
      </c>
      <c r="G24" s="179" t="s">
        <v>2214</v>
      </c>
      <c r="H24" s="179" t="s">
        <v>2215</v>
      </c>
      <c r="I24" s="179" t="s">
        <v>2216</v>
      </c>
      <c r="J24" s="179" t="s">
        <v>2217</v>
      </c>
      <c r="K24" s="179" t="s">
        <v>2218</v>
      </c>
      <c r="L24" s="179" t="s">
        <v>2219</v>
      </c>
      <c r="M24" s="179" t="s">
        <v>2225</v>
      </c>
      <c r="N24" s="179" t="s">
        <v>2227</v>
      </c>
      <c r="O24" s="179" t="s">
        <v>2229</v>
      </c>
      <c r="P24" s="179" t="s">
        <v>2231</v>
      </c>
      <c r="Q24" s="179" t="s">
        <v>2233</v>
      </c>
      <c r="R24" s="179" t="s">
        <v>2235</v>
      </c>
      <c r="S24" s="179" t="s">
        <v>2237</v>
      </c>
      <c r="T24" s="179" t="s">
        <v>2238</v>
      </c>
      <c r="U24" s="179" t="s">
        <v>2239</v>
      </c>
      <c r="V24" s="179" t="s">
        <v>2240</v>
      </c>
      <c r="W24" s="179" t="s">
        <v>2241</v>
      </c>
      <c r="X24" s="176"/>
      <c r="Y24" s="178">
        <f t="shared" si="1"/>
        <v>1</v>
      </c>
    </row>
    <row r="25">
      <c r="A25" s="187"/>
      <c r="B25" s="178">
        <f t="shared" ref="B25:X25" si="2">23-COUNTA(B2:B24)</f>
        <v>1</v>
      </c>
      <c r="C25" s="178">
        <f t="shared" si="2"/>
        <v>0</v>
      </c>
      <c r="D25" s="178">
        <f t="shared" si="2"/>
        <v>0</v>
      </c>
      <c r="E25" s="178">
        <f t="shared" si="2"/>
        <v>0</v>
      </c>
      <c r="F25" s="178">
        <f t="shared" si="2"/>
        <v>0</v>
      </c>
      <c r="G25" s="178">
        <f t="shared" si="2"/>
        <v>0</v>
      </c>
      <c r="H25" s="178">
        <f t="shared" si="2"/>
        <v>0</v>
      </c>
      <c r="I25" s="178">
        <f t="shared" si="2"/>
        <v>2</v>
      </c>
      <c r="J25" s="178">
        <f t="shared" si="2"/>
        <v>0</v>
      </c>
      <c r="K25" s="178">
        <f t="shared" si="2"/>
        <v>0</v>
      </c>
      <c r="L25" s="178">
        <f t="shared" si="2"/>
        <v>0</v>
      </c>
      <c r="M25" s="178">
        <f t="shared" si="2"/>
        <v>2</v>
      </c>
      <c r="N25" s="178">
        <f t="shared" si="2"/>
        <v>0</v>
      </c>
      <c r="O25" s="178">
        <f t="shared" si="2"/>
        <v>0</v>
      </c>
      <c r="P25" s="178">
        <f t="shared" si="2"/>
        <v>0</v>
      </c>
      <c r="Q25" s="178">
        <f t="shared" si="2"/>
        <v>0</v>
      </c>
      <c r="R25" s="178">
        <f t="shared" si="2"/>
        <v>1</v>
      </c>
      <c r="S25" s="178">
        <f t="shared" si="2"/>
        <v>2</v>
      </c>
      <c r="T25" s="178">
        <f t="shared" si="2"/>
        <v>1</v>
      </c>
      <c r="U25" s="178">
        <f t="shared" si="2"/>
        <v>0</v>
      </c>
      <c r="V25" s="178">
        <f t="shared" si="2"/>
        <v>0</v>
      </c>
      <c r="W25" s="178">
        <f t="shared" si="2"/>
        <v>1</v>
      </c>
      <c r="X25" s="178">
        <f t="shared" si="2"/>
        <v>1</v>
      </c>
      <c r="Y25" s="178">
        <f>(23*23)-COUNTA(B2:X24)</f>
        <v>11</v>
      </c>
    </row>
  </sheetData>
  <conditionalFormatting sqref="B2:X24">
    <cfRule type="containsBlanks" dxfId="0" priority="1">
      <formula>LEN(TRIM(B2))=0</formula>
    </cfRule>
  </conditionalFormatting>
  <conditionalFormatting sqref="Y2:Y24 B25:X25">
    <cfRule type="colorScale" priority="2">
      <colorScale>
        <cfvo type="formula" val="0"/>
        <cfvo type="percentile" val="50"/>
        <cfvo type="max"/>
        <color rgb="FF00FF00"/>
        <color rgb="FFFFFF00"/>
        <color rgb="FFFF0000"/>
      </colorScale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7.43"/>
    <col customWidth="1" min="2" max="24" width="7.29"/>
    <col customWidth="1" min="25" max="25" width="4.29"/>
  </cols>
  <sheetData>
    <row r="1">
      <c r="A1" s="181">
        <f>COUNTA(B2:X24)/(23*23)</f>
        <v>0.9810964083</v>
      </c>
      <c r="B1" s="175" t="s">
        <v>1294</v>
      </c>
      <c r="C1" s="175" t="s">
        <v>126</v>
      </c>
      <c r="D1" s="175" t="s">
        <v>240</v>
      </c>
      <c r="E1" s="175" t="s">
        <v>239</v>
      </c>
      <c r="F1" s="175" t="s">
        <v>1295</v>
      </c>
      <c r="G1" s="175" t="s">
        <v>351</v>
      </c>
      <c r="H1" s="175" t="s">
        <v>329</v>
      </c>
      <c r="I1" s="175" t="s">
        <v>1296</v>
      </c>
      <c r="J1" s="175" t="s">
        <v>1297</v>
      </c>
      <c r="K1" s="175" t="s">
        <v>298</v>
      </c>
      <c r="L1" s="175" t="s">
        <v>83</v>
      </c>
      <c r="M1" s="175" t="s">
        <v>260</v>
      </c>
      <c r="N1" s="175" t="s">
        <v>386</v>
      </c>
      <c r="O1" s="175" t="s">
        <v>479</v>
      </c>
      <c r="P1" s="175" t="s">
        <v>1298</v>
      </c>
      <c r="Q1" s="175" t="s">
        <v>358</v>
      </c>
      <c r="R1" s="175" t="s">
        <v>500</v>
      </c>
      <c r="S1" s="175" t="s">
        <v>440</v>
      </c>
      <c r="T1" s="175" t="s">
        <v>417</v>
      </c>
      <c r="U1" s="175" t="s">
        <v>518</v>
      </c>
      <c r="V1" s="175" t="s">
        <v>1300</v>
      </c>
      <c r="W1" s="175" t="s">
        <v>401</v>
      </c>
      <c r="X1" s="175" t="s">
        <v>1301</v>
      </c>
      <c r="Y1" s="176"/>
    </row>
    <row r="2">
      <c r="A2" s="160" t="s">
        <v>1302</v>
      </c>
      <c r="B2" s="153" t="s">
        <v>1392</v>
      </c>
      <c r="C2" s="177" t="s">
        <v>1394</v>
      </c>
      <c r="D2" s="153" t="s">
        <v>1397</v>
      </c>
      <c r="E2" s="153" t="s">
        <v>1398</v>
      </c>
      <c r="F2" s="153" t="s">
        <v>1400</v>
      </c>
      <c r="G2" s="153" t="s">
        <v>1401</v>
      </c>
      <c r="H2" s="153" t="s">
        <v>1403</v>
      </c>
      <c r="J2" s="153" t="s">
        <v>1405</v>
      </c>
      <c r="K2" s="153" t="s">
        <v>1406</v>
      </c>
      <c r="L2" s="153" t="s">
        <v>1407</v>
      </c>
      <c r="M2" s="153" t="s">
        <v>1408</v>
      </c>
      <c r="N2" s="153" t="s">
        <v>1409</v>
      </c>
      <c r="O2" s="153" t="s">
        <v>1410</v>
      </c>
      <c r="P2" s="153" t="s">
        <v>1411</v>
      </c>
      <c r="Q2" s="153" t="s">
        <v>1413</v>
      </c>
      <c r="R2" s="153" t="s">
        <v>1414</v>
      </c>
      <c r="S2" s="177" t="s">
        <v>1416</v>
      </c>
      <c r="T2" s="153" t="s">
        <v>1417</v>
      </c>
      <c r="U2" s="153" t="s">
        <v>1419</v>
      </c>
      <c r="V2" s="153" t="s">
        <v>1421</v>
      </c>
      <c r="W2" s="153" t="s">
        <v>1422</v>
      </c>
      <c r="X2" s="177" t="s">
        <v>1423</v>
      </c>
      <c r="Y2" s="178">
        <f t="shared" ref="Y2:Y24" si="1">23-COUNTA(B2:X2)</f>
        <v>1</v>
      </c>
    </row>
    <row r="3">
      <c r="A3" s="175" t="s">
        <v>126</v>
      </c>
      <c r="B3" s="179" t="s">
        <v>1425</v>
      </c>
      <c r="C3" s="179" t="s">
        <v>1427</v>
      </c>
      <c r="D3" s="179" t="s">
        <v>1428</v>
      </c>
      <c r="E3" s="179" t="s">
        <v>1430</v>
      </c>
      <c r="F3" s="179" t="s">
        <v>1432</v>
      </c>
      <c r="G3" s="179" t="s">
        <v>1434</v>
      </c>
      <c r="H3" s="179" t="s">
        <v>1436</v>
      </c>
      <c r="I3" s="179" t="s">
        <v>1437</v>
      </c>
      <c r="J3" s="179" t="s">
        <v>1439</v>
      </c>
      <c r="K3" s="179" t="s">
        <v>1441</v>
      </c>
      <c r="L3" s="179" t="s">
        <v>1443</v>
      </c>
      <c r="M3" s="179" t="s">
        <v>1445</v>
      </c>
      <c r="N3" s="179" t="s">
        <v>1446</v>
      </c>
      <c r="O3" s="179" t="s">
        <v>1447</v>
      </c>
      <c r="P3" s="179" t="s">
        <v>1448</v>
      </c>
      <c r="Q3" s="179" t="s">
        <v>1449</v>
      </c>
      <c r="R3" s="179" t="s">
        <v>1450</v>
      </c>
      <c r="S3" s="179" t="s">
        <v>1451</v>
      </c>
      <c r="T3" s="179" t="s">
        <v>1452</v>
      </c>
      <c r="U3" s="179" t="s">
        <v>1453</v>
      </c>
      <c r="V3" s="179" t="s">
        <v>1454</v>
      </c>
      <c r="W3" s="179" t="s">
        <v>1456</v>
      </c>
      <c r="X3" s="179" t="s">
        <v>1458</v>
      </c>
      <c r="Y3" s="178">
        <f t="shared" si="1"/>
        <v>0</v>
      </c>
    </row>
    <row r="4">
      <c r="A4" s="175" t="s">
        <v>240</v>
      </c>
      <c r="B4" s="179" t="s">
        <v>1471</v>
      </c>
      <c r="C4" s="179" t="s">
        <v>1473</v>
      </c>
      <c r="D4" s="179" t="s">
        <v>1475</v>
      </c>
      <c r="E4" s="179" t="s">
        <v>1477</v>
      </c>
      <c r="F4" s="179" t="s">
        <v>1479</v>
      </c>
      <c r="G4" s="179" t="s">
        <v>1481</v>
      </c>
      <c r="H4" s="179" t="s">
        <v>1483</v>
      </c>
      <c r="I4" s="179" t="s">
        <v>1485</v>
      </c>
      <c r="J4" s="179" t="s">
        <v>1486</v>
      </c>
      <c r="K4" s="179" t="s">
        <v>1487</v>
      </c>
      <c r="L4" s="179" t="s">
        <v>1488</v>
      </c>
      <c r="M4" s="179" t="s">
        <v>1489</v>
      </c>
      <c r="N4" s="179" t="s">
        <v>1490</v>
      </c>
      <c r="O4" s="179" t="s">
        <v>1492</v>
      </c>
      <c r="P4" s="179" t="s">
        <v>1494</v>
      </c>
      <c r="Q4" s="179" t="s">
        <v>1495</v>
      </c>
      <c r="R4" s="179" t="s">
        <v>1496</v>
      </c>
      <c r="S4" s="179" t="s">
        <v>1497</v>
      </c>
      <c r="T4" s="179" t="s">
        <v>1498</v>
      </c>
      <c r="U4" s="179" t="s">
        <v>1499</v>
      </c>
      <c r="V4" s="179" t="s">
        <v>1500</v>
      </c>
      <c r="W4" s="179" t="s">
        <v>1501</v>
      </c>
      <c r="X4" s="179" t="s">
        <v>1502</v>
      </c>
      <c r="Y4" s="178">
        <f t="shared" si="1"/>
        <v>0</v>
      </c>
    </row>
    <row r="5">
      <c r="A5" s="175" t="s">
        <v>239</v>
      </c>
      <c r="B5" s="179" t="s">
        <v>1511</v>
      </c>
      <c r="C5" s="179" t="s">
        <v>1513</v>
      </c>
      <c r="D5" s="179" t="s">
        <v>1515</v>
      </c>
      <c r="E5" s="179" t="s">
        <v>1516</v>
      </c>
      <c r="F5" s="179" t="s">
        <v>1518</v>
      </c>
      <c r="G5" s="179" t="s">
        <v>1520</v>
      </c>
      <c r="H5" s="179" t="s">
        <v>1521</v>
      </c>
      <c r="I5" s="179" t="s">
        <v>1523</v>
      </c>
      <c r="J5" s="179" t="s">
        <v>1525</v>
      </c>
      <c r="K5" s="179" t="s">
        <v>1527</v>
      </c>
      <c r="L5" s="179" t="s">
        <v>1529</v>
      </c>
      <c r="M5" s="179" t="s">
        <v>1531</v>
      </c>
      <c r="N5" s="179" t="s">
        <v>1533</v>
      </c>
      <c r="O5" s="179" t="s">
        <v>1535</v>
      </c>
      <c r="P5" s="179" t="s">
        <v>1579</v>
      </c>
      <c r="Q5" s="179" t="s">
        <v>1582</v>
      </c>
      <c r="R5" s="179" t="s">
        <v>1583</v>
      </c>
      <c r="S5" s="179" t="s">
        <v>1585</v>
      </c>
      <c r="T5" s="179" t="s">
        <v>1587</v>
      </c>
      <c r="U5" s="179" t="s">
        <v>1589</v>
      </c>
      <c r="V5" s="179" t="s">
        <v>1592</v>
      </c>
      <c r="W5" s="179" t="s">
        <v>1593</v>
      </c>
      <c r="X5" s="179" t="s">
        <v>1594</v>
      </c>
      <c r="Y5" s="178">
        <f t="shared" si="1"/>
        <v>0</v>
      </c>
    </row>
    <row r="6">
      <c r="A6" s="160" t="s">
        <v>1391</v>
      </c>
      <c r="B6" s="153" t="s">
        <v>1600</v>
      </c>
      <c r="C6" s="177" t="s">
        <v>1602</v>
      </c>
      <c r="D6" s="153" t="s">
        <v>1604</v>
      </c>
      <c r="E6" s="153" t="s">
        <v>1608</v>
      </c>
      <c r="F6" s="153" t="s">
        <v>1610</v>
      </c>
      <c r="G6" s="153" t="s">
        <v>1612</v>
      </c>
      <c r="H6" s="153" t="s">
        <v>1615</v>
      </c>
      <c r="J6" s="153" t="s">
        <v>1618</v>
      </c>
      <c r="K6" s="153" t="s">
        <v>1620</v>
      </c>
      <c r="L6" s="153" t="s">
        <v>1623</v>
      </c>
      <c r="N6" s="153" t="s">
        <v>1626</v>
      </c>
      <c r="O6" s="177" t="s">
        <v>1628</v>
      </c>
      <c r="P6" s="153" t="s">
        <v>1629</v>
      </c>
      <c r="Q6" s="153" t="s">
        <v>1631</v>
      </c>
      <c r="R6" s="153" t="s">
        <v>1632</v>
      </c>
      <c r="S6" s="153" t="s">
        <v>1633</v>
      </c>
      <c r="T6" s="153" t="s">
        <v>1634</v>
      </c>
      <c r="U6" s="153" t="s">
        <v>1635</v>
      </c>
      <c r="V6" s="153" t="s">
        <v>1636</v>
      </c>
      <c r="W6" s="177" t="s">
        <v>1637</v>
      </c>
      <c r="X6" s="153" t="s">
        <v>1638</v>
      </c>
      <c r="Y6" s="178">
        <f t="shared" si="1"/>
        <v>2</v>
      </c>
    </row>
    <row r="7">
      <c r="A7" s="175" t="s">
        <v>351</v>
      </c>
      <c r="B7" s="179" t="s">
        <v>1643</v>
      </c>
      <c r="C7" s="179" t="s">
        <v>1644</v>
      </c>
      <c r="D7" s="179" t="s">
        <v>1645</v>
      </c>
      <c r="E7" s="179" t="s">
        <v>1646</v>
      </c>
      <c r="F7" s="179" t="s">
        <v>1648</v>
      </c>
      <c r="G7" s="179" t="s">
        <v>1650</v>
      </c>
      <c r="H7" s="179" t="s">
        <v>1652</v>
      </c>
      <c r="I7" s="179" t="s">
        <v>1654</v>
      </c>
      <c r="J7" s="179" t="s">
        <v>1657</v>
      </c>
      <c r="K7" s="179" t="s">
        <v>1659</v>
      </c>
      <c r="L7" s="179" t="s">
        <v>1661</v>
      </c>
      <c r="M7" s="179" t="s">
        <v>1664</v>
      </c>
      <c r="N7" s="179" t="s">
        <v>1666</v>
      </c>
      <c r="O7" s="179" t="s">
        <v>1668</v>
      </c>
      <c r="P7" s="179" t="s">
        <v>1670</v>
      </c>
      <c r="Q7" s="179" t="s">
        <v>1672</v>
      </c>
      <c r="R7" s="179" t="s">
        <v>1674</v>
      </c>
      <c r="S7" s="179" t="s">
        <v>1676</v>
      </c>
      <c r="T7" s="179" t="s">
        <v>1678</v>
      </c>
      <c r="U7" s="179" t="s">
        <v>1680</v>
      </c>
      <c r="V7" s="179" t="s">
        <v>1681</v>
      </c>
      <c r="W7" s="180" t="s">
        <v>1682</v>
      </c>
      <c r="X7" s="179" t="s">
        <v>1683</v>
      </c>
      <c r="Y7" s="178">
        <f t="shared" si="1"/>
        <v>0</v>
      </c>
    </row>
    <row r="8">
      <c r="A8" s="175" t="s">
        <v>329</v>
      </c>
      <c r="B8" s="179" t="s">
        <v>1685</v>
      </c>
      <c r="C8" s="179" t="s">
        <v>1686</v>
      </c>
      <c r="D8" s="179" t="s">
        <v>1687</v>
      </c>
      <c r="E8" s="179" t="s">
        <v>1688</v>
      </c>
      <c r="F8" s="179" t="s">
        <v>1689</v>
      </c>
      <c r="G8" s="179" t="s">
        <v>1691</v>
      </c>
      <c r="H8" s="179" t="s">
        <v>1693</v>
      </c>
      <c r="I8" s="179" t="s">
        <v>1695</v>
      </c>
      <c r="J8" s="179" t="s">
        <v>1697</v>
      </c>
      <c r="K8" s="179" t="s">
        <v>1698</v>
      </c>
      <c r="L8" s="180" t="s">
        <v>1699</v>
      </c>
      <c r="M8" s="179" t="s">
        <v>1700</v>
      </c>
      <c r="N8" s="179" t="s">
        <v>1702</v>
      </c>
      <c r="O8" s="179" t="s">
        <v>1704</v>
      </c>
      <c r="P8" s="179" t="s">
        <v>1705</v>
      </c>
      <c r="Q8" s="179" t="s">
        <v>1708</v>
      </c>
      <c r="R8" s="179" t="s">
        <v>1710</v>
      </c>
      <c r="S8" s="179" t="s">
        <v>1711</v>
      </c>
      <c r="T8" s="179" t="s">
        <v>1714</v>
      </c>
      <c r="U8" s="179" t="s">
        <v>1716</v>
      </c>
      <c r="V8" s="179" t="s">
        <v>1718</v>
      </c>
      <c r="W8" s="179" t="s">
        <v>1720</v>
      </c>
      <c r="X8" s="179" t="s">
        <v>1723</v>
      </c>
      <c r="Y8" s="178">
        <f t="shared" si="1"/>
        <v>0</v>
      </c>
    </row>
    <row r="9">
      <c r="A9" s="175" t="s">
        <v>1539</v>
      </c>
      <c r="B9" s="179" t="s">
        <v>1732</v>
      </c>
      <c r="C9" s="179" t="s">
        <v>1733</v>
      </c>
      <c r="D9" s="179" t="s">
        <v>1734</v>
      </c>
      <c r="E9" s="179" t="s">
        <v>1735</v>
      </c>
      <c r="F9" s="179" t="s">
        <v>1736</v>
      </c>
      <c r="G9" s="179" t="s">
        <v>1737</v>
      </c>
      <c r="H9" s="179" t="s">
        <v>1738</v>
      </c>
      <c r="I9" s="179" t="s">
        <v>1739</v>
      </c>
      <c r="J9" s="179" t="s">
        <v>1742</v>
      </c>
      <c r="K9" s="179" t="s">
        <v>1744</v>
      </c>
      <c r="L9" s="179" t="s">
        <v>1746</v>
      </c>
      <c r="M9" s="179" t="s">
        <v>1748</v>
      </c>
      <c r="N9" s="179" t="s">
        <v>1750</v>
      </c>
      <c r="O9" s="179" t="s">
        <v>1752</v>
      </c>
      <c r="P9" s="179" t="s">
        <v>1754</v>
      </c>
      <c r="Q9" s="179" t="s">
        <v>1756</v>
      </c>
      <c r="R9" s="186" t="s">
        <v>1758</v>
      </c>
      <c r="S9" s="179" t="s">
        <v>1771</v>
      </c>
      <c r="T9" s="179" t="s">
        <v>1772</v>
      </c>
      <c r="U9" s="179" t="s">
        <v>1773</v>
      </c>
      <c r="V9" s="179" t="s">
        <v>1774</v>
      </c>
      <c r="W9" s="179" t="s">
        <v>1775</v>
      </c>
      <c r="X9" s="179" t="s">
        <v>1776</v>
      </c>
      <c r="Y9" s="178">
        <f t="shared" si="1"/>
        <v>0</v>
      </c>
    </row>
    <row r="10">
      <c r="A10" s="160" t="s">
        <v>1562</v>
      </c>
      <c r="B10" s="153" t="s">
        <v>1781</v>
      </c>
      <c r="C10" s="153" t="s">
        <v>1782</v>
      </c>
      <c r="D10" s="153" t="s">
        <v>1784</v>
      </c>
      <c r="E10" s="153" t="s">
        <v>1786</v>
      </c>
      <c r="F10" s="153" t="s">
        <v>1788</v>
      </c>
      <c r="G10" s="153" t="s">
        <v>1789</v>
      </c>
      <c r="H10" s="153" t="s">
        <v>1791</v>
      </c>
      <c r="I10" s="153" t="s">
        <v>1793</v>
      </c>
      <c r="J10" s="153" t="s">
        <v>1794</v>
      </c>
      <c r="K10" s="153" t="s">
        <v>1796</v>
      </c>
      <c r="L10" s="153" t="s">
        <v>1797</v>
      </c>
      <c r="M10" s="153" t="s">
        <v>1799</v>
      </c>
      <c r="N10" s="153" t="s">
        <v>1801</v>
      </c>
      <c r="O10" s="153" t="s">
        <v>1803</v>
      </c>
      <c r="P10" s="153" t="s">
        <v>1804</v>
      </c>
      <c r="Q10" s="153" t="s">
        <v>1806</v>
      </c>
      <c r="R10" s="153" t="s">
        <v>1809</v>
      </c>
      <c r="S10" s="153" t="s">
        <v>1810</v>
      </c>
      <c r="T10" s="153" t="s">
        <v>1812</v>
      </c>
      <c r="U10" s="153" t="s">
        <v>1814</v>
      </c>
      <c r="V10" s="153" t="s">
        <v>1816</v>
      </c>
      <c r="X10" s="153" t="s">
        <v>1818</v>
      </c>
      <c r="Y10" s="178">
        <f t="shared" si="1"/>
        <v>1</v>
      </c>
    </row>
    <row r="11">
      <c r="A11" s="175" t="s">
        <v>298</v>
      </c>
      <c r="B11" s="179" t="s">
        <v>1822</v>
      </c>
      <c r="C11" s="179" t="s">
        <v>1823</v>
      </c>
      <c r="D11" s="179" t="s">
        <v>1824</v>
      </c>
      <c r="E11" s="179" t="s">
        <v>1825</v>
      </c>
      <c r="F11" s="179" t="s">
        <v>1826</v>
      </c>
      <c r="G11" s="179" t="s">
        <v>1827</v>
      </c>
      <c r="H11" s="179" t="s">
        <v>1828</v>
      </c>
      <c r="I11" s="179" t="s">
        <v>1829</v>
      </c>
      <c r="J11" s="179" t="s">
        <v>1831</v>
      </c>
      <c r="K11" s="179" t="s">
        <v>1834</v>
      </c>
      <c r="L11" s="179" t="s">
        <v>1835</v>
      </c>
      <c r="M11" s="179" t="s">
        <v>1837</v>
      </c>
      <c r="N11" s="179" t="s">
        <v>1839</v>
      </c>
      <c r="O11" s="179" t="s">
        <v>1841</v>
      </c>
      <c r="P11" s="179" t="s">
        <v>1842</v>
      </c>
      <c r="Q11" s="179" t="s">
        <v>1844</v>
      </c>
      <c r="R11" s="179" t="s">
        <v>1846</v>
      </c>
      <c r="S11" s="179" t="s">
        <v>1848</v>
      </c>
      <c r="T11" s="179" t="s">
        <v>1850</v>
      </c>
      <c r="U11" s="179" t="s">
        <v>1852</v>
      </c>
      <c r="V11" s="179" t="s">
        <v>1854</v>
      </c>
      <c r="W11" s="179" t="s">
        <v>1856</v>
      </c>
      <c r="X11" s="179" t="s">
        <v>1857</v>
      </c>
      <c r="Y11" s="178">
        <f t="shared" si="1"/>
        <v>0</v>
      </c>
    </row>
    <row r="12">
      <c r="A12" s="175" t="s">
        <v>83</v>
      </c>
      <c r="B12" s="179" t="s">
        <v>1867</v>
      </c>
      <c r="C12" s="179" t="s">
        <v>1868</v>
      </c>
      <c r="D12" s="179" t="s">
        <v>1870</v>
      </c>
      <c r="E12" s="179" t="s">
        <v>1871</v>
      </c>
      <c r="F12" s="179" t="s">
        <v>1872</v>
      </c>
      <c r="G12" s="179" t="s">
        <v>1873</v>
      </c>
      <c r="H12" s="179" t="s">
        <v>1874</v>
      </c>
      <c r="I12" s="179" t="s">
        <v>1875</v>
      </c>
      <c r="J12" s="179" t="s">
        <v>1876</v>
      </c>
      <c r="K12" s="179" t="s">
        <v>1877</v>
      </c>
      <c r="L12" s="179" t="s">
        <v>1878</v>
      </c>
      <c r="M12" s="179" t="s">
        <v>1880</v>
      </c>
      <c r="N12" s="179" t="s">
        <v>1882</v>
      </c>
      <c r="O12" s="179" t="s">
        <v>1884</v>
      </c>
      <c r="P12" s="179" t="s">
        <v>1886</v>
      </c>
      <c r="Q12" s="179" t="s">
        <v>1893</v>
      </c>
      <c r="R12" s="179" t="s">
        <v>1895</v>
      </c>
      <c r="S12" s="179" t="s">
        <v>1897</v>
      </c>
      <c r="T12" s="179" t="s">
        <v>1899</v>
      </c>
      <c r="U12" s="179" t="s">
        <v>1901</v>
      </c>
      <c r="V12" s="179" t="s">
        <v>1903</v>
      </c>
      <c r="W12" s="179" t="s">
        <v>1905</v>
      </c>
      <c r="X12" s="180" t="s">
        <v>1907</v>
      </c>
      <c r="Y12" s="178">
        <f t="shared" si="1"/>
        <v>0</v>
      </c>
    </row>
    <row r="13">
      <c r="A13" s="175" t="s">
        <v>260</v>
      </c>
      <c r="B13" s="179" t="s">
        <v>1915</v>
      </c>
      <c r="C13" s="179" t="s">
        <v>1917</v>
      </c>
      <c r="D13" s="179" t="s">
        <v>1919</v>
      </c>
      <c r="E13" s="179" t="s">
        <v>1921</v>
      </c>
      <c r="F13" s="179" t="s">
        <v>1924</v>
      </c>
      <c r="G13" s="179" t="s">
        <v>1926</v>
      </c>
      <c r="H13" s="179" t="s">
        <v>1927</v>
      </c>
      <c r="I13" s="179" t="s">
        <v>1929</v>
      </c>
      <c r="J13" s="179" t="s">
        <v>1931</v>
      </c>
      <c r="K13" s="179" t="s">
        <v>1933</v>
      </c>
      <c r="L13" s="179" t="s">
        <v>1935</v>
      </c>
      <c r="M13" s="179" t="s">
        <v>1937</v>
      </c>
      <c r="N13" s="179" t="s">
        <v>1939</v>
      </c>
      <c r="O13" s="179" t="s">
        <v>1941</v>
      </c>
      <c r="P13" s="179" t="s">
        <v>1943</v>
      </c>
      <c r="Q13" s="179" t="s">
        <v>1945</v>
      </c>
      <c r="R13" s="180" t="s">
        <v>1947</v>
      </c>
      <c r="S13" s="179" t="s">
        <v>1949</v>
      </c>
      <c r="T13" s="179" t="s">
        <v>1952</v>
      </c>
      <c r="U13" s="179" t="s">
        <v>1954</v>
      </c>
      <c r="V13" s="179" t="s">
        <v>1956</v>
      </c>
      <c r="W13" s="179" t="s">
        <v>1958</v>
      </c>
      <c r="X13" s="180" t="s">
        <v>1959</v>
      </c>
      <c r="Y13" s="178">
        <f t="shared" si="1"/>
        <v>0</v>
      </c>
    </row>
    <row r="14">
      <c r="A14" s="175" t="s">
        <v>386</v>
      </c>
      <c r="B14" s="179" t="s">
        <v>1962</v>
      </c>
      <c r="C14" s="179" t="s">
        <v>1964</v>
      </c>
      <c r="D14" s="179" t="s">
        <v>1966</v>
      </c>
      <c r="E14" s="179" t="s">
        <v>1967</v>
      </c>
      <c r="F14" s="179" t="s">
        <v>1968</v>
      </c>
      <c r="G14" s="179" t="s">
        <v>1970</v>
      </c>
      <c r="H14" s="179" t="s">
        <v>1972</v>
      </c>
      <c r="I14" s="179" t="s">
        <v>1974</v>
      </c>
      <c r="J14" s="179" t="s">
        <v>1976</v>
      </c>
      <c r="K14" s="179" t="s">
        <v>1978</v>
      </c>
      <c r="L14" s="179" t="s">
        <v>1980</v>
      </c>
      <c r="M14" s="179" t="s">
        <v>1982</v>
      </c>
      <c r="N14" s="179" t="s">
        <v>1984</v>
      </c>
      <c r="O14" s="179" t="s">
        <v>1986</v>
      </c>
      <c r="P14" s="179" t="s">
        <v>1988</v>
      </c>
      <c r="Q14" s="179" t="s">
        <v>1990</v>
      </c>
      <c r="R14" s="179" t="s">
        <v>1991</v>
      </c>
      <c r="S14" s="179" t="s">
        <v>1992</v>
      </c>
      <c r="T14" s="179" t="s">
        <v>1993</v>
      </c>
      <c r="U14" s="179" t="s">
        <v>1995</v>
      </c>
      <c r="V14" s="179" t="s">
        <v>1997</v>
      </c>
      <c r="W14" s="179" t="s">
        <v>1999</v>
      </c>
      <c r="X14" s="179" t="s">
        <v>2001</v>
      </c>
      <c r="Y14" s="178">
        <f t="shared" si="1"/>
        <v>0</v>
      </c>
    </row>
    <row r="15">
      <c r="A15" s="175" t="s">
        <v>479</v>
      </c>
      <c r="B15" s="179" t="s">
        <v>2005</v>
      </c>
      <c r="C15" s="179" t="s">
        <v>2006</v>
      </c>
      <c r="D15" s="180" t="s">
        <v>2007</v>
      </c>
      <c r="E15" s="179" t="s">
        <v>2008</v>
      </c>
      <c r="F15" s="179" t="s">
        <v>2009</v>
      </c>
      <c r="G15" s="180" t="s">
        <v>2010</v>
      </c>
      <c r="H15" s="179" t="s">
        <v>2012</v>
      </c>
      <c r="I15" s="179" t="s">
        <v>2014</v>
      </c>
      <c r="J15" s="179" t="s">
        <v>2016</v>
      </c>
      <c r="K15" s="179" t="s">
        <v>2018</v>
      </c>
      <c r="L15" s="179" t="s">
        <v>2020</v>
      </c>
      <c r="M15" s="179" t="s">
        <v>2022</v>
      </c>
      <c r="N15" s="179" t="s">
        <v>2024</v>
      </c>
      <c r="O15" s="179" t="s">
        <v>2026</v>
      </c>
      <c r="P15" s="179" t="s">
        <v>2028</v>
      </c>
      <c r="Q15" s="179" t="s">
        <v>2030</v>
      </c>
      <c r="R15" s="179" t="s">
        <v>2032</v>
      </c>
      <c r="S15" s="179" t="s">
        <v>2034</v>
      </c>
      <c r="T15" s="179" t="s">
        <v>2036</v>
      </c>
      <c r="U15" s="179" t="s">
        <v>2038</v>
      </c>
      <c r="V15" s="179" t="s">
        <v>2040</v>
      </c>
      <c r="W15" s="179" t="s">
        <v>2042</v>
      </c>
      <c r="X15" s="180" t="s">
        <v>2044</v>
      </c>
      <c r="Y15" s="178">
        <f t="shared" si="1"/>
        <v>0</v>
      </c>
    </row>
    <row r="16">
      <c r="A16" s="160" t="s">
        <v>1830</v>
      </c>
      <c r="B16" s="153" t="s">
        <v>2050</v>
      </c>
      <c r="C16" s="153" t="s">
        <v>2051</v>
      </c>
      <c r="D16" s="153" t="s">
        <v>2052</v>
      </c>
      <c r="E16" s="153" t="s">
        <v>2053</v>
      </c>
      <c r="F16" s="153" t="s">
        <v>2054</v>
      </c>
      <c r="G16" s="153" t="s">
        <v>2055</v>
      </c>
      <c r="H16" s="177" t="s">
        <v>2057</v>
      </c>
      <c r="J16" s="153" t="s">
        <v>2059</v>
      </c>
      <c r="K16" s="177" t="s">
        <v>2060</v>
      </c>
      <c r="L16" s="153" t="s">
        <v>2061</v>
      </c>
      <c r="M16" s="153" t="s">
        <v>2063</v>
      </c>
      <c r="N16" s="153" t="s">
        <v>2065</v>
      </c>
      <c r="O16" s="177" t="s">
        <v>2067</v>
      </c>
      <c r="P16" s="153" t="s">
        <v>2068</v>
      </c>
      <c r="Q16" s="153" t="s">
        <v>2069</v>
      </c>
      <c r="R16" s="153" t="s">
        <v>2071</v>
      </c>
      <c r="S16" s="153" t="s">
        <v>2073</v>
      </c>
      <c r="T16" s="177" t="s">
        <v>2075</v>
      </c>
      <c r="U16" s="177" t="s">
        <v>2077</v>
      </c>
      <c r="V16" s="153" t="s">
        <v>2079</v>
      </c>
      <c r="W16" s="177" t="s">
        <v>2081</v>
      </c>
      <c r="X16" s="153" t="s">
        <v>2082</v>
      </c>
      <c r="Y16" s="178">
        <f t="shared" si="1"/>
        <v>1</v>
      </c>
    </row>
    <row r="17">
      <c r="A17" s="175" t="s">
        <v>358</v>
      </c>
      <c r="B17" s="179" t="s">
        <v>2089</v>
      </c>
      <c r="C17" s="180" t="s">
        <v>2093</v>
      </c>
      <c r="D17" s="179" t="s">
        <v>2095</v>
      </c>
      <c r="E17" s="179" t="s">
        <v>2098</v>
      </c>
      <c r="F17" s="179" t="s">
        <v>2100</v>
      </c>
      <c r="G17" s="179" t="s">
        <v>2101</v>
      </c>
      <c r="H17" s="179" t="s">
        <v>2102</v>
      </c>
      <c r="I17" s="179" t="s">
        <v>2103</v>
      </c>
      <c r="J17" s="179" t="s">
        <v>2104</v>
      </c>
      <c r="K17" s="179" t="s">
        <v>2105</v>
      </c>
      <c r="L17" s="179" t="s">
        <v>2107</v>
      </c>
      <c r="M17" s="179" t="s">
        <v>2109</v>
      </c>
      <c r="N17" s="179" t="s">
        <v>2111</v>
      </c>
      <c r="O17" s="179" t="s">
        <v>2112</v>
      </c>
      <c r="P17" s="179" t="s">
        <v>2113</v>
      </c>
      <c r="Q17" s="179" t="s">
        <v>2115</v>
      </c>
      <c r="R17" s="179" t="s">
        <v>2117</v>
      </c>
      <c r="S17" s="179" t="s">
        <v>2119</v>
      </c>
      <c r="T17" s="179" t="s">
        <v>2121</v>
      </c>
      <c r="U17" s="179" t="s">
        <v>2123</v>
      </c>
      <c r="V17" s="179" t="s">
        <v>2125</v>
      </c>
      <c r="W17" s="179" t="s">
        <v>2127</v>
      </c>
      <c r="X17" s="179" t="s">
        <v>2129</v>
      </c>
      <c r="Y17" s="178">
        <f t="shared" si="1"/>
        <v>0</v>
      </c>
    </row>
    <row r="18">
      <c r="A18" s="175" t="s">
        <v>500</v>
      </c>
      <c r="B18" s="179" t="s">
        <v>2134</v>
      </c>
      <c r="C18" s="179" t="s">
        <v>2136</v>
      </c>
      <c r="D18" s="179" t="s">
        <v>2138</v>
      </c>
      <c r="E18" s="179" t="s">
        <v>2140</v>
      </c>
      <c r="F18" s="179" t="s">
        <v>2142</v>
      </c>
      <c r="G18" s="179" t="s">
        <v>2144</v>
      </c>
      <c r="H18" s="179" t="s">
        <v>2146</v>
      </c>
      <c r="I18" s="179" t="s">
        <v>2148</v>
      </c>
      <c r="J18" s="179" t="s">
        <v>2150</v>
      </c>
      <c r="K18" s="179" t="s">
        <v>2151</v>
      </c>
      <c r="L18" s="179" t="s">
        <v>2152</v>
      </c>
      <c r="M18" s="179" t="s">
        <v>2153</v>
      </c>
      <c r="N18" s="179" t="s">
        <v>2154</v>
      </c>
      <c r="O18" s="179" t="s">
        <v>2155</v>
      </c>
      <c r="P18" s="179" t="s">
        <v>2156</v>
      </c>
      <c r="Q18" s="179" t="s">
        <v>2157</v>
      </c>
      <c r="R18" s="180" t="s">
        <v>2158</v>
      </c>
      <c r="S18" s="179" t="s">
        <v>2160</v>
      </c>
      <c r="T18" s="179" t="s">
        <v>2162</v>
      </c>
      <c r="U18" s="179" t="s">
        <v>2164</v>
      </c>
      <c r="V18" s="179" t="s">
        <v>2166</v>
      </c>
      <c r="W18" s="179"/>
      <c r="X18" s="179"/>
      <c r="Y18" s="178">
        <f t="shared" si="1"/>
        <v>2</v>
      </c>
    </row>
    <row r="19">
      <c r="A19" s="175" t="s">
        <v>440</v>
      </c>
      <c r="B19" s="179" t="s">
        <v>2173</v>
      </c>
      <c r="C19" s="179" t="s">
        <v>2175</v>
      </c>
      <c r="D19" s="179" t="s">
        <v>2177</v>
      </c>
      <c r="E19" s="179" t="s">
        <v>2180</v>
      </c>
      <c r="F19" s="179" t="s">
        <v>2182</v>
      </c>
      <c r="G19" s="179" t="s">
        <v>2184</v>
      </c>
      <c r="H19" s="179" t="s">
        <v>2186</v>
      </c>
      <c r="I19" s="179" t="s">
        <v>2188</v>
      </c>
      <c r="J19" s="179" t="s">
        <v>2190</v>
      </c>
      <c r="K19" s="179" t="s">
        <v>2192</v>
      </c>
      <c r="L19" s="179" t="s">
        <v>2195</v>
      </c>
      <c r="M19" s="179" t="s">
        <v>2196</v>
      </c>
      <c r="N19" s="179" t="s">
        <v>2197</v>
      </c>
      <c r="O19" s="179" t="s">
        <v>2198</v>
      </c>
      <c r="P19" s="179" t="s">
        <v>2199</v>
      </c>
      <c r="Q19" s="179" t="s">
        <v>2200</v>
      </c>
      <c r="R19" s="179" t="s">
        <v>2201</v>
      </c>
      <c r="S19" s="179" t="s">
        <v>2203</v>
      </c>
      <c r="T19" s="179" t="s">
        <v>2205</v>
      </c>
      <c r="U19" s="179" t="s">
        <v>2207</v>
      </c>
      <c r="V19" s="179" t="s">
        <v>2209</v>
      </c>
      <c r="W19" s="179" t="s">
        <v>2211</v>
      </c>
      <c r="X19" s="180" t="s">
        <v>2213</v>
      </c>
      <c r="Y19" s="178">
        <f t="shared" si="1"/>
        <v>0</v>
      </c>
    </row>
    <row r="20">
      <c r="A20" s="175" t="s">
        <v>417</v>
      </c>
      <c r="B20" s="179" t="s">
        <v>2220</v>
      </c>
      <c r="C20" s="179" t="s">
        <v>2221</v>
      </c>
      <c r="D20" s="179" t="s">
        <v>2222</v>
      </c>
      <c r="E20" s="179" t="s">
        <v>2223</v>
      </c>
      <c r="F20" s="179" t="s">
        <v>2224</v>
      </c>
      <c r="G20" s="179" t="s">
        <v>2226</v>
      </c>
      <c r="H20" s="179" t="s">
        <v>2228</v>
      </c>
      <c r="I20" s="179" t="s">
        <v>2230</v>
      </c>
      <c r="J20" s="179" t="s">
        <v>2232</v>
      </c>
      <c r="K20" s="179" t="s">
        <v>2234</v>
      </c>
      <c r="L20" s="179" t="s">
        <v>2236</v>
      </c>
      <c r="M20" s="179" t="s">
        <v>2242</v>
      </c>
      <c r="N20" s="179" t="s">
        <v>2243</v>
      </c>
      <c r="O20" s="179" t="s">
        <v>2244</v>
      </c>
      <c r="P20" s="179" t="s">
        <v>2245</v>
      </c>
      <c r="Q20" s="179" t="s">
        <v>2246</v>
      </c>
      <c r="R20" s="179" t="s">
        <v>2247</v>
      </c>
      <c r="S20" s="179" t="s">
        <v>2248</v>
      </c>
      <c r="T20" s="179" t="s">
        <v>2249</v>
      </c>
      <c r="U20" s="179" t="s">
        <v>2250</v>
      </c>
      <c r="V20" s="179" t="s">
        <v>2251</v>
      </c>
      <c r="W20" s="179" t="s">
        <v>2252</v>
      </c>
      <c r="X20" s="179" t="s">
        <v>2253</v>
      </c>
      <c r="Y20" s="178">
        <f t="shared" si="1"/>
        <v>0</v>
      </c>
    </row>
    <row r="21">
      <c r="A21" s="175" t="s">
        <v>518</v>
      </c>
      <c r="B21" s="179" t="s">
        <v>2254</v>
      </c>
      <c r="C21" s="179" t="s">
        <v>2255</v>
      </c>
      <c r="D21" s="179" t="s">
        <v>2256</v>
      </c>
      <c r="E21" s="179" t="s">
        <v>2257</v>
      </c>
      <c r="F21" s="179" t="s">
        <v>2258</v>
      </c>
      <c r="G21" s="179" t="s">
        <v>2259</v>
      </c>
      <c r="H21" s="179" t="s">
        <v>2260</v>
      </c>
      <c r="I21" s="179" t="s">
        <v>2261</v>
      </c>
      <c r="J21" s="179" t="s">
        <v>2262</v>
      </c>
      <c r="K21" s="179" t="s">
        <v>2263</v>
      </c>
      <c r="L21" s="179" t="s">
        <v>2264</v>
      </c>
      <c r="M21" s="179" t="s">
        <v>2265</v>
      </c>
      <c r="N21" s="179" t="s">
        <v>2266</v>
      </c>
      <c r="O21" s="179" t="s">
        <v>2267</v>
      </c>
      <c r="P21" s="179" t="s">
        <v>2268</v>
      </c>
      <c r="Q21" s="179" t="s">
        <v>2269</v>
      </c>
      <c r="R21" s="179" t="s">
        <v>2270</v>
      </c>
      <c r="S21" s="179" t="s">
        <v>2271</v>
      </c>
      <c r="T21" s="179" t="s">
        <v>2272</v>
      </c>
      <c r="U21" s="179" t="s">
        <v>2273</v>
      </c>
      <c r="V21" s="179" t="s">
        <v>2274</v>
      </c>
      <c r="W21" s="180" t="s">
        <v>2275</v>
      </c>
      <c r="X21" s="179" t="s">
        <v>2276</v>
      </c>
      <c r="Y21" s="178">
        <f t="shared" si="1"/>
        <v>0</v>
      </c>
    </row>
    <row r="22">
      <c r="A22" s="160" t="s">
        <v>2106</v>
      </c>
      <c r="B22" s="153" t="s">
        <v>2277</v>
      </c>
      <c r="C22" s="153" t="s">
        <v>2278</v>
      </c>
      <c r="D22" s="153" t="s">
        <v>2279</v>
      </c>
      <c r="E22" s="153" t="s">
        <v>2280</v>
      </c>
      <c r="F22" s="153" t="s">
        <v>2281</v>
      </c>
      <c r="G22" s="153" t="s">
        <v>2282</v>
      </c>
      <c r="H22" s="153" t="s">
        <v>2283</v>
      </c>
      <c r="I22" s="153" t="s">
        <v>2284</v>
      </c>
      <c r="J22" s="153" t="s">
        <v>2285</v>
      </c>
      <c r="K22" s="177" t="s">
        <v>2286</v>
      </c>
      <c r="L22" s="153" t="s">
        <v>2287</v>
      </c>
      <c r="M22" s="153" t="s">
        <v>2288</v>
      </c>
      <c r="N22" s="153" t="s">
        <v>2289</v>
      </c>
      <c r="O22" s="153" t="s">
        <v>2290</v>
      </c>
      <c r="P22" s="177" t="s">
        <v>2291</v>
      </c>
      <c r="Q22" s="153" t="s">
        <v>2292</v>
      </c>
      <c r="R22" s="153" t="s">
        <v>2293</v>
      </c>
      <c r="T22" s="153" t="s">
        <v>2294</v>
      </c>
      <c r="U22" s="177" t="s">
        <v>2295</v>
      </c>
      <c r="V22" s="153" t="s">
        <v>2296</v>
      </c>
      <c r="W22" s="153" t="s">
        <v>2297</v>
      </c>
      <c r="X22" s="153" t="s">
        <v>2298</v>
      </c>
      <c r="Y22" s="178">
        <f t="shared" si="1"/>
        <v>1</v>
      </c>
    </row>
    <row r="23">
      <c r="A23" s="175" t="s">
        <v>401</v>
      </c>
      <c r="B23" s="179" t="s">
        <v>2299</v>
      </c>
      <c r="C23" s="179"/>
      <c r="D23" s="180" t="s">
        <v>2300</v>
      </c>
      <c r="E23" s="179" t="s">
        <v>2301</v>
      </c>
      <c r="F23" s="179" t="s">
        <v>2302</v>
      </c>
      <c r="G23" s="179" t="s">
        <v>2303</v>
      </c>
      <c r="H23" s="180" t="s">
        <v>2304</v>
      </c>
      <c r="I23" s="179" t="s">
        <v>2305</v>
      </c>
      <c r="J23" s="179" t="s">
        <v>2306</v>
      </c>
      <c r="K23" s="179" t="s">
        <v>2307</v>
      </c>
      <c r="L23" s="179" t="s">
        <v>2308</v>
      </c>
      <c r="M23" s="179" t="s">
        <v>2309</v>
      </c>
      <c r="N23" s="179" t="s">
        <v>2310</v>
      </c>
      <c r="O23" s="179" t="s">
        <v>2311</v>
      </c>
      <c r="P23" s="179" t="s">
        <v>2312</v>
      </c>
      <c r="Q23" s="188" t="s">
        <v>2313</v>
      </c>
      <c r="R23" s="179" t="s">
        <v>2314</v>
      </c>
      <c r="S23" s="179" t="s">
        <v>2315</v>
      </c>
      <c r="T23" s="179" t="s">
        <v>2316</v>
      </c>
      <c r="U23" s="179" t="s">
        <v>2317</v>
      </c>
      <c r="V23" s="179" t="s">
        <v>2318</v>
      </c>
      <c r="W23" s="179" t="s">
        <v>2319</v>
      </c>
      <c r="X23" s="179" t="s">
        <v>2320</v>
      </c>
      <c r="Y23" s="178">
        <f t="shared" si="1"/>
        <v>1</v>
      </c>
    </row>
    <row r="24">
      <c r="A24" s="175" t="s">
        <v>2202</v>
      </c>
      <c r="B24" s="179" t="s">
        <v>2321</v>
      </c>
      <c r="C24" s="179" t="s">
        <v>2322</v>
      </c>
      <c r="D24" s="179" t="s">
        <v>2323</v>
      </c>
      <c r="E24" s="179" t="s">
        <v>2324</v>
      </c>
      <c r="F24" s="179" t="s">
        <v>2325</v>
      </c>
      <c r="G24" s="179" t="s">
        <v>2326</v>
      </c>
      <c r="H24" s="179" t="s">
        <v>2327</v>
      </c>
      <c r="I24" s="179" t="s">
        <v>2328</v>
      </c>
      <c r="J24" s="179" t="s">
        <v>2329</v>
      </c>
      <c r="K24" s="179" t="s">
        <v>2330</v>
      </c>
      <c r="L24" s="179" t="s">
        <v>2331</v>
      </c>
      <c r="M24" s="179" t="s">
        <v>2332</v>
      </c>
      <c r="N24" s="179" t="s">
        <v>2333</v>
      </c>
      <c r="O24" s="179" t="s">
        <v>2334</v>
      </c>
      <c r="P24" s="180" t="s">
        <v>2335</v>
      </c>
      <c r="Q24" s="179" t="s">
        <v>2336</v>
      </c>
      <c r="R24" s="180" t="s">
        <v>2337</v>
      </c>
      <c r="S24" s="179" t="s">
        <v>2338</v>
      </c>
      <c r="T24" s="179" t="s">
        <v>2339</v>
      </c>
      <c r="U24" s="179" t="s">
        <v>2340</v>
      </c>
      <c r="V24" s="179" t="s">
        <v>2341</v>
      </c>
      <c r="W24" s="179" t="s">
        <v>2342</v>
      </c>
      <c r="X24" s="180"/>
      <c r="Y24" s="178">
        <f t="shared" si="1"/>
        <v>1</v>
      </c>
    </row>
    <row r="25">
      <c r="A25" s="187"/>
      <c r="B25" s="178">
        <f t="shared" ref="B25:X25" si="2">23-COUNTA(B2:B24)</f>
        <v>0</v>
      </c>
      <c r="C25" s="178">
        <f t="shared" si="2"/>
        <v>1</v>
      </c>
      <c r="D25" s="178">
        <f t="shared" si="2"/>
        <v>0</v>
      </c>
      <c r="E25" s="178">
        <f t="shared" si="2"/>
        <v>0</v>
      </c>
      <c r="F25" s="178">
        <f t="shared" si="2"/>
        <v>0</v>
      </c>
      <c r="G25" s="178">
        <f t="shared" si="2"/>
        <v>0</v>
      </c>
      <c r="H25" s="178">
        <f t="shared" si="2"/>
        <v>0</v>
      </c>
      <c r="I25" s="178">
        <f t="shared" si="2"/>
        <v>3</v>
      </c>
      <c r="J25" s="178">
        <f t="shared" si="2"/>
        <v>0</v>
      </c>
      <c r="K25" s="178">
        <f t="shared" si="2"/>
        <v>0</v>
      </c>
      <c r="L25" s="178">
        <f t="shared" si="2"/>
        <v>0</v>
      </c>
      <c r="M25" s="178">
        <f t="shared" si="2"/>
        <v>1</v>
      </c>
      <c r="N25" s="178">
        <f t="shared" si="2"/>
        <v>0</v>
      </c>
      <c r="O25" s="178">
        <f t="shared" si="2"/>
        <v>0</v>
      </c>
      <c r="P25" s="178">
        <f t="shared" si="2"/>
        <v>0</v>
      </c>
      <c r="Q25" s="178">
        <f t="shared" si="2"/>
        <v>0</v>
      </c>
      <c r="R25" s="178">
        <f t="shared" si="2"/>
        <v>0</v>
      </c>
      <c r="S25" s="178">
        <f t="shared" si="2"/>
        <v>1</v>
      </c>
      <c r="T25" s="178">
        <f t="shared" si="2"/>
        <v>0</v>
      </c>
      <c r="U25" s="178">
        <f t="shared" si="2"/>
        <v>0</v>
      </c>
      <c r="V25" s="178">
        <f t="shared" si="2"/>
        <v>0</v>
      </c>
      <c r="W25" s="178">
        <f t="shared" si="2"/>
        <v>2</v>
      </c>
      <c r="X25" s="178">
        <f t="shared" si="2"/>
        <v>2</v>
      </c>
      <c r="Y25" s="178">
        <f>(23*23)-COUNTA(B2:X24)</f>
        <v>10</v>
      </c>
    </row>
  </sheetData>
  <conditionalFormatting sqref="B2:X24">
    <cfRule type="containsBlanks" dxfId="0" priority="1">
      <formula>LEN(TRIM(B2))=0</formula>
    </cfRule>
  </conditionalFormatting>
  <conditionalFormatting sqref="Y2:Y24 B25:X25">
    <cfRule type="colorScale" priority="2">
      <colorScale>
        <cfvo type="formula" val="0"/>
        <cfvo type="percentile" val="50"/>
        <cfvo type="max"/>
        <color rgb="FF00FF00"/>
        <color rgb="FFFFFF00"/>
        <color rgb="FFFF0000"/>
      </colorScale>
    </cfRule>
  </conditionalFormatting>
  <printOptions gridLines="1" horizontalCentered="1"/>
  <pageMargins bottom="0.75" footer="0.0" header="0.0" left="0.25" right="0.25" top="0.75"/>
  <pageSetup fitToHeight="0" orientation="landscape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7.43"/>
    <col customWidth="1" min="2" max="24" width="7.29"/>
    <col customWidth="1" min="25" max="25" width="4.29"/>
  </cols>
  <sheetData>
    <row r="1">
      <c r="A1" s="181">
        <f>COUNTA(B2:X24)/(23*23)</f>
        <v>0.9905482042</v>
      </c>
      <c r="B1" s="175" t="s">
        <v>1294</v>
      </c>
      <c r="C1" s="175" t="s">
        <v>126</v>
      </c>
      <c r="D1" s="175" t="s">
        <v>240</v>
      </c>
      <c r="E1" s="175" t="s">
        <v>239</v>
      </c>
      <c r="F1" s="175" t="s">
        <v>1295</v>
      </c>
      <c r="G1" s="175" t="s">
        <v>351</v>
      </c>
      <c r="H1" s="175" t="s">
        <v>329</v>
      </c>
      <c r="I1" s="175" t="s">
        <v>1296</v>
      </c>
      <c r="J1" s="175" t="s">
        <v>1297</v>
      </c>
      <c r="K1" s="175" t="s">
        <v>298</v>
      </c>
      <c r="L1" s="175" t="s">
        <v>83</v>
      </c>
      <c r="M1" s="175" t="s">
        <v>260</v>
      </c>
      <c r="N1" s="175" t="s">
        <v>386</v>
      </c>
      <c r="O1" s="175" t="s">
        <v>479</v>
      </c>
      <c r="P1" s="175" t="s">
        <v>1298</v>
      </c>
      <c r="Q1" s="175" t="s">
        <v>358</v>
      </c>
      <c r="R1" s="175" t="s">
        <v>500</v>
      </c>
      <c r="S1" s="175" t="s">
        <v>440</v>
      </c>
      <c r="T1" s="175" t="s">
        <v>417</v>
      </c>
      <c r="U1" s="175" t="s">
        <v>518</v>
      </c>
      <c r="V1" s="175" t="s">
        <v>1300</v>
      </c>
      <c r="W1" s="175" t="s">
        <v>401</v>
      </c>
      <c r="X1" s="175" t="s">
        <v>1301</v>
      </c>
      <c r="Y1" s="194"/>
    </row>
    <row r="2">
      <c r="A2" s="160" t="s">
        <v>1302</v>
      </c>
      <c r="B2" s="153" t="s">
        <v>2346</v>
      </c>
      <c r="C2" s="196" t="s">
        <v>1303</v>
      </c>
      <c r="D2" s="153" t="s">
        <v>2350</v>
      </c>
      <c r="E2" s="153" t="s">
        <v>2351</v>
      </c>
      <c r="F2" s="177" t="s">
        <v>2352</v>
      </c>
      <c r="G2" s="153" t="s">
        <v>2353</v>
      </c>
      <c r="H2" s="153" t="s">
        <v>2354</v>
      </c>
      <c r="I2" s="196" t="s">
        <v>1309</v>
      </c>
      <c r="J2" s="153" t="s">
        <v>2355</v>
      </c>
      <c r="K2" s="153" t="s">
        <v>2356</v>
      </c>
      <c r="L2" s="196" t="s">
        <v>1312</v>
      </c>
      <c r="M2" s="198" t="s">
        <v>2357</v>
      </c>
      <c r="N2" s="177" t="s">
        <v>2364</v>
      </c>
      <c r="O2" s="153" t="s">
        <v>2366</v>
      </c>
      <c r="P2" s="153" t="s">
        <v>2367</v>
      </c>
      <c r="Q2" s="153" t="s">
        <v>2369</v>
      </c>
      <c r="R2" s="153" t="s">
        <v>2370</v>
      </c>
      <c r="S2" s="177" t="s">
        <v>2372</v>
      </c>
      <c r="T2" s="153" t="s">
        <v>2374</v>
      </c>
      <c r="U2" s="153" t="s">
        <v>2376</v>
      </c>
      <c r="V2" s="153" t="s">
        <v>2377</v>
      </c>
      <c r="W2" s="153" t="s">
        <v>2378</v>
      </c>
      <c r="X2" s="153" t="s">
        <v>2380</v>
      </c>
      <c r="Y2" s="178">
        <f t="shared" ref="Y2:Y24" si="1">23-COUNTA(B2:X2)</f>
        <v>0</v>
      </c>
    </row>
    <row r="3">
      <c r="A3" s="175" t="s">
        <v>126</v>
      </c>
      <c r="B3" s="179" t="s">
        <v>2388</v>
      </c>
      <c r="C3" s="179" t="s">
        <v>2389</v>
      </c>
      <c r="D3" s="179" t="s">
        <v>2390</v>
      </c>
      <c r="E3" s="179" t="s">
        <v>2391</v>
      </c>
      <c r="F3" s="179" t="s">
        <v>2393</v>
      </c>
      <c r="G3" s="179" t="s">
        <v>2394</v>
      </c>
      <c r="H3" s="179" t="s">
        <v>2395</v>
      </c>
      <c r="I3" s="179" t="s">
        <v>2396</v>
      </c>
      <c r="J3" s="179" t="s">
        <v>2397</v>
      </c>
      <c r="K3" s="179" t="s">
        <v>2399</v>
      </c>
      <c r="L3" s="179" t="s">
        <v>2400</v>
      </c>
      <c r="M3" s="179" t="s">
        <v>2401</v>
      </c>
      <c r="N3" s="179" t="s">
        <v>2403</v>
      </c>
      <c r="O3" s="179" t="s">
        <v>2404</v>
      </c>
      <c r="P3" s="179" t="s">
        <v>2405</v>
      </c>
      <c r="Q3" s="200" t="s">
        <v>1339</v>
      </c>
      <c r="R3" s="179" t="s">
        <v>2414</v>
      </c>
      <c r="S3" s="179" t="s">
        <v>2415</v>
      </c>
      <c r="T3" s="179" t="s">
        <v>2416</v>
      </c>
      <c r="U3" s="179" t="s">
        <v>2417</v>
      </c>
      <c r="V3" s="179" t="s">
        <v>2418</v>
      </c>
      <c r="W3" s="179" t="s">
        <v>2420</v>
      </c>
      <c r="X3" s="179" t="s">
        <v>2422</v>
      </c>
      <c r="Y3" s="178">
        <f t="shared" si="1"/>
        <v>0</v>
      </c>
    </row>
    <row r="4">
      <c r="A4" s="175" t="s">
        <v>240</v>
      </c>
      <c r="B4" s="179" t="s">
        <v>2428</v>
      </c>
      <c r="C4" s="179" t="s">
        <v>2429</v>
      </c>
      <c r="D4" s="179" t="s">
        <v>2430</v>
      </c>
      <c r="E4" s="179" t="s">
        <v>2432</v>
      </c>
      <c r="F4" s="179" t="s">
        <v>2433</v>
      </c>
      <c r="G4" s="179" t="s">
        <v>2434</v>
      </c>
      <c r="H4" s="179" t="s">
        <v>2435</v>
      </c>
      <c r="I4" s="202" t="s">
        <v>1353</v>
      </c>
      <c r="J4" s="180" t="s">
        <v>2450</v>
      </c>
      <c r="K4" s="200" t="s">
        <v>2451</v>
      </c>
      <c r="L4" s="179" t="s">
        <v>2452</v>
      </c>
      <c r="M4" s="179" t="s">
        <v>2453</v>
      </c>
      <c r="N4" s="179" t="s">
        <v>2454</v>
      </c>
      <c r="O4" s="179" t="s">
        <v>2455</v>
      </c>
      <c r="P4" s="179" t="s">
        <v>2456</v>
      </c>
      <c r="Q4" s="179" t="s">
        <v>2457</v>
      </c>
      <c r="R4" s="179" t="s">
        <v>2459</v>
      </c>
      <c r="S4" s="179" t="s">
        <v>2461</v>
      </c>
      <c r="T4" s="179" t="s">
        <v>2462</v>
      </c>
      <c r="U4" s="179" t="s">
        <v>2464</v>
      </c>
      <c r="V4" s="179" t="s">
        <v>2465</v>
      </c>
      <c r="W4" s="179" t="s">
        <v>2467</v>
      </c>
      <c r="X4" s="179" t="s">
        <v>2468</v>
      </c>
      <c r="Y4" s="178">
        <f t="shared" si="1"/>
        <v>0</v>
      </c>
    </row>
    <row r="5">
      <c r="A5" s="175" t="s">
        <v>239</v>
      </c>
      <c r="B5" s="179" t="s">
        <v>2475</v>
      </c>
      <c r="C5" s="179" t="s">
        <v>2476</v>
      </c>
      <c r="D5" s="179" t="s">
        <v>2478</v>
      </c>
      <c r="E5" s="179" t="s">
        <v>2479</v>
      </c>
      <c r="F5" s="179" t="s">
        <v>2480</v>
      </c>
      <c r="G5" s="179" t="s">
        <v>2481</v>
      </c>
      <c r="H5" s="179" t="s">
        <v>2482</v>
      </c>
      <c r="I5" s="202" t="s">
        <v>2484</v>
      </c>
      <c r="J5" s="179" t="s">
        <v>2485</v>
      </c>
      <c r="K5" s="179" t="s">
        <v>2486</v>
      </c>
      <c r="L5" s="179" t="s">
        <v>2487</v>
      </c>
      <c r="M5" s="179" t="s">
        <v>2488</v>
      </c>
      <c r="N5" s="179" t="s">
        <v>2489</v>
      </c>
      <c r="O5" s="179" t="s">
        <v>2490</v>
      </c>
      <c r="P5" s="179" t="s">
        <v>2491</v>
      </c>
      <c r="Q5" s="180" t="s">
        <v>2492</v>
      </c>
      <c r="R5" s="179" t="s">
        <v>2493</v>
      </c>
      <c r="S5" s="179" t="s">
        <v>2494</v>
      </c>
      <c r="T5" s="179" t="s">
        <v>2495</v>
      </c>
      <c r="U5" s="179" t="s">
        <v>2497</v>
      </c>
      <c r="V5" s="179" t="s">
        <v>2499</v>
      </c>
      <c r="W5" s="179" t="s">
        <v>2500</v>
      </c>
      <c r="X5" s="179" t="s">
        <v>2503</v>
      </c>
      <c r="Y5" s="178">
        <f t="shared" si="1"/>
        <v>0</v>
      </c>
    </row>
    <row r="6">
      <c r="A6" s="160" t="s">
        <v>1391</v>
      </c>
      <c r="B6" s="153" t="s">
        <v>2510</v>
      </c>
      <c r="C6" s="153" t="s">
        <v>1395</v>
      </c>
      <c r="D6" s="153" t="s">
        <v>2512</v>
      </c>
      <c r="E6" s="153" t="s">
        <v>2513</v>
      </c>
      <c r="F6" s="153" t="s">
        <v>2514</v>
      </c>
      <c r="G6" s="196" t="s">
        <v>1404</v>
      </c>
      <c r="H6" s="153" t="s">
        <v>2515</v>
      </c>
      <c r="J6" s="153" t="s">
        <v>2517</v>
      </c>
      <c r="K6" s="153" t="s">
        <v>2518</v>
      </c>
      <c r="L6" s="153" t="s">
        <v>2519</v>
      </c>
      <c r="N6" s="153" t="s">
        <v>2521</v>
      </c>
      <c r="O6" s="153" t="s">
        <v>2523</v>
      </c>
      <c r="P6" s="153" t="s">
        <v>2525</v>
      </c>
      <c r="Q6" s="153" t="s">
        <v>2526</v>
      </c>
      <c r="R6" s="153" t="s">
        <v>2527</v>
      </c>
      <c r="S6" s="177" t="s">
        <v>2528</v>
      </c>
      <c r="T6" s="153" t="s">
        <v>2529</v>
      </c>
      <c r="U6" s="153" t="s">
        <v>2530</v>
      </c>
      <c r="V6" s="153" t="s">
        <v>2531</v>
      </c>
      <c r="W6" s="177" t="s">
        <v>2532</v>
      </c>
      <c r="X6" s="153" t="s">
        <v>2533</v>
      </c>
      <c r="Y6" s="178">
        <f t="shared" si="1"/>
        <v>2</v>
      </c>
    </row>
    <row r="7">
      <c r="A7" s="175" t="s">
        <v>351</v>
      </c>
      <c r="B7" s="179" t="s">
        <v>2534</v>
      </c>
      <c r="C7" s="179" t="s">
        <v>2535</v>
      </c>
      <c r="D7" s="179" t="s">
        <v>2536</v>
      </c>
      <c r="E7" s="179" t="s">
        <v>2537</v>
      </c>
      <c r="F7" s="179" t="s">
        <v>2538</v>
      </c>
      <c r="G7" s="179" t="s">
        <v>2539</v>
      </c>
      <c r="H7" s="179" t="s">
        <v>2540</v>
      </c>
      <c r="I7" s="179" t="s">
        <v>2541</v>
      </c>
      <c r="J7" s="179" t="s">
        <v>2542</v>
      </c>
      <c r="K7" s="179" t="s">
        <v>2543</v>
      </c>
      <c r="L7" s="179" t="s">
        <v>2544</v>
      </c>
      <c r="M7" s="179" t="s">
        <v>2545</v>
      </c>
      <c r="N7" s="180" t="s">
        <v>2546</v>
      </c>
      <c r="O7" s="179" t="s">
        <v>2547</v>
      </c>
      <c r="P7" s="179" t="s">
        <v>2548</v>
      </c>
      <c r="Q7" s="179" t="s">
        <v>2549</v>
      </c>
      <c r="R7" s="179" t="s">
        <v>2550</v>
      </c>
      <c r="S7" s="179" t="s">
        <v>2551</v>
      </c>
      <c r="T7" s="179" t="s">
        <v>2552</v>
      </c>
      <c r="U7" s="179" t="s">
        <v>2553</v>
      </c>
      <c r="V7" s="179" t="s">
        <v>2554</v>
      </c>
      <c r="W7" s="179" t="s">
        <v>2555</v>
      </c>
      <c r="X7" s="179" t="s">
        <v>2556</v>
      </c>
      <c r="Y7" s="178">
        <f t="shared" si="1"/>
        <v>0</v>
      </c>
    </row>
    <row r="8">
      <c r="A8" s="175" t="s">
        <v>329</v>
      </c>
      <c r="B8" s="179" t="s">
        <v>2557</v>
      </c>
      <c r="C8" s="179" t="s">
        <v>2558</v>
      </c>
      <c r="D8" s="179" t="s">
        <v>2560</v>
      </c>
      <c r="E8" s="179" t="s">
        <v>2561</v>
      </c>
      <c r="F8" s="179" t="s">
        <v>2563</v>
      </c>
      <c r="G8" s="179" t="s">
        <v>2564</v>
      </c>
      <c r="H8" s="179" t="s">
        <v>2565</v>
      </c>
      <c r="I8" s="179" t="s">
        <v>2566</v>
      </c>
      <c r="J8" s="179" t="s">
        <v>2567</v>
      </c>
      <c r="K8" s="179" t="s">
        <v>2568</v>
      </c>
      <c r="L8" s="179" t="s">
        <v>2570</v>
      </c>
      <c r="M8" s="179" t="s">
        <v>2572</v>
      </c>
      <c r="N8" s="179" t="s">
        <v>2574</v>
      </c>
      <c r="O8" s="179" t="s">
        <v>2575</v>
      </c>
      <c r="P8" s="179" t="s">
        <v>2576</v>
      </c>
      <c r="Q8" s="208" t="s">
        <v>1526</v>
      </c>
      <c r="R8" s="202" t="s">
        <v>1528</v>
      </c>
      <c r="S8" s="179" t="s">
        <v>2586</v>
      </c>
      <c r="T8" s="179" t="s">
        <v>2588</v>
      </c>
      <c r="U8" s="179" t="s">
        <v>2589</v>
      </c>
      <c r="V8" s="179" t="s">
        <v>2590</v>
      </c>
      <c r="W8" s="179" t="s">
        <v>2591</v>
      </c>
      <c r="X8" s="179" t="s">
        <v>2592</v>
      </c>
      <c r="Y8" s="178">
        <f t="shared" si="1"/>
        <v>0</v>
      </c>
    </row>
    <row r="9">
      <c r="A9" s="175" t="s">
        <v>1539</v>
      </c>
      <c r="B9" s="179" t="s">
        <v>2594</v>
      </c>
      <c r="C9" s="179" t="s">
        <v>2596</v>
      </c>
      <c r="D9" s="179" t="s">
        <v>2597</v>
      </c>
      <c r="E9" s="179" t="s">
        <v>2599</v>
      </c>
      <c r="F9" s="179" t="s">
        <v>2600</v>
      </c>
      <c r="G9" s="179" t="s">
        <v>2601</v>
      </c>
      <c r="H9" s="179" t="s">
        <v>2602</v>
      </c>
      <c r="I9" s="179" t="s">
        <v>2603</v>
      </c>
      <c r="J9" s="179" t="s">
        <v>2605</v>
      </c>
      <c r="K9" s="179" t="s">
        <v>2607</v>
      </c>
      <c r="L9" s="179" t="s">
        <v>2608</v>
      </c>
      <c r="M9" s="179" t="s">
        <v>2609</v>
      </c>
      <c r="N9" s="179" t="s">
        <v>2610</v>
      </c>
      <c r="O9" s="179" t="s">
        <v>2611</v>
      </c>
      <c r="P9" s="179" t="s">
        <v>2613</v>
      </c>
      <c r="Q9" s="179" t="s">
        <v>2614</v>
      </c>
      <c r="R9" s="180" t="s">
        <v>2615</v>
      </c>
      <c r="S9" s="179" t="s">
        <v>2616</v>
      </c>
      <c r="T9" s="180" t="s">
        <v>2617</v>
      </c>
      <c r="U9" s="179" t="s">
        <v>2618</v>
      </c>
      <c r="V9" s="179" t="s">
        <v>2619</v>
      </c>
      <c r="W9" s="179" t="s">
        <v>2620</v>
      </c>
      <c r="X9" s="180" t="s">
        <v>2621</v>
      </c>
      <c r="Y9" s="178">
        <f t="shared" si="1"/>
        <v>0</v>
      </c>
    </row>
    <row r="10">
      <c r="A10" s="160" t="s">
        <v>1562</v>
      </c>
      <c r="B10" s="153" t="s">
        <v>2622</v>
      </c>
      <c r="C10" s="153" t="s">
        <v>2624</v>
      </c>
      <c r="D10" s="153" t="s">
        <v>2625</v>
      </c>
      <c r="E10" s="153" t="s">
        <v>2627</v>
      </c>
      <c r="F10" s="153" t="s">
        <v>2628</v>
      </c>
      <c r="G10" s="153" t="s">
        <v>2629</v>
      </c>
      <c r="H10" s="153" t="s">
        <v>2632</v>
      </c>
      <c r="I10" s="153" t="s">
        <v>2634</v>
      </c>
      <c r="J10" s="153" t="s">
        <v>2635</v>
      </c>
      <c r="K10" s="153" t="s">
        <v>2637</v>
      </c>
      <c r="L10" s="153" t="s">
        <v>2640</v>
      </c>
      <c r="M10" s="153" t="s">
        <v>2644</v>
      </c>
      <c r="N10" s="153" t="s">
        <v>2646</v>
      </c>
      <c r="O10" s="153" t="s">
        <v>2648</v>
      </c>
      <c r="P10" s="153" t="s">
        <v>2650</v>
      </c>
      <c r="Q10" s="153" t="s">
        <v>2652</v>
      </c>
      <c r="R10" s="153" t="s">
        <v>2654</v>
      </c>
      <c r="S10" s="153" t="s">
        <v>2655</v>
      </c>
      <c r="T10" s="153" t="s">
        <v>2656</v>
      </c>
      <c r="U10" s="153" t="s">
        <v>2658</v>
      </c>
      <c r="V10" s="153" t="s">
        <v>2660</v>
      </c>
      <c r="W10" s="196" t="s">
        <v>1590</v>
      </c>
      <c r="X10" s="153" t="s">
        <v>2662</v>
      </c>
      <c r="Y10" s="178">
        <f t="shared" si="1"/>
        <v>0</v>
      </c>
    </row>
    <row r="11">
      <c r="A11" s="175" t="s">
        <v>298</v>
      </c>
      <c r="B11" s="180" t="s">
        <v>2668</v>
      </c>
      <c r="C11" s="179" t="s">
        <v>2669</v>
      </c>
      <c r="D11" s="179" t="s">
        <v>2671</v>
      </c>
      <c r="E11" s="179" t="s">
        <v>2672</v>
      </c>
      <c r="F11" s="179" t="s">
        <v>2673</v>
      </c>
      <c r="G11" s="179" t="s">
        <v>2674</v>
      </c>
      <c r="H11" s="179" t="s">
        <v>2676</v>
      </c>
      <c r="I11" s="200" t="s">
        <v>2677</v>
      </c>
      <c r="J11" s="179" t="s">
        <v>2679</v>
      </c>
      <c r="K11" s="200" t="s">
        <v>1607</v>
      </c>
      <c r="L11" s="179" t="s">
        <v>1248</v>
      </c>
      <c r="M11" s="179" t="s">
        <v>2680</v>
      </c>
      <c r="N11" s="179" t="s">
        <v>2682</v>
      </c>
      <c r="O11" s="179" t="s">
        <v>2683</v>
      </c>
      <c r="P11" s="179" t="s">
        <v>2684</v>
      </c>
      <c r="Q11" s="179" t="s">
        <v>2685</v>
      </c>
      <c r="R11" s="179" t="s">
        <v>2687</v>
      </c>
      <c r="S11" s="179" t="s">
        <v>2688</v>
      </c>
      <c r="T11" s="200" t="s">
        <v>1622</v>
      </c>
      <c r="U11" s="179" t="s">
        <v>2690</v>
      </c>
      <c r="V11" s="179" t="s">
        <v>2691</v>
      </c>
      <c r="W11" s="179" t="s">
        <v>2692</v>
      </c>
      <c r="X11" s="179" t="s">
        <v>2693</v>
      </c>
      <c r="Y11" s="178">
        <f t="shared" si="1"/>
        <v>0</v>
      </c>
    </row>
    <row r="12">
      <c r="A12" s="175" t="s">
        <v>83</v>
      </c>
      <c r="B12" s="179" t="s">
        <v>2696</v>
      </c>
      <c r="C12" s="179" t="s">
        <v>2698</v>
      </c>
      <c r="D12" s="179" t="s">
        <v>2699</v>
      </c>
      <c r="E12" s="179" t="s">
        <v>2700</v>
      </c>
      <c r="F12" s="179" t="s">
        <v>2701</v>
      </c>
      <c r="G12" s="179" t="s">
        <v>2702</v>
      </c>
      <c r="H12" s="179" t="s">
        <v>2703</v>
      </c>
      <c r="I12" s="179" t="s">
        <v>2704</v>
      </c>
      <c r="J12" s="179" t="s">
        <v>2705</v>
      </c>
      <c r="K12" s="179" t="s">
        <v>2707</v>
      </c>
      <c r="L12" s="179" t="s">
        <v>2708</v>
      </c>
      <c r="M12" s="179" t="s">
        <v>2709</v>
      </c>
      <c r="N12" s="179" t="s">
        <v>2710</v>
      </c>
      <c r="O12" s="179" t="s">
        <v>2711</v>
      </c>
      <c r="P12" s="179" t="s">
        <v>2712</v>
      </c>
      <c r="Q12" s="179" t="s">
        <v>2713</v>
      </c>
      <c r="R12" s="179" t="s">
        <v>2714</v>
      </c>
      <c r="S12" s="179" t="s">
        <v>2715</v>
      </c>
      <c r="T12" s="179" t="s">
        <v>2716</v>
      </c>
      <c r="U12" s="179" t="s">
        <v>2717</v>
      </c>
      <c r="V12" s="179" t="s">
        <v>2718</v>
      </c>
      <c r="W12" s="179" t="s">
        <v>2719</v>
      </c>
      <c r="X12" s="179" t="s">
        <v>2720</v>
      </c>
      <c r="Y12" s="178">
        <f t="shared" si="1"/>
        <v>0</v>
      </c>
    </row>
    <row r="13">
      <c r="A13" s="175" t="s">
        <v>260</v>
      </c>
      <c r="B13" s="179" t="s">
        <v>2723</v>
      </c>
      <c r="C13" s="179" t="s">
        <v>2724</v>
      </c>
      <c r="D13" s="179" t="s">
        <v>2726</v>
      </c>
      <c r="E13" s="179" t="s">
        <v>2727</v>
      </c>
      <c r="F13" s="179" t="s">
        <v>2728</v>
      </c>
      <c r="G13" s="179" t="s">
        <v>2730</v>
      </c>
      <c r="H13" s="179" t="s">
        <v>2731</v>
      </c>
      <c r="I13" s="179" t="s">
        <v>2733</v>
      </c>
      <c r="J13" s="179" t="s">
        <v>2734</v>
      </c>
      <c r="K13" s="179" t="s">
        <v>2735</v>
      </c>
      <c r="L13" s="179" t="s">
        <v>2736</v>
      </c>
      <c r="M13" s="179" t="s">
        <v>2737</v>
      </c>
      <c r="N13" s="179" t="s">
        <v>2738</v>
      </c>
      <c r="O13" s="179" t="s">
        <v>2739</v>
      </c>
      <c r="P13" s="179" t="s">
        <v>2740</v>
      </c>
      <c r="Q13" s="179" t="s">
        <v>2741</v>
      </c>
      <c r="R13" s="179" t="s">
        <v>2742</v>
      </c>
      <c r="S13" s="179" t="s">
        <v>2743</v>
      </c>
      <c r="T13" s="179" t="s">
        <v>2745</v>
      </c>
      <c r="U13" s="179" t="s">
        <v>2747</v>
      </c>
      <c r="V13" s="179" t="s">
        <v>2749</v>
      </c>
      <c r="W13" s="179" t="s">
        <v>2751</v>
      </c>
      <c r="X13" s="180" t="s">
        <v>2753</v>
      </c>
      <c r="Y13" s="178">
        <f t="shared" si="1"/>
        <v>0</v>
      </c>
    </row>
    <row r="14">
      <c r="A14" s="175" t="s">
        <v>386</v>
      </c>
      <c r="B14" s="179" t="s">
        <v>2762</v>
      </c>
      <c r="C14" s="179" t="s">
        <v>2764</v>
      </c>
      <c r="D14" s="179" t="s">
        <v>1253</v>
      </c>
      <c r="E14" s="179" t="s">
        <v>2766</v>
      </c>
      <c r="F14" s="179" t="s">
        <v>2767</v>
      </c>
      <c r="G14" s="179" t="s">
        <v>2768</v>
      </c>
      <c r="H14" s="179" t="s">
        <v>2769</v>
      </c>
      <c r="I14" s="179" t="s">
        <v>2770</v>
      </c>
      <c r="J14" s="179" t="s">
        <v>2771</v>
      </c>
      <c r="K14" s="179" t="s">
        <v>2773</v>
      </c>
      <c r="L14" s="179" t="s">
        <v>2775</v>
      </c>
      <c r="M14" s="179" t="s">
        <v>2776</v>
      </c>
      <c r="N14" s="179" t="s">
        <v>2778</v>
      </c>
      <c r="O14" s="179" t="s">
        <v>2780</v>
      </c>
      <c r="P14" s="179" t="s">
        <v>2781</v>
      </c>
      <c r="Q14" s="179" t="s">
        <v>2782</v>
      </c>
      <c r="R14" s="179" t="s">
        <v>2784</v>
      </c>
      <c r="S14" s="179" t="s">
        <v>2785</v>
      </c>
      <c r="T14" s="179" t="s">
        <v>2786</v>
      </c>
      <c r="U14" s="179" t="s">
        <v>2788</v>
      </c>
      <c r="V14" s="179" t="s">
        <v>2789</v>
      </c>
      <c r="W14" s="202" t="s">
        <v>1769</v>
      </c>
      <c r="X14" s="179" t="s">
        <v>2790</v>
      </c>
      <c r="Y14" s="178">
        <f t="shared" si="1"/>
        <v>0</v>
      </c>
    </row>
    <row r="15">
      <c r="A15" s="175" t="s">
        <v>479</v>
      </c>
      <c r="B15" s="179" t="s">
        <v>2793</v>
      </c>
      <c r="C15" s="179" t="s">
        <v>2794</v>
      </c>
      <c r="D15" s="180" t="s">
        <v>2798</v>
      </c>
      <c r="E15" s="200" t="s">
        <v>1780</v>
      </c>
      <c r="F15" s="179" t="s">
        <v>2799</v>
      </c>
      <c r="G15" s="180" t="s">
        <v>2800</v>
      </c>
      <c r="H15" s="179" t="s">
        <v>2801</v>
      </c>
      <c r="I15" s="179" t="s">
        <v>2802</v>
      </c>
      <c r="J15" s="179" t="s">
        <v>2804</v>
      </c>
      <c r="K15" s="180" t="s">
        <v>2806</v>
      </c>
      <c r="L15" s="179" t="s">
        <v>2807</v>
      </c>
      <c r="M15" s="179" t="s">
        <v>1800</v>
      </c>
      <c r="N15" s="179" t="s">
        <v>2808</v>
      </c>
      <c r="O15" s="179" t="s">
        <v>2809</v>
      </c>
      <c r="P15" s="179" t="s">
        <v>2810</v>
      </c>
      <c r="Q15" s="179" t="s">
        <v>2811</v>
      </c>
      <c r="R15" s="179" t="s">
        <v>2812</v>
      </c>
      <c r="S15" s="179" t="s">
        <v>2813</v>
      </c>
      <c r="T15" s="179" t="s">
        <v>2814</v>
      </c>
      <c r="U15" s="179" t="s">
        <v>2815</v>
      </c>
      <c r="V15" s="179" t="s">
        <v>2816</v>
      </c>
      <c r="W15" s="179" t="s">
        <v>2817</v>
      </c>
      <c r="X15" s="179" t="s">
        <v>2818</v>
      </c>
      <c r="Y15" s="178">
        <f t="shared" si="1"/>
        <v>0</v>
      </c>
    </row>
    <row r="16">
      <c r="A16" s="160" t="s">
        <v>1830</v>
      </c>
      <c r="B16" s="153" t="s">
        <v>2824</v>
      </c>
      <c r="C16" s="153" t="s">
        <v>2825</v>
      </c>
      <c r="D16" s="153" t="s">
        <v>2826</v>
      </c>
      <c r="E16" s="153" t="s">
        <v>2827</v>
      </c>
      <c r="F16" s="153" t="s">
        <v>2828</v>
      </c>
      <c r="G16" s="153" t="s">
        <v>2830</v>
      </c>
      <c r="H16" s="196" t="s">
        <v>2832</v>
      </c>
      <c r="J16" s="214" t="s">
        <v>1847</v>
      </c>
      <c r="K16" s="196" t="s">
        <v>1849</v>
      </c>
      <c r="L16" s="153" t="s">
        <v>2847</v>
      </c>
      <c r="M16" s="153" t="s">
        <v>2849</v>
      </c>
      <c r="N16" s="153" t="s">
        <v>2850</v>
      </c>
      <c r="O16" s="153" t="s">
        <v>2851</v>
      </c>
      <c r="P16" s="153" t="s">
        <v>2852</v>
      </c>
      <c r="Q16" s="153" t="s">
        <v>2853</v>
      </c>
      <c r="R16" s="153" t="s">
        <v>2854</v>
      </c>
      <c r="S16" s="153" t="s">
        <v>2855</v>
      </c>
      <c r="T16" s="153" t="s">
        <v>2856</v>
      </c>
      <c r="U16" s="153" t="s">
        <v>2857</v>
      </c>
      <c r="V16" s="153" t="s">
        <v>2858</v>
      </c>
      <c r="W16" s="153" t="s">
        <v>2860</v>
      </c>
      <c r="X16" s="153" t="s">
        <v>2861</v>
      </c>
      <c r="Y16" s="178">
        <f t="shared" si="1"/>
        <v>1</v>
      </c>
    </row>
    <row r="17">
      <c r="A17" s="175" t="s">
        <v>358</v>
      </c>
      <c r="B17" s="179" t="s">
        <v>2863</v>
      </c>
      <c r="C17" s="179" t="s">
        <v>2864</v>
      </c>
      <c r="D17" s="179" t="s">
        <v>2865</v>
      </c>
      <c r="E17" s="179" t="s">
        <v>2866</v>
      </c>
      <c r="F17" s="179" t="s">
        <v>2867</v>
      </c>
      <c r="G17" s="179" t="s">
        <v>2868</v>
      </c>
      <c r="H17" s="179" t="s">
        <v>2869</v>
      </c>
      <c r="I17" s="179" t="s">
        <v>2870</v>
      </c>
      <c r="J17" s="179" t="s">
        <v>2871</v>
      </c>
      <c r="K17" s="179" t="s">
        <v>2872</v>
      </c>
      <c r="L17" s="179" t="s">
        <v>2873</v>
      </c>
      <c r="M17" s="179" t="s">
        <v>2874</v>
      </c>
      <c r="N17" s="179" t="s">
        <v>2875</v>
      </c>
      <c r="O17" s="179" t="s">
        <v>2876</v>
      </c>
      <c r="P17" s="179" t="s">
        <v>2877</v>
      </c>
      <c r="Q17" s="179" t="s">
        <v>2878</v>
      </c>
      <c r="R17" s="179" t="s">
        <v>2879</v>
      </c>
      <c r="S17" s="179" t="s">
        <v>2880</v>
      </c>
      <c r="T17" s="179" t="s">
        <v>2881</v>
      </c>
      <c r="U17" s="179" t="s">
        <v>2882</v>
      </c>
      <c r="V17" s="179" t="s">
        <v>2883</v>
      </c>
      <c r="W17" s="179" t="s">
        <v>2884</v>
      </c>
      <c r="X17" s="179" t="s">
        <v>2885</v>
      </c>
      <c r="Y17" s="178">
        <f t="shared" si="1"/>
        <v>0</v>
      </c>
    </row>
    <row r="18">
      <c r="A18" s="175" t="s">
        <v>500</v>
      </c>
      <c r="B18" s="179" t="s">
        <v>2891</v>
      </c>
      <c r="C18" s="179" t="s">
        <v>2892</v>
      </c>
      <c r="D18" s="215" t="s">
        <v>2893</v>
      </c>
      <c r="E18" s="179" t="s">
        <v>2894</v>
      </c>
      <c r="F18" s="179" t="s">
        <v>2895</v>
      </c>
      <c r="G18" s="179" t="s">
        <v>2896</v>
      </c>
      <c r="H18" s="179" t="s">
        <v>2897</v>
      </c>
      <c r="I18" s="179" t="s">
        <v>2898</v>
      </c>
      <c r="J18" s="179" t="s">
        <v>2899</v>
      </c>
      <c r="K18" s="211" t="s">
        <v>1932</v>
      </c>
      <c r="L18" s="179" t="s">
        <v>2900</v>
      </c>
      <c r="M18" s="179" t="s">
        <v>2901</v>
      </c>
      <c r="N18" s="179" t="s">
        <v>2902</v>
      </c>
      <c r="O18" s="179" t="s">
        <v>2903</v>
      </c>
      <c r="P18" s="179" t="s">
        <v>2904</v>
      </c>
      <c r="Q18" s="179" t="s">
        <v>2905</v>
      </c>
      <c r="R18" s="180" t="s">
        <v>2906</v>
      </c>
      <c r="S18" s="179" t="s">
        <v>2907</v>
      </c>
      <c r="T18" s="180" t="s">
        <v>2908</v>
      </c>
      <c r="U18" s="180" t="s">
        <v>2909</v>
      </c>
      <c r="V18" s="179" t="s">
        <v>2910</v>
      </c>
      <c r="W18" s="202" t="s">
        <v>1955</v>
      </c>
      <c r="X18" s="179" t="s">
        <v>2911</v>
      </c>
      <c r="Y18" s="178">
        <f t="shared" si="1"/>
        <v>0</v>
      </c>
    </row>
    <row r="19">
      <c r="A19" s="175" t="s">
        <v>440</v>
      </c>
      <c r="B19" s="179" t="s">
        <v>2912</v>
      </c>
      <c r="C19" s="179" t="s">
        <v>2913</v>
      </c>
      <c r="D19" s="179" t="s">
        <v>2914</v>
      </c>
      <c r="E19" s="179" t="s">
        <v>2915</v>
      </c>
      <c r="F19" s="179" t="s">
        <v>2916</v>
      </c>
      <c r="G19" s="179" t="s">
        <v>2917</v>
      </c>
      <c r="H19" s="179" t="s">
        <v>2918</v>
      </c>
      <c r="I19" s="200" t="s">
        <v>2919</v>
      </c>
      <c r="J19" s="179" t="s">
        <v>2920</v>
      </c>
      <c r="K19" s="180" t="s">
        <v>2921</v>
      </c>
      <c r="L19" s="179" t="s">
        <v>2922</v>
      </c>
      <c r="M19" s="179" t="s">
        <v>2923</v>
      </c>
      <c r="N19" s="179" t="s">
        <v>2924</v>
      </c>
      <c r="O19" s="179" t="s">
        <v>2926</v>
      </c>
      <c r="P19" s="179" t="s">
        <v>2927</v>
      </c>
      <c r="Q19" s="179" t="s">
        <v>2929</v>
      </c>
      <c r="R19" s="179" t="s">
        <v>2931</v>
      </c>
      <c r="S19" s="179" t="s">
        <v>2932</v>
      </c>
      <c r="T19" s="180" t="s">
        <v>2934</v>
      </c>
      <c r="U19" s="179" t="s">
        <v>2936</v>
      </c>
      <c r="V19" s="179" t="s">
        <v>2938</v>
      </c>
      <c r="W19" s="179" t="s">
        <v>2940</v>
      </c>
      <c r="X19" s="179" t="s">
        <v>2942</v>
      </c>
      <c r="Y19" s="178">
        <f t="shared" si="1"/>
        <v>0</v>
      </c>
    </row>
    <row r="20">
      <c r="A20" s="175" t="s">
        <v>417</v>
      </c>
      <c r="B20" s="179" t="s">
        <v>2944</v>
      </c>
      <c r="C20" s="179" t="s">
        <v>2945</v>
      </c>
      <c r="D20" s="179" t="s">
        <v>2946</v>
      </c>
      <c r="E20" s="179" t="s">
        <v>2947</v>
      </c>
      <c r="F20" s="179" t="s">
        <v>2948</v>
      </c>
      <c r="G20" s="179" t="s">
        <v>2949</v>
      </c>
      <c r="H20" s="179" t="s">
        <v>2950</v>
      </c>
      <c r="I20" s="179" t="s">
        <v>2951</v>
      </c>
      <c r="J20" s="179" t="s">
        <v>2952</v>
      </c>
      <c r="K20" s="216" t="s">
        <v>2029</v>
      </c>
      <c r="L20" s="179" t="s">
        <v>2953</v>
      </c>
      <c r="M20" s="179" t="s">
        <v>2954</v>
      </c>
      <c r="N20" s="179" t="s">
        <v>2955</v>
      </c>
      <c r="O20" s="179" t="s">
        <v>2956</v>
      </c>
      <c r="P20" s="179" t="s">
        <v>2957</v>
      </c>
      <c r="Q20" s="179" t="s">
        <v>2958</v>
      </c>
      <c r="R20" s="180" t="s">
        <v>2959</v>
      </c>
      <c r="S20" s="179" t="s">
        <v>2960</v>
      </c>
      <c r="T20" s="179" t="s">
        <v>2961</v>
      </c>
      <c r="U20" s="179" t="s">
        <v>2962</v>
      </c>
      <c r="V20" s="179" t="s">
        <v>2963</v>
      </c>
      <c r="W20" s="179" t="s">
        <v>2964</v>
      </c>
      <c r="X20" s="179" t="s">
        <v>2965</v>
      </c>
      <c r="Y20" s="178">
        <f t="shared" si="1"/>
        <v>0</v>
      </c>
    </row>
    <row r="21">
      <c r="A21" s="175" t="s">
        <v>518</v>
      </c>
      <c r="B21" s="179" t="s">
        <v>2966</v>
      </c>
      <c r="C21" s="179" t="s">
        <v>2967</v>
      </c>
      <c r="D21" s="179" t="s">
        <v>2968</v>
      </c>
      <c r="E21" s="179" t="s">
        <v>2969</v>
      </c>
      <c r="F21" s="179" t="s">
        <v>2971</v>
      </c>
      <c r="G21" s="179" t="s">
        <v>2972</v>
      </c>
      <c r="H21" s="179" t="s">
        <v>2973</v>
      </c>
      <c r="I21" s="179" t="s">
        <v>2974</v>
      </c>
      <c r="J21" s="179" t="s">
        <v>2975</v>
      </c>
      <c r="K21" s="179" t="s">
        <v>2976</v>
      </c>
      <c r="L21" s="179" t="s">
        <v>2977</v>
      </c>
      <c r="M21" s="179" t="s">
        <v>2978</v>
      </c>
      <c r="N21" s="179" t="s">
        <v>2979</v>
      </c>
      <c r="O21" s="179" t="s">
        <v>2980</v>
      </c>
      <c r="P21" s="179" t="s">
        <v>2981</v>
      </c>
      <c r="Q21" s="179" t="s">
        <v>2982</v>
      </c>
      <c r="R21" s="179" t="s">
        <v>2983</v>
      </c>
      <c r="S21" s="179" t="s">
        <v>2984</v>
      </c>
      <c r="T21" s="179" t="s">
        <v>2985</v>
      </c>
      <c r="U21" s="179" t="s">
        <v>2986</v>
      </c>
      <c r="V21" s="179" t="s">
        <v>2987</v>
      </c>
      <c r="W21" s="179" t="s">
        <v>2988</v>
      </c>
      <c r="X21" s="179" t="s">
        <v>2989</v>
      </c>
      <c r="Y21" s="178">
        <f t="shared" si="1"/>
        <v>0</v>
      </c>
    </row>
    <row r="22">
      <c r="A22" s="160" t="s">
        <v>2106</v>
      </c>
      <c r="B22" s="153" t="s">
        <v>2990</v>
      </c>
      <c r="C22" s="153" t="s">
        <v>2991</v>
      </c>
      <c r="D22" s="153" t="s">
        <v>2992</v>
      </c>
      <c r="E22" s="153" t="s">
        <v>2993</v>
      </c>
      <c r="F22" s="153" t="s">
        <v>2994</v>
      </c>
      <c r="G22" s="153" t="s">
        <v>2995</v>
      </c>
      <c r="H22" s="196" t="s">
        <v>2122</v>
      </c>
      <c r="I22" s="153" t="s">
        <v>2996</v>
      </c>
      <c r="J22" s="153" t="s">
        <v>2997</v>
      </c>
      <c r="K22" s="153" t="s">
        <v>2998</v>
      </c>
      <c r="L22" s="153" t="s">
        <v>2999</v>
      </c>
      <c r="M22" s="153" t="s">
        <v>3000</v>
      </c>
      <c r="N22" s="153" t="s">
        <v>3001</v>
      </c>
      <c r="O22" s="153" t="s">
        <v>3002</v>
      </c>
      <c r="P22" s="153" t="s">
        <v>3003</v>
      </c>
      <c r="Q22" s="153" t="s">
        <v>3004</v>
      </c>
      <c r="R22" s="196" t="s">
        <v>2139</v>
      </c>
      <c r="T22" s="153" t="s">
        <v>3005</v>
      </c>
      <c r="U22" s="153" t="s">
        <v>3006</v>
      </c>
      <c r="V22" s="153" t="s">
        <v>3007</v>
      </c>
      <c r="W22" s="177" t="s">
        <v>3008</v>
      </c>
      <c r="X22" s="153" t="s">
        <v>3009</v>
      </c>
      <c r="Y22" s="178">
        <f t="shared" si="1"/>
        <v>1</v>
      </c>
    </row>
    <row r="23">
      <c r="A23" s="175" t="s">
        <v>401</v>
      </c>
      <c r="B23" s="179" t="s">
        <v>3010</v>
      </c>
      <c r="C23" s="200" t="s">
        <v>2161</v>
      </c>
      <c r="D23" s="179" t="s">
        <v>3011</v>
      </c>
      <c r="E23" s="179" t="s">
        <v>3012</v>
      </c>
      <c r="F23" s="179" t="s">
        <v>3013</v>
      </c>
      <c r="G23" s="179" t="s">
        <v>3014</v>
      </c>
      <c r="H23" s="180" t="s">
        <v>3015</v>
      </c>
      <c r="I23" s="200" t="s">
        <v>1183</v>
      </c>
      <c r="J23" s="179" t="s">
        <v>3016</v>
      </c>
      <c r="K23" s="179" t="s">
        <v>3017</v>
      </c>
      <c r="L23" s="179" t="s">
        <v>3018</v>
      </c>
      <c r="M23" s="179" t="s">
        <v>3019</v>
      </c>
      <c r="N23" s="179" t="s">
        <v>3020</v>
      </c>
      <c r="O23" s="179" t="s">
        <v>3021</v>
      </c>
      <c r="P23" s="200" t="s">
        <v>2179</v>
      </c>
      <c r="Q23" s="202" t="s">
        <v>2181</v>
      </c>
      <c r="R23" s="179" t="s">
        <v>3022</v>
      </c>
      <c r="S23" s="179" t="s">
        <v>3023</v>
      </c>
      <c r="T23" s="179" t="s">
        <v>3024</v>
      </c>
      <c r="U23" s="179" t="s">
        <v>3025</v>
      </c>
      <c r="V23" s="179" t="s">
        <v>3026</v>
      </c>
      <c r="W23" s="202" t="s">
        <v>3027</v>
      </c>
      <c r="X23" s="179" t="s">
        <v>3028</v>
      </c>
      <c r="Y23" s="178">
        <f t="shared" si="1"/>
        <v>0</v>
      </c>
    </row>
    <row r="24">
      <c r="A24" s="175" t="s">
        <v>2202</v>
      </c>
      <c r="B24" s="179" t="s">
        <v>3029</v>
      </c>
      <c r="C24" s="179" t="s">
        <v>3030</v>
      </c>
      <c r="D24" s="179" t="s">
        <v>3031</v>
      </c>
      <c r="E24" s="179" t="s">
        <v>3032</v>
      </c>
      <c r="F24" s="179" t="s">
        <v>3033</v>
      </c>
      <c r="G24" s="179" t="s">
        <v>3034</v>
      </c>
      <c r="H24" s="179" t="s">
        <v>3035</v>
      </c>
      <c r="I24" s="179" t="s">
        <v>3036</v>
      </c>
      <c r="J24" s="179" t="s">
        <v>3037</v>
      </c>
      <c r="K24" s="179" t="s">
        <v>3038</v>
      </c>
      <c r="L24" s="179" t="s">
        <v>3039</v>
      </c>
      <c r="M24" s="179" t="s">
        <v>3040</v>
      </c>
      <c r="N24" s="179" t="s">
        <v>3041</v>
      </c>
      <c r="O24" s="179" t="s">
        <v>3042</v>
      </c>
      <c r="P24" s="202" t="s">
        <v>2231</v>
      </c>
      <c r="Q24" s="179" t="s">
        <v>3043</v>
      </c>
      <c r="R24" s="202" t="s">
        <v>2235</v>
      </c>
      <c r="S24" s="179" t="s">
        <v>3044</v>
      </c>
      <c r="T24" s="179" t="s">
        <v>3045</v>
      </c>
      <c r="U24" s="179" t="s">
        <v>3046</v>
      </c>
      <c r="V24" s="179" t="s">
        <v>3047</v>
      </c>
      <c r="W24" s="200" t="s">
        <v>2241</v>
      </c>
      <c r="X24" s="176"/>
      <c r="Y24" s="178">
        <f t="shared" si="1"/>
        <v>1</v>
      </c>
    </row>
    <row r="25">
      <c r="A25" s="187"/>
      <c r="B25" s="178">
        <f t="shared" ref="B25:X25" si="2">23-COUNTA(B2:B24)</f>
        <v>0</v>
      </c>
      <c r="C25" s="178">
        <f t="shared" si="2"/>
        <v>0</v>
      </c>
      <c r="D25" s="178">
        <f t="shared" si="2"/>
        <v>0</v>
      </c>
      <c r="E25" s="178">
        <f t="shared" si="2"/>
        <v>0</v>
      </c>
      <c r="F25" s="178">
        <f t="shared" si="2"/>
        <v>0</v>
      </c>
      <c r="G25" s="178">
        <f t="shared" si="2"/>
        <v>0</v>
      </c>
      <c r="H25" s="178">
        <f t="shared" si="2"/>
        <v>0</v>
      </c>
      <c r="I25" s="178">
        <f t="shared" si="2"/>
        <v>2</v>
      </c>
      <c r="J25" s="178">
        <f t="shared" si="2"/>
        <v>0</v>
      </c>
      <c r="K25" s="178">
        <f t="shared" si="2"/>
        <v>0</v>
      </c>
      <c r="L25" s="178">
        <f t="shared" si="2"/>
        <v>0</v>
      </c>
      <c r="M25" s="178">
        <f t="shared" si="2"/>
        <v>1</v>
      </c>
      <c r="N25" s="178">
        <f t="shared" si="2"/>
        <v>0</v>
      </c>
      <c r="O25" s="178">
        <f t="shared" si="2"/>
        <v>0</v>
      </c>
      <c r="P25" s="178">
        <f t="shared" si="2"/>
        <v>0</v>
      </c>
      <c r="Q25" s="178">
        <f t="shared" si="2"/>
        <v>0</v>
      </c>
      <c r="R25" s="178">
        <f t="shared" si="2"/>
        <v>0</v>
      </c>
      <c r="S25" s="178">
        <f t="shared" si="2"/>
        <v>1</v>
      </c>
      <c r="T25" s="178">
        <f t="shared" si="2"/>
        <v>0</v>
      </c>
      <c r="U25" s="178">
        <f t="shared" si="2"/>
        <v>0</v>
      </c>
      <c r="V25" s="178">
        <f t="shared" si="2"/>
        <v>0</v>
      </c>
      <c r="W25" s="178">
        <f t="shared" si="2"/>
        <v>0</v>
      </c>
      <c r="X25" s="178">
        <f t="shared" si="2"/>
        <v>1</v>
      </c>
      <c r="Y25" s="178">
        <f>(23*23)-COUNTA(B2:X24)</f>
        <v>5</v>
      </c>
    </row>
  </sheetData>
  <conditionalFormatting sqref="B2:X24">
    <cfRule type="containsBlanks" dxfId="0" priority="1">
      <formula>LEN(TRIM(B2))=0</formula>
    </cfRule>
  </conditionalFormatting>
  <conditionalFormatting sqref="Y2:Y24 B25:X25">
    <cfRule type="colorScale" priority="2">
      <colorScale>
        <cfvo type="formula" val="0"/>
        <cfvo type="percentile" val="50"/>
        <cfvo type="max"/>
        <color rgb="FF00FF00"/>
        <color rgb="FFFFFF00"/>
        <color rgb="FFFF0000"/>
      </colorScale>
    </cfRule>
  </conditionalFormatting>
  <printOptions gridLines="1" horizontalCentered="1"/>
  <pageMargins bottom="0.75" footer="0.0" header="0.0" left="0.25" right="0.25" top="0.75"/>
  <pageSetup fitToHeight="0" orientation="landscape" pageOrder="overThenDown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7.43"/>
    <col customWidth="1" min="2" max="24" width="7.29"/>
  </cols>
  <sheetData>
    <row r="1">
      <c r="A1" s="193"/>
      <c r="B1" s="175" t="s">
        <v>1294</v>
      </c>
      <c r="C1" s="175" t="s">
        <v>126</v>
      </c>
      <c r="D1" s="175" t="s">
        <v>240</v>
      </c>
      <c r="E1" s="175" t="s">
        <v>239</v>
      </c>
      <c r="F1" s="175" t="s">
        <v>1295</v>
      </c>
      <c r="G1" s="175" t="s">
        <v>351</v>
      </c>
      <c r="H1" s="175" t="s">
        <v>329</v>
      </c>
      <c r="I1" s="175" t="s">
        <v>1296</v>
      </c>
      <c r="J1" s="175" t="s">
        <v>1297</v>
      </c>
      <c r="K1" s="175" t="s">
        <v>298</v>
      </c>
      <c r="L1" s="175" t="s">
        <v>83</v>
      </c>
      <c r="M1" s="175" t="s">
        <v>260</v>
      </c>
      <c r="N1" s="175" t="s">
        <v>386</v>
      </c>
      <c r="O1" s="175" t="s">
        <v>479</v>
      </c>
      <c r="P1" s="175" t="s">
        <v>1298</v>
      </c>
      <c r="Q1" s="175" t="s">
        <v>358</v>
      </c>
      <c r="R1" s="175" t="s">
        <v>500</v>
      </c>
      <c r="S1" s="175" t="s">
        <v>440</v>
      </c>
      <c r="T1" s="175" t="s">
        <v>417</v>
      </c>
      <c r="U1" s="175" t="s">
        <v>518</v>
      </c>
      <c r="V1" s="175" t="s">
        <v>1300</v>
      </c>
      <c r="W1" s="175" t="s">
        <v>401</v>
      </c>
      <c r="X1" s="175" t="s">
        <v>1301</v>
      </c>
    </row>
    <row r="2">
      <c r="A2" s="175" t="s">
        <v>1302</v>
      </c>
      <c r="B2" s="195"/>
      <c r="C2" s="180" t="s">
        <v>2347</v>
      </c>
      <c r="D2" s="179" t="s">
        <v>2348</v>
      </c>
      <c r="E2" s="180" t="s">
        <v>2349</v>
      </c>
      <c r="F2" s="197"/>
      <c r="G2" s="179" t="s">
        <v>2358</v>
      </c>
      <c r="H2" s="180" t="s">
        <v>2359</v>
      </c>
      <c r="I2" s="180" t="s">
        <v>2360</v>
      </c>
      <c r="J2" s="197"/>
      <c r="K2" s="180" t="s">
        <v>2361</v>
      </c>
      <c r="L2" s="180" t="s">
        <v>2362</v>
      </c>
      <c r="M2" s="179" t="s">
        <v>2363</v>
      </c>
      <c r="N2" s="179" t="s">
        <v>2365</v>
      </c>
      <c r="O2" s="179" t="s">
        <v>2365</v>
      </c>
      <c r="P2" s="197"/>
      <c r="Q2" s="180" t="s">
        <v>2368</v>
      </c>
      <c r="R2" s="179" t="s">
        <v>2348</v>
      </c>
      <c r="S2" s="180" t="s">
        <v>2371</v>
      </c>
      <c r="T2" s="180" t="s">
        <v>2373</v>
      </c>
      <c r="U2" s="179" t="s">
        <v>2375</v>
      </c>
      <c r="V2" s="197"/>
      <c r="W2" s="179" t="s">
        <v>2379</v>
      </c>
      <c r="X2" s="197"/>
    </row>
    <row r="3">
      <c r="A3" s="175" t="s">
        <v>126</v>
      </c>
      <c r="B3" s="197"/>
      <c r="C3" s="180" t="s">
        <v>2381</v>
      </c>
      <c r="D3" s="180" t="s">
        <v>2382</v>
      </c>
      <c r="E3" s="179" t="s">
        <v>2383</v>
      </c>
      <c r="F3" s="197"/>
      <c r="G3" s="179" t="s">
        <v>2381</v>
      </c>
      <c r="H3" s="179" t="s">
        <v>2384</v>
      </c>
      <c r="I3" s="179" t="s">
        <v>2385</v>
      </c>
      <c r="J3" s="197"/>
      <c r="K3" s="180" t="s">
        <v>2386</v>
      </c>
      <c r="L3" s="179" t="s">
        <v>2387</v>
      </c>
      <c r="M3" s="180" t="s">
        <v>2392</v>
      </c>
      <c r="N3" s="179" t="s">
        <v>2358</v>
      </c>
      <c r="O3" s="180" t="s">
        <v>2398</v>
      </c>
      <c r="P3" s="197"/>
      <c r="Q3" s="180" t="s">
        <v>2402</v>
      </c>
      <c r="R3" s="179" t="s">
        <v>2381</v>
      </c>
      <c r="S3" s="179" t="s">
        <v>2365</v>
      </c>
      <c r="T3" s="179" t="s">
        <v>2381</v>
      </c>
      <c r="U3" s="179" t="s">
        <v>2387</v>
      </c>
      <c r="V3" s="197"/>
      <c r="W3" s="179" t="s">
        <v>2348</v>
      </c>
      <c r="X3" s="197"/>
    </row>
    <row r="4">
      <c r="A4" s="175" t="s">
        <v>240</v>
      </c>
      <c r="B4" s="197"/>
      <c r="C4" s="179" t="s">
        <v>2387</v>
      </c>
      <c r="D4" s="180" t="s">
        <v>2406</v>
      </c>
      <c r="E4" s="180" t="s">
        <v>2387</v>
      </c>
      <c r="F4" s="197"/>
      <c r="G4" s="180" t="s">
        <v>2407</v>
      </c>
      <c r="H4" s="180" t="s">
        <v>2408</v>
      </c>
      <c r="I4" s="180" t="s">
        <v>2387</v>
      </c>
      <c r="J4" s="197"/>
      <c r="K4" s="179" t="s">
        <v>2387</v>
      </c>
      <c r="L4" s="179" t="s">
        <v>2387</v>
      </c>
      <c r="M4" s="179" t="s">
        <v>2348</v>
      </c>
      <c r="N4" s="180" t="s">
        <v>2387</v>
      </c>
      <c r="O4" s="179" t="s">
        <v>2409</v>
      </c>
      <c r="P4" s="197"/>
      <c r="Q4" s="180" t="s">
        <v>2410</v>
      </c>
      <c r="R4" s="180" t="s">
        <v>2411</v>
      </c>
      <c r="S4" s="179" t="s">
        <v>2358</v>
      </c>
      <c r="T4" s="179" t="s">
        <v>2387</v>
      </c>
      <c r="U4" s="179" t="s">
        <v>2365</v>
      </c>
      <c r="V4" s="197"/>
      <c r="W4" s="180" t="s">
        <v>2412</v>
      </c>
      <c r="X4" s="197"/>
    </row>
    <row r="5">
      <c r="A5" s="175" t="s">
        <v>239</v>
      </c>
      <c r="B5" s="197"/>
      <c r="C5" s="179" t="s">
        <v>2413</v>
      </c>
      <c r="D5" s="180" t="s">
        <v>2419</v>
      </c>
      <c r="E5" s="180" t="s">
        <v>2421</v>
      </c>
      <c r="F5" s="197"/>
      <c r="G5" s="180" t="s">
        <v>2423</v>
      </c>
      <c r="H5" s="179" t="s">
        <v>2424</v>
      </c>
      <c r="I5" s="180" t="s">
        <v>2425</v>
      </c>
      <c r="J5" s="197"/>
      <c r="K5" s="180" t="s">
        <v>2426</v>
      </c>
      <c r="L5" s="179" t="s">
        <v>2358</v>
      </c>
      <c r="M5" s="180" t="s">
        <v>2427</v>
      </c>
      <c r="N5" s="179" t="s">
        <v>2381</v>
      </c>
      <c r="O5" s="180" t="s">
        <v>2431</v>
      </c>
      <c r="P5" s="197"/>
      <c r="Q5" s="179" t="s">
        <v>2365</v>
      </c>
      <c r="R5" s="179" t="s">
        <v>2381</v>
      </c>
      <c r="S5" s="180" t="s">
        <v>2436</v>
      </c>
      <c r="T5" s="179" t="s">
        <v>2365</v>
      </c>
      <c r="U5" s="179" t="s">
        <v>2437</v>
      </c>
      <c r="V5" s="197"/>
      <c r="W5" s="179" t="s">
        <v>2438</v>
      </c>
      <c r="X5" s="197"/>
    </row>
    <row r="6">
      <c r="A6" s="175" t="s">
        <v>1391</v>
      </c>
      <c r="B6" s="197"/>
      <c r="C6" s="179" t="s">
        <v>2381</v>
      </c>
      <c r="D6" s="179" t="s">
        <v>2387</v>
      </c>
      <c r="E6" s="179" t="s">
        <v>2381</v>
      </c>
      <c r="F6" s="197"/>
      <c r="G6" s="179" t="s">
        <v>2381</v>
      </c>
      <c r="H6" s="179" t="s">
        <v>2387</v>
      </c>
      <c r="I6" s="179" t="s">
        <v>2440</v>
      </c>
      <c r="J6" s="197"/>
      <c r="K6" s="179" t="s">
        <v>2348</v>
      </c>
      <c r="L6" s="180" t="s">
        <v>2441</v>
      </c>
      <c r="M6" s="179" t="s">
        <v>2440</v>
      </c>
      <c r="N6" s="180" t="s">
        <v>2442</v>
      </c>
      <c r="O6" s="180" t="s">
        <v>2443</v>
      </c>
      <c r="P6" s="197"/>
      <c r="Q6" s="180" t="s">
        <v>2444</v>
      </c>
      <c r="R6" s="179" t="s">
        <v>2445</v>
      </c>
      <c r="S6" s="179" t="s">
        <v>2446</v>
      </c>
      <c r="T6" s="179" t="s">
        <v>2447</v>
      </c>
      <c r="U6" s="180" t="s">
        <v>2448</v>
      </c>
      <c r="V6" s="197"/>
      <c r="W6" s="179" t="s">
        <v>2387</v>
      </c>
      <c r="X6" s="197"/>
    </row>
    <row r="7">
      <c r="A7" s="175" t="s">
        <v>351</v>
      </c>
      <c r="B7" s="197"/>
      <c r="C7" s="179" t="s">
        <v>2449</v>
      </c>
      <c r="D7" s="179" t="s">
        <v>2365</v>
      </c>
      <c r="E7" s="180" t="s">
        <v>2365</v>
      </c>
      <c r="F7" s="197"/>
      <c r="G7" s="179" t="s">
        <v>2365</v>
      </c>
      <c r="H7" s="180" t="s">
        <v>2426</v>
      </c>
      <c r="I7" s="179" t="s">
        <v>2458</v>
      </c>
      <c r="J7" s="197"/>
      <c r="K7" s="180" t="s">
        <v>2460</v>
      </c>
      <c r="L7" s="179" t="s">
        <v>2463</v>
      </c>
      <c r="M7" s="179" t="s">
        <v>2365</v>
      </c>
      <c r="N7" s="179" t="s">
        <v>2466</v>
      </c>
      <c r="O7" s="179" t="s">
        <v>2387</v>
      </c>
      <c r="P7" s="197"/>
      <c r="Q7" s="180" t="s">
        <v>2469</v>
      </c>
      <c r="R7" s="179" t="s">
        <v>2387</v>
      </c>
      <c r="S7" s="179" t="s">
        <v>2470</v>
      </c>
      <c r="T7" s="179" t="s">
        <v>2471</v>
      </c>
      <c r="U7" s="179" t="s">
        <v>2472</v>
      </c>
      <c r="V7" s="197"/>
      <c r="W7" s="180" t="s">
        <v>2387</v>
      </c>
      <c r="X7" s="197"/>
    </row>
    <row r="8">
      <c r="A8" s="175" t="s">
        <v>329</v>
      </c>
      <c r="B8" s="197"/>
      <c r="C8" s="179" t="s">
        <v>2358</v>
      </c>
      <c r="D8" s="180" t="s">
        <v>2392</v>
      </c>
      <c r="E8" s="180" t="s">
        <v>2441</v>
      </c>
      <c r="F8" s="197"/>
      <c r="G8" s="179" t="s">
        <v>2365</v>
      </c>
      <c r="H8" s="180" t="s">
        <v>2477</v>
      </c>
      <c r="I8" s="180" t="s">
        <v>2402</v>
      </c>
      <c r="J8" s="197"/>
      <c r="K8" s="180" t="s">
        <v>2386</v>
      </c>
      <c r="L8" s="180" t="s">
        <v>2359</v>
      </c>
      <c r="M8" s="179" t="s">
        <v>2358</v>
      </c>
      <c r="N8" s="180" t="s">
        <v>2448</v>
      </c>
      <c r="O8" s="179" t="s">
        <v>2483</v>
      </c>
      <c r="P8" s="197"/>
      <c r="Q8" s="205" t="s">
        <v>2387</v>
      </c>
      <c r="R8" s="180" t="s">
        <v>2516</v>
      </c>
      <c r="S8" s="179" t="s">
        <v>2358</v>
      </c>
      <c r="T8" s="180" t="s">
        <v>2520</v>
      </c>
      <c r="U8" s="179" t="s">
        <v>2522</v>
      </c>
      <c r="V8" s="197"/>
      <c r="W8" s="180" t="s">
        <v>2524</v>
      </c>
      <c r="X8" s="197"/>
    </row>
    <row r="9">
      <c r="A9" s="175" t="s">
        <v>1539</v>
      </c>
      <c r="B9" s="207"/>
      <c r="C9" s="180" t="s">
        <v>2361</v>
      </c>
      <c r="D9" s="179" t="s">
        <v>2387</v>
      </c>
      <c r="E9" s="180" t="s">
        <v>2421</v>
      </c>
      <c r="F9" s="197"/>
      <c r="G9" s="179" t="s">
        <v>2559</v>
      </c>
      <c r="H9" s="179" t="s">
        <v>2483</v>
      </c>
      <c r="I9" s="180" t="s">
        <v>2562</v>
      </c>
      <c r="J9" s="197"/>
      <c r="K9" s="180" t="s">
        <v>2348</v>
      </c>
      <c r="L9" s="180" t="s">
        <v>2358</v>
      </c>
      <c r="M9" s="180" t="s">
        <v>2348</v>
      </c>
      <c r="N9" s="179" t="s">
        <v>2387</v>
      </c>
      <c r="O9" s="180" t="s">
        <v>2569</v>
      </c>
      <c r="P9" s="197"/>
      <c r="Q9" s="180" t="s">
        <v>2571</v>
      </c>
      <c r="R9" s="179" t="s">
        <v>2573</v>
      </c>
      <c r="S9" s="179" t="s">
        <v>2358</v>
      </c>
      <c r="T9" s="180" t="s">
        <v>2460</v>
      </c>
      <c r="U9" s="180" t="s">
        <v>2441</v>
      </c>
      <c r="V9" s="197"/>
      <c r="W9" s="180" t="s">
        <v>2431</v>
      </c>
      <c r="X9" s="197"/>
    </row>
    <row r="10">
      <c r="A10" s="175" t="s">
        <v>1562</v>
      </c>
      <c r="B10" s="207"/>
      <c r="C10" s="180" t="s">
        <v>2577</v>
      </c>
      <c r="D10" s="179" t="s">
        <v>2348</v>
      </c>
      <c r="E10" s="180" t="s">
        <v>2421</v>
      </c>
      <c r="F10" s="197"/>
      <c r="G10" s="179" t="s">
        <v>2387</v>
      </c>
      <c r="H10" s="179" t="s">
        <v>2381</v>
      </c>
      <c r="I10" s="180" t="s">
        <v>2578</v>
      </c>
      <c r="J10" s="197"/>
      <c r="K10" s="179" t="s">
        <v>2381</v>
      </c>
      <c r="L10" s="180" t="s">
        <v>2579</v>
      </c>
      <c r="M10" s="180" t="s">
        <v>2580</v>
      </c>
      <c r="N10" s="179" t="s">
        <v>2581</v>
      </c>
      <c r="O10" s="180" t="s">
        <v>2398</v>
      </c>
      <c r="P10" s="197"/>
      <c r="Q10" s="179" t="s">
        <v>2358</v>
      </c>
      <c r="R10" s="179" t="s">
        <v>2348</v>
      </c>
      <c r="S10" s="180" t="s">
        <v>2582</v>
      </c>
      <c r="T10" s="180" t="s">
        <v>2442</v>
      </c>
      <c r="U10" s="180" t="s">
        <v>2398</v>
      </c>
      <c r="V10" s="197"/>
      <c r="W10" s="180" t="s">
        <v>2583</v>
      </c>
      <c r="X10" s="197"/>
    </row>
    <row r="11">
      <c r="A11" s="175" t="s">
        <v>298</v>
      </c>
      <c r="B11" s="207"/>
      <c r="C11" s="180" t="s">
        <v>2584</v>
      </c>
      <c r="D11" s="179" t="s">
        <v>2358</v>
      </c>
      <c r="E11" s="179" t="s">
        <v>2585</v>
      </c>
      <c r="F11" s="197"/>
      <c r="G11" s="179" t="s">
        <v>2348</v>
      </c>
      <c r="H11" s="179" t="s">
        <v>2587</v>
      </c>
      <c r="I11" s="180" t="s">
        <v>2348</v>
      </c>
      <c r="J11" s="197"/>
      <c r="K11" s="179" t="s">
        <v>2381</v>
      </c>
      <c r="L11" s="179" t="s">
        <v>2387</v>
      </c>
      <c r="M11" s="179" t="s">
        <v>2348</v>
      </c>
      <c r="N11" s="180" t="s">
        <v>2448</v>
      </c>
      <c r="O11" s="179" t="s">
        <v>2348</v>
      </c>
      <c r="P11" s="197"/>
      <c r="Q11" s="179" t="s">
        <v>2387</v>
      </c>
      <c r="R11" s="180" t="s">
        <v>2577</v>
      </c>
      <c r="S11" s="179" t="s">
        <v>2593</v>
      </c>
      <c r="T11" s="179" t="s">
        <v>2348</v>
      </c>
      <c r="U11" s="179" t="s">
        <v>2348</v>
      </c>
      <c r="V11" s="197"/>
      <c r="W11" s="179" t="s">
        <v>2387</v>
      </c>
      <c r="X11" s="197"/>
    </row>
    <row r="12">
      <c r="A12" s="175" t="s">
        <v>83</v>
      </c>
      <c r="B12" s="197"/>
      <c r="C12" s="179" t="s">
        <v>2358</v>
      </c>
      <c r="D12" s="180" t="s">
        <v>2595</v>
      </c>
      <c r="E12" s="179" t="s">
        <v>2424</v>
      </c>
      <c r="F12" s="197"/>
      <c r="G12" s="180" t="s">
        <v>2598</v>
      </c>
      <c r="H12" s="180" t="s">
        <v>2421</v>
      </c>
      <c r="I12" s="179" t="s">
        <v>2387</v>
      </c>
      <c r="J12" s="197"/>
      <c r="K12" s="179" t="s">
        <v>2381</v>
      </c>
      <c r="L12" s="179" t="s">
        <v>2604</v>
      </c>
      <c r="M12" s="180" t="s">
        <v>2606</v>
      </c>
      <c r="N12" s="180" t="s">
        <v>2612</v>
      </c>
      <c r="O12" s="179" t="s">
        <v>2387</v>
      </c>
      <c r="P12" s="197"/>
      <c r="Q12" s="179" t="s">
        <v>2387</v>
      </c>
      <c r="R12" s="179" t="s">
        <v>2358</v>
      </c>
      <c r="S12" s="179" t="s">
        <v>2365</v>
      </c>
      <c r="T12" s="180" t="s">
        <v>2584</v>
      </c>
      <c r="U12" s="179" t="s">
        <v>2387</v>
      </c>
      <c r="V12" s="197"/>
      <c r="W12" s="180" t="s">
        <v>2569</v>
      </c>
      <c r="X12" s="197"/>
    </row>
    <row r="13">
      <c r="A13" s="175" t="s">
        <v>260</v>
      </c>
      <c r="B13" s="197"/>
      <c r="C13" s="180" t="s">
        <v>2623</v>
      </c>
      <c r="D13" s="179" t="s">
        <v>2387</v>
      </c>
      <c r="E13" s="180" t="s">
        <v>2448</v>
      </c>
      <c r="F13" s="197"/>
      <c r="G13" s="179" t="s">
        <v>2631</v>
      </c>
      <c r="H13" s="179" t="s">
        <v>2348</v>
      </c>
      <c r="I13" s="180" t="s">
        <v>2636</v>
      </c>
      <c r="J13" s="197"/>
      <c r="K13" s="179" t="s">
        <v>2639</v>
      </c>
      <c r="L13" s="179" t="s">
        <v>2642</v>
      </c>
      <c r="M13" s="179" t="s">
        <v>2645</v>
      </c>
      <c r="N13" s="179" t="s">
        <v>2387</v>
      </c>
      <c r="O13" s="179" t="s">
        <v>2358</v>
      </c>
      <c r="P13" s="197"/>
      <c r="Q13" s="180" t="s">
        <v>2398</v>
      </c>
      <c r="R13" s="180" t="s">
        <v>2663</v>
      </c>
      <c r="S13" s="179" t="s">
        <v>2664</v>
      </c>
      <c r="T13" s="179" t="s">
        <v>2387</v>
      </c>
      <c r="U13" s="180" t="s">
        <v>2667</v>
      </c>
      <c r="V13" s="197"/>
      <c r="W13" s="180" t="s">
        <v>2577</v>
      </c>
      <c r="X13" s="197"/>
    </row>
    <row r="14">
      <c r="A14" s="175" t="s">
        <v>386</v>
      </c>
      <c r="B14" s="197"/>
      <c r="C14" s="179" t="s">
        <v>2670</v>
      </c>
      <c r="D14" s="180" t="s">
        <v>2412</v>
      </c>
      <c r="E14" s="180" t="s">
        <v>2421</v>
      </c>
      <c r="F14" s="197"/>
      <c r="G14" s="180" t="s">
        <v>2675</v>
      </c>
      <c r="H14" s="179" t="s">
        <v>2387</v>
      </c>
      <c r="I14" s="179" t="s">
        <v>2678</v>
      </c>
      <c r="J14" s="197"/>
      <c r="K14" s="180" t="s">
        <v>2631</v>
      </c>
      <c r="L14" s="180" t="s">
        <v>2606</v>
      </c>
      <c r="M14" s="179" t="s">
        <v>2348</v>
      </c>
      <c r="N14" s="179" t="s">
        <v>2681</v>
      </c>
      <c r="O14" s="180" t="s">
        <v>2686</v>
      </c>
      <c r="P14" s="197"/>
      <c r="Q14" s="180" t="s">
        <v>2443</v>
      </c>
      <c r="R14" s="179" t="s">
        <v>2387</v>
      </c>
      <c r="S14" s="180" t="s">
        <v>2689</v>
      </c>
      <c r="T14" s="180" t="s">
        <v>2386</v>
      </c>
      <c r="U14" s="180" t="s">
        <v>2387</v>
      </c>
      <c r="V14" s="197"/>
      <c r="W14" s="180" t="s">
        <v>2360</v>
      </c>
      <c r="X14" s="197"/>
    </row>
    <row r="15">
      <c r="A15" s="175" t="s">
        <v>479</v>
      </c>
      <c r="B15" s="197"/>
      <c r="C15" s="179" t="s">
        <v>2694</v>
      </c>
      <c r="D15" s="180" t="s">
        <v>2443</v>
      </c>
      <c r="E15" s="180" t="s">
        <v>2359</v>
      </c>
      <c r="F15" s="197"/>
      <c r="G15" s="180" t="s">
        <v>2636</v>
      </c>
      <c r="H15" s="180" t="s">
        <v>2695</v>
      </c>
      <c r="I15" s="179" t="s">
        <v>2381</v>
      </c>
      <c r="J15" s="197"/>
      <c r="K15" s="179" t="s">
        <v>2678</v>
      </c>
      <c r="L15" s="179" t="s">
        <v>2697</v>
      </c>
      <c r="M15" s="180" t="s">
        <v>2407</v>
      </c>
      <c r="N15" s="180" t="s">
        <v>2426</v>
      </c>
      <c r="O15" s="180" t="s">
        <v>2419</v>
      </c>
      <c r="P15" s="197"/>
      <c r="Q15" s="180" t="s">
        <v>2448</v>
      </c>
      <c r="R15" s="180" t="s">
        <v>2421</v>
      </c>
      <c r="S15" s="180" t="s">
        <v>2571</v>
      </c>
      <c r="T15" s="179" t="s">
        <v>2384</v>
      </c>
      <c r="U15" s="179" t="s">
        <v>2381</v>
      </c>
      <c r="V15" s="197"/>
      <c r="W15" s="179" t="s">
        <v>2706</v>
      </c>
      <c r="X15" s="197"/>
    </row>
    <row r="16">
      <c r="A16" s="175" t="s">
        <v>1830</v>
      </c>
      <c r="B16" s="197"/>
      <c r="C16" s="179" t="s">
        <v>2387</v>
      </c>
      <c r="D16" s="211" t="s">
        <v>2442</v>
      </c>
      <c r="E16" s="180" t="s">
        <v>2725</v>
      </c>
      <c r="F16" s="197"/>
      <c r="G16" s="180" t="s">
        <v>2562</v>
      </c>
      <c r="H16" s="180" t="s">
        <v>2729</v>
      </c>
      <c r="I16" s="179" t="s">
        <v>2440</v>
      </c>
      <c r="J16" s="197"/>
      <c r="K16" s="179" t="s">
        <v>2732</v>
      </c>
      <c r="L16" s="180" t="s">
        <v>2562</v>
      </c>
      <c r="M16" s="180" t="s">
        <v>2606</v>
      </c>
      <c r="N16" s="179" t="s">
        <v>2381</v>
      </c>
      <c r="O16" s="179" t="s">
        <v>2381</v>
      </c>
      <c r="P16" s="197"/>
      <c r="Q16" s="179" t="s">
        <v>2358</v>
      </c>
      <c r="R16" s="179" t="s">
        <v>2365</v>
      </c>
      <c r="S16" s="179" t="s">
        <v>2440</v>
      </c>
      <c r="T16" s="180" t="s">
        <v>2361</v>
      </c>
      <c r="U16" s="180" t="s">
        <v>2419</v>
      </c>
      <c r="V16" s="197"/>
      <c r="W16" s="180" t="s">
        <v>2516</v>
      </c>
      <c r="X16" s="197"/>
    </row>
    <row r="17">
      <c r="A17" s="175" t="s">
        <v>358</v>
      </c>
      <c r="B17" s="197"/>
      <c r="C17" s="179" t="s">
        <v>2585</v>
      </c>
      <c r="D17" s="180" t="s">
        <v>2756</v>
      </c>
      <c r="E17" s="179" t="s">
        <v>2758</v>
      </c>
      <c r="F17" s="197"/>
      <c r="G17" s="179" t="s">
        <v>2381</v>
      </c>
      <c r="H17" s="179" t="s">
        <v>2365</v>
      </c>
      <c r="I17" s="180" t="s">
        <v>2469</v>
      </c>
      <c r="J17" s="197"/>
      <c r="K17" s="180" t="s">
        <v>2571</v>
      </c>
      <c r="L17" s="179" t="s">
        <v>2365</v>
      </c>
      <c r="M17" s="180" t="s">
        <v>2368</v>
      </c>
      <c r="N17" s="180" t="s">
        <v>2569</v>
      </c>
      <c r="O17" s="179" t="s">
        <v>2580</v>
      </c>
      <c r="P17" s="197"/>
      <c r="Q17" s="179" t="s">
        <v>2348</v>
      </c>
      <c r="R17" s="180" t="s">
        <v>2772</v>
      </c>
      <c r="S17" s="180" t="s">
        <v>2774</v>
      </c>
      <c r="T17" s="180" t="s">
        <v>2520</v>
      </c>
      <c r="U17" s="180" t="s">
        <v>2777</v>
      </c>
      <c r="V17" s="197"/>
      <c r="W17" s="179" t="s">
        <v>2779</v>
      </c>
      <c r="X17" s="197"/>
    </row>
    <row r="18">
      <c r="A18" s="175" t="s">
        <v>500</v>
      </c>
      <c r="B18" s="197"/>
      <c r="C18" s="180" t="s">
        <v>2783</v>
      </c>
      <c r="D18" s="180" t="s">
        <v>2562</v>
      </c>
      <c r="E18" s="180" t="s">
        <v>2569</v>
      </c>
      <c r="F18" s="197"/>
      <c r="G18" s="179" t="s">
        <v>2466</v>
      </c>
      <c r="H18" s="180" t="s">
        <v>2448</v>
      </c>
      <c r="I18" s="180" t="s">
        <v>2421</v>
      </c>
      <c r="J18" s="197"/>
      <c r="K18" s="211" t="s">
        <v>2358</v>
      </c>
      <c r="L18" s="179" t="s">
        <v>2471</v>
      </c>
      <c r="M18" s="179" t="s">
        <v>2787</v>
      </c>
      <c r="N18" s="180" t="s">
        <v>2783</v>
      </c>
      <c r="O18" s="179" t="s">
        <v>2585</v>
      </c>
      <c r="P18" s="197"/>
      <c r="Q18" s="179" t="s">
        <v>2358</v>
      </c>
      <c r="R18" s="179" t="s">
        <v>2387</v>
      </c>
      <c r="S18" s="179" t="s">
        <v>2358</v>
      </c>
      <c r="T18" s="179" t="s">
        <v>2387</v>
      </c>
      <c r="U18" s="179" t="s">
        <v>2387</v>
      </c>
      <c r="V18" s="197"/>
      <c r="W18" s="180" t="s">
        <v>2583</v>
      </c>
      <c r="X18" s="197"/>
    </row>
    <row r="19">
      <c r="A19" s="175" t="s">
        <v>440</v>
      </c>
      <c r="B19" s="197"/>
      <c r="C19" s="179" t="s">
        <v>2791</v>
      </c>
      <c r="D19" s="179" t="s">
        <v>2387</v>
      </c>
      <c r="E19" s="180" t="s">
        <v>2792</v>
      </c>
      <c r="F19" s="197"/>
      <c r="G19" s="180" t="s">
        <v>2795</v>
      </c>
      <c r="H19" s="180" t="s">
        <v>2796</v>
      </c>
      <c r="I19" s="180" t="s">
        <v>2460</v>
      </c>
      <c r="J19" s="197"/>
      <c r="K19" s="179" t="s">
        <v>2797</v>
      </c>
      <c r="L19" s="180" t="s">
        <v>2358</v>
      </c>
      <c r="M19" s="179" t="s">
        <v>2375</v>
      </c>
      <c r="N19" s="179" t="s">
        <v>2387</v>
      </c>
      <c r="O19" s="179" t="s">
        <v>2642</v>
      </c>
      <c r="P19" s="197"/>
      <c r="Q19" s="179" t="s">
        <v>2803</v>
      </c>
      <c r="R19" s="180" t="s">
        <v>2577</v>
      </c>
      <c r="S19" s="180" t="s">
        <v>2805</v>
      </c>
      <c r="T19" s="180" t="s">
        <v>2577</v>
      </c>
      <c r="U19" s="179" t="s">
        <v>2803</v>
      </c>
      <c r="V19" s="197"/>
      <c r="W19" s="180" t="s">
        <v>2756</v>
      </c>
      <c r="X19" s="197"/>
    </row>
    <row r="20">
      <c r="A20" s="175" t="s">
        <v>417</v>
      </c>
      <c r="B20" s="197"/>
      <c r="C20" s="179" t="s">
        <v>2381</v>
      </c>
      <c r="D20" s="180" t="s">
        <v>2772</v>
      </c>
      <c r="E20" s="180" t="s">
        <v>2398</v>
      </c>
      <c r="F20" s="197"/>
      <c r="G20" s="179" t="s">
        <v>2585</v>
      </c>
      <c r="H20" s="179" t="s">
        <v>2365</v>
      </c>
      <c r="I20" s="180" t="s">
        <v>2663</v>
      </c>
      <c r="J20" s="197"/>
      <c r="K20" s="211" t="s">
        <v>2795</v>
      </c>
      <c r="L20" s="179" t="s">
        <v>2471</v>
      </c>
      <c r="M20" s="180" t="s">
        <v>2667</v>
      </c>
      <c r="N20" s="179" t="s">
        <v>2587</v>
      </c>
      <c r="O20" s="179" t="s">
        <v>2358</v>
      </c>
      <c r="P20" s="197"/>
      <c r="Q20" s="180" t="s">
        <v>2819</v>
      </c>
      <c r="R20" s="179" t="s">
        <v>2820</v>
      </c>
      <c r="S20" s="179" t="s">
        <v>2365</v>
      </c>
      <c r="T20" s="180" t="s">
        <v>2821</v>
      </c>
      <c r="U20" s="179" t="s">
        <v>2822</v>
      </c>
      <c r="V20" s="197"/>
      <c r="W20" s="180" t="s">
        <v>2410</v>
      </c>
      <c r="X20" s="197"/>
    </row>
    <row r="21">
      <c r="A21" s="175" t="s">
        <v>518</v>
      </c>
      <c r="B21" s="197"/>
      <c r="C21" s="180" t="s">
        <v>2412</v>
      </c>
      <c r="D21" s="180" t="s">
        <v>2571</v>
      </c>
      <c r="E21" s="179" t="s">
        <v>2348</v>
      </c>
      <c r="F21" s="197"/>
      <c r="G21" s="179" t="s">
        <v>2645</v>
      </c>
      <c r="H21" s="179" t="s">
        <v>2823</v>
      </c>
      <c r="I21" s="180" t="s">
        <v>2577</v>
      </c>
      <c r="J21" s="197"/>
      <c r="K21" s="180" t="s">
        <v>2398</v>
      </c>
      <c r="L21" s="180" t="s">
        <v>2441</v>
      </c>
      <c r="M21" s="179" t="s">
        <v>2348</v>
      </c>
      <c r="N21" s="179" t="s">
        <v>2409</v>
      </c>
      <c r="O21" s="180" t="s">
        <v>2582</v>
      </c>
      <c r="P21" s="197"/>
      <c r="Q21" s="180" t="s">
        <v>2460</v>
      </c>
      <c r="R21" s="179" t="s">
        <v>2348</v>
      </c>
      <c r="S21" s="179" t="s">
        <v>2829</v>
      </c>
      <c r="T21" s="179" t="s">
        <v>2831</v>
      </c>
      <c r="U21" s="180" t="s">
        <v>2431</v>
      </c>
      <c r="V21" s="197"/>
      <c r="W21" s="180" t="s">
        <v>2398</v>
      </c>
      <c r="X21" s="197"/>
    </row>
    <row r="22">
      <c r="A22" s="175" t="s">
        <v>2106</v>
      </c>
      <c r="B22" s="197"/>
      <c r="C22" s="179" t="s">
        <v>2348</v>
      </c>
      <c r="D22" s="180" t="s">
        <v>2448</v>
      </c>
      <c r="E22" s="179" t="s">
        <v>2348</v>
      </c>
      <c r="F22" s="197"/>
      <c r="G22" s="180" t="s">
        <v>2520</v>
      </c>
      <c r="H22" s="179" t="s">
        <v>2365</v>
      </c>
      <c r="I22" s="179" t="s">
        <v>2358</v>
      </c>
      <c r="J22" s="197"/>
      <c r="K22" s="180" t="s">
        <v>2406</v>
      </c>
      <c r="L22" s="180" t="s">
        <v>2398</v>
      </c>
      <c r="M22" s="179" t="s">
        <v>2358</v>
      </c>
      <c r="N22" s="180" t="s">
        <v>2783</v>
      </c>
      <c r="O22" s="180" t="s">
        <v>2387</v>
      </c>
      <c r="P22" s="197"/>
      <c r="Q22" s="179" t="s">
        <v>2365</v>
      </c>
      <c r="R22" s="179" t="s">
        <v>2365</v>
      </c>
      <c r="S22" s="179" t="s">
        <v>2440</v>
      </c>
      <c r="T22" s="179" t="s">
        <v>2348</v>
      </c>
      <c r="U22" s="179" t="s">
        <v>2358</v>
      </c>
      <c r="V22" s="197"/>
      <c r="W22" s="180" t="s">
        <v>2398</v>
      </c>
      <c r="X22" s="197"/>
    </row>
    <row r="23">
      <c r="A23" s="175" t="s">
        <v>401</v>
      </c>
      <c r="B23" s="197"/>
      <c r="C23" s="180" t="s">
        <v>2845</v>
      </c>
      <c r="D23" s="180" t="s">
        <v>2419</v>
      </c>
      <c r="E23" s="180" t="s">
        <v>2419</v>
      </c>
      <c r="F23" s="197"/>
      <c r="G23" s="179" t="s">
        <v>2348</v>
      </c>
      <c r="H23" s="179" t="s">
        <v>2387</v>
      </c>
      <c r="I23" s="179" t="s">
        <v>2358</v>
      </c>
      <c r="J23" s="197"/>
      <c r="K23" s="180" t="s">
        <v>2577</v>
      </c>
      <c r="L23" s="180" t="s">
        <v>2448</v>
      </c>
      <c r="M23" s="179" t="s">
        <v>2358</v>
      </c>
      <c r="N23" s="180" t="s">
        <v>2606</v>
      </c>
      <c r="O23" s="179" t="s">
        <v>2348</v>
      </c>
      <c r="P23" s="197"/>
      <c r="Q23" s="179" t="s">
        <v>2348</v>
      </c>
      <c r="R23" s="180" t="s">
        <v>2421</v>
      </c>
      <c r="S23" s="179" t="s">
        <v>2859</v>
      </c>
      <c r="T23" s="180" t="s">
        <v>2448</v>
      </c>
      <c r="U23" s="180" t="s">
        <v>2772</v>
      </c>
      <c r="V23" s="197"/>
      <c r="W23" s="180" t="s">
        <v>2460</v>
      </c>
      <c r="X23" s="197"/>
    </row>
    <row r="24">
      <c r="A24" s="175" t="s">
        <v>2202</v>
      </c>
      <c r="B24" s="197"/>
      <c r="C24" s="179" t="s">
        <v>2348</v>
      </c>
      <c r="D24" s="179" t="s">
        <v>2358</v>
      </c>
      <c r="E24" s="180" t="s">
        <v>2373</v>
      </c>
      <c r="F24" s="197"/>
      <c r="G24" s="180" t="s">
        <v>2520</v>
      </c>
      <c r="H24" s="180" t="s">
        <v>2448</v>
      </c>
      <c r="I24" s="180" t="s">
        <v>2862</v>
      </c>
      <c r="J24" s="197"/>
      <c r="K24" s="179" t="s">
        <v>2348</v>
      </c>
      <c r="L24" s="179" t="s">
        <v>2358</v>
      </c>
      <c r="M24" s="180" t="s">
        <v>2777</v>
      </c>
      <c r="N24" s="179" t="s">
        <v>2365</v>
      </c>
      <c r="O24" s="179" t="s">
        <v>2365</v>
      </c>
      <c r="P24" s="197"/>
      <c r="Q24" s="179" t="s">
        <v>2365</v>
      </c>
      <c r="R24" s="179" t="s">
        <v>2348</v>
      </c>
      <c r="S24" s="179" t="s">
        <v>2470</v>
      </c>
      <c r="T24" s="180" t="s">
        <v>2571</v>
      </c>
      <c r="U24" s="179" t="s">
        <v>2358</v>
      </c>
      <c r="V24" s="197"/>
      <c r="W24" s="180" t="s">
        <v>2365</v>
      </c>
      <c r="X24" s="195"/>
    </row>
  </sheetData>
  <conditionalFormatting sqref="B2:X24">
    <cfRule type="cellIs" dxfId="1" priority="1" operator="equal">
      <formula>"o,o,o"</formula>
    </cfRule>
  </conditionalFormatting>
  <conditionalFormatting sqref="B2:X24">
    <cfRule type="cellIs" dxfId="1" priority="2" operator="equal">
      <formula>"u,u,u"</formula>
    </cfRule>
  </conditionalFormatting>
  <conditionalFormatting sqref="B2:X24">
    <cfRule type="cellIs" dxfId="1" priority="3" operator="equal">
      <formula>"i,i,i"</formula>
    </cfRule>
  </conditionalFormatting>
  <conditionalFormatting sqref="B2:X24">
    <cfRule type="cellIs" dxfId="1" priority="4" operator="equal">
      <formula>"a,a,a"</formula>
    </cfRule>
  </conditionalFormatting>
  <conditionalFormatting sqref="B2:X24">
    <cfRule type="cellIs" dxfId="1" priority="5" operator="equal">
      <formula>"e,e,e"</formula>
    </cfRule>
  </conditionalFormatting>
  <conditionalFormatting sqref="B2:X24">
    <cfRule type="cellIs" dxfId="1" priority="6" operator="equal">
      <formula>"oe,oe,oe"</formula>
    </cfRule>
  </conditionalFormatting>
  <printOptions gridLines="1" horizontalCentered="1"/>
  <pageMargins bottom="0.75" footer="0.0" header="0.0" left="0.25" right="0.25" top="0.75"/>
  <pageSetup fitToHeight="0" orientation="landscape" pageOrder="overThenDown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27" width="14.43"/>
  </cols>
  <sheetData>
    <row r="1">
      <c r="A1" s="1" t="s">
        <v>1135</v>
      </c>
      <c r="B1" s="2" t="s">
        <v>1</v>
      </c>
      <c r="C1" s="3" t="s">
        <v>2</v>
      </c>
      <c r="D1" s="4" t="s">
        <v>3</v>
      </c>
      <c r="E1" s="4" t="s">
        <v>5</v>
      </c>
      <c r="F1" s="3" t="s">
        <v>6</v>
      </c>
      <c r="G1" s="5" t="s">
        <v>7</v>
      </c>
      <c r="H1" s="5" t="s">
        <v>8</v>
      </c>
      <c r="I1" s="3" t="s">
        <v>2343</v>
      </c>
      <c r="J1" s="6" t="s">
        <v>10</v>
      </c>
      <c r="K1" s="6" t="s">
        <v>11</v>
      </c>
      <c r="L1" s="3" t="s">
        <v>2344</v>
      </c>
      <c r="M1" s="2" t="s">
        <v>13</v>
      </c>
      <c r="N1" s="2" t="s">
        <v>14</v>
      </c>
      <c r="O1" s="7" t="s">
        <v>15</v>
      </c>
      <c r="P1" s="4" t="s">
        <v>16</v>
      </c>
      <c r="Q1" s="4" t="s">
        <v>17</v>
      </c>
      <c r="R1" s="7" t="s">
        <v>18</v>
      </c>
      <c r="S1" s="5" t="s">
        <v>19</v>
      </c>
      <c r="T1" s="5" t="s">
        <v>20</v>
      </c>
      <c r="U1" s="7" t="s">
        <v>21</v>
      </c>
      <c r="V1" s="6" t="s">
        <v>22</v>
      </c>
      <c r="W1" s="6" t="s">
        <v>23</v>
      </c>
      <c r="X1" s="7" t="s">
        <v>522</v>
      </c>
      <c r="Y1" s="9" t="s">
        <v>2345</v>
      </c>
      <c r="Z1" s="11"/>
      <c r="AA1" s="13"/>
    </row>
    <row r="2">
      <c r="A2" s="2" t="s">
        <v>1</v>
      </c>
      <c r="B2" s="199"/>
      <c r="C2" s="201"/>
      <c r="D2" s="201"/>
      <c r="E2" s="203" t="s">
        <v>2439</v>
      </c>
      <c r="F2" s="203" t="s">
        <v>2473</v>
      </c>
      <c r="G2" s="203" t="s">
        <v>2474</v>
      </c>
      <c r="H2" s="204"/>
      <c r="I2" s="204"/>
      <c r="J2" s="204"/>
      <c r="K2" s="203" t="s">
        <v>2496</v>
      </c>
      <c r="L2" s="203" t="s">
        <v>2498</v>
      </c>
      <c r="M2" s="203" t="s">
        <v>2501</v>
      </c>
      <c r="N2" s="203" t="s">
        <v>2502</v>
      </c>
      <c r="O2" s="203" t="s">
        <v>2504</v>
      </c>
      <c r="P2" s="203" t="s">
        <v>2505</v>
      </c>
      <c r="Q2" s="203" t="s">
        <v>2506</v>
      </c>
      <c r="R2" s="203" t="s">
        <v>2473</v>
      </c>
      <c r="S2" s="203" t="s">
        <v>2507</v>
      </c>
      <c r="T2" s="203" t="s">
        <v>2508</v>
      </c>
      <c r="U2" s="203" t="s">
        <v>2509</v>
      </c>
      <c r="V2" s="203" t="s">
        <v>2506</v>
      </c>
      <c r="W2" s="203" t="s">
        <v>2501</v>
      </c>
      <c r="X2" s="203" t="s">
        <v>2511</v>
      </c>
      <c r="Y2" s="206" t="s">
        <v>2507</v>
      </c>
      <c r="Z2" s="20">
        <f>AVERAGE(B3:Y3)</f>
        <v>1.055555556</v>
      </c>
      <c r="AA2" s="13">
        <f>AVERAGE(B2:Y7)</f>
        <v>1.015348837</v>
      </c>
    </row>
    <row r="3">
      <c r="A3" s="209"/>
      <c r="B3" s="21"/>
      <c r="C3" s="22"/>
      <c r="D3" s="22"/>
      <c r="E3" s="23">
        <v>0.95</v>
      </c>
      <c r="F3" s="23">
        <v>0.93</v>
      </c>
      <c r="G3" s="23">
        <v>1.29</v>
      </c>
      <c r="H3" s="22"/>
      <c r="I3" s="22"/>
      <c r="J3" s="22"/>
      <c r="K3" s="23">
        <v>0.99</v>
      </c>
      <c r="L3" s="23">
        <v>0.9</v>
      </c>
      <c r="M3" s="23">
        <v>0.87</v>
      </c>
      <c r="N3" s="23">
        <v>1.19</v>
      </c>
      <c r="O3" s="23">
        <v>0.92</v>
      </c>
      <c r="P3" s="23">
        <v>1.34</v>
      </c>
      <c r="Q3" s="23">
        <v>1.0</v>
      </c>
      <c r="R3" s="23">
        <v>0.98</v>
      </c>
      <c r="S3" s="23">
        <v>1.21</v>
      </c>
      <c r="T3" s="23">
        <v>1.26</v>
      </c>
      <c r="U3" s="23">
        <v>1.02</v>
      </c>
      <c r="V3" s="23">
        <v>0.94</v>
      </c>
      <c r="W3" s="23">
        <v>0.9</v>
      </c>
      <c r="X3" s="23">
        <v>1.25</v>
      </c>
      <c r="Y3" s="27">
        <v>1.06</v>
      </c>
    </row>
    <row r="4">
      <c r="A4" s="3" t="s">
        <v>2</v>
      </c>
      <c r="B4" s="199"/>
      <c r="C4" s="201"/>
      <c r="D4" s="201"/>
      <c r="E4" s="203" t="s">
        <v>2626</v>
      </c>
      <c r="F4" s="203" t="s">
        <v>2630</v>
      </c>
      <c r="G4" s="203" t="s">
        <v>2633</v>
      </c>
      <c r="H4" s="204"/>
      <c r="I4" s="204"/>
      <c r="J4" s="204"/>
      <c r="K4" s="203" t="s">
        <v>2638</v>
      </c>
      <c r="L4" s="203" t="s">
        <v>2641</v>
      </c>
      <c r="M4" s="203" t="s">
        <v>2643</v>
      </c>
      <c r="N4" s="203" t="s">
        <v>2647</v>
      </c>
      <c r="O4" s="203" t="s">
        <v>2649</v>
      </c>
      <c r="P4" s="203" t="s">
        <v>2651</v>
      </c>
      <c r="Q4" s="203" t="s">
        <v>2653</v>
      </c>
      <c r="R4" s="203" t="s">
        <v>2657</v>
      </c>
      <c r="S4" s="203" t="s">
        <v>2659</v>
      </c>
      <c r="T4" s="203" t="s">
        <v>239</v>
      </c>
      <c r="U4" s="203" t="s">
        <v>2661</v>
      </c>
      <c r="V4" s="203" t="s">
        <v>2653</v>
      </c>
      <c r="W4" s="203" t="s">
        <v>2651</v>
      </c>
      <c r="X4" s="203" t="s">
        <v>2665</v>
      </c>
      <c r="Y4" s="206" t="s">
        <v>2666</v>
      </c>
      <c r="Z4" s="20">
        <f>AVERAGE(B5:Y5)</f>
        <v>1.006666667</v>
      </c>
    </row>
    <row r="5">
      <c r="A5" s="210"/>
      <c r="B5" s="21"/>
      <c r="C5" s="22"/>
      <c r="D5" s="22"/>
      <c r="E5" s="23">
        <v>1.22</v>
      </c>
      <c r="F5" s="23">
        <v>1.05</v>
      </c>
      <c r="G5" s="23">
        <v>1.14</v>
      </c>
      <c r="H5" s="22"/>
      <c r="I5" s="22"/>
      <c r="J5" s="22"/>
      <c r="K5" s="23">
        <v>1.45</v>
      </c>
      <c r="L5" s="23">
        <v>1.07</v>
      </c>
      <c r="M5" s="23">
        <v>1.1</v>
      </c>
      <c r="N5" s="23">
        <v>0.81</v>
      </c>
      <c r="O5" s="23">
        <v>1.37</v>
      </c>
      <c r="P5" s="23">
        <v>0.68</v>
      </c>
      <c r="Q5" s="23">
        <v>0.76</v>
      </c>
      <c r="R5" s="23">
        <v>1.32</v>
      </c>
      <c r="S5" s="23">
        <v>0.9</v>
      </c>
      <c r="T5" s="23">
        <v>0.91</v>
      </c>
      <c r="U5" s="23">
        <v>1.26</v>
      </c>
      <c r="V5" s="23">
        <v>0.61</v>
      </c>
      <c r="W5" s="23">
        <v>0.66</v>
      </c>
      <c r="X5" s="23">
        <v>1.06</v>
      </c>
      <c r="Y5" s="27">
        <v>0.75</v>
      </c>
    </row>
    <row r="6">
      <c r="A6" s="4" t="s">
        <v>3</v>
      </c>
      <c r="B6" s="199"/>
      <c r="C6" s="201"/>
      <c r="D6" s="201"/>
      <c r="E6" s="203" t="s">
        <v>2721</v>
      </c>
      <c r="F6" s="203" t="s">
        <v>2722</v>
      </c>
      <c r="G6" s="203" t="s">
        <v>2744</v>
      </c>
      <c r="H6" s="204"/>
      <c r="I6" s="204"/>
      <c r="J6" s="204"/>
      <c r="K6" s="203" t="s">
        <v>2746</v>
      </c>
      <c r="L6" s="203" t="s">
        <v>2748</v>
      </c>
      <c r="M6" s="203" t="s">
        <v>2750</v>
      </c>
      <c r="N6" s="203" t="s">
        <v>2752</v>
      </c>
      <c r="O6" s="203" t="s">
        <v>2748</v>
      </c>
      <c r="P6" s="203" t="s">
        <v>2754</v>
      </c>
      <c r="Q6" s="203" t="s">
        <v>2750</v>
      </c>
      <c r="R6" s="203" t="s">
        <v>2755</v>
      </c>
      <c r="S6" s="203" t="s">
        <v>2757</v>
      </c>
      <c r="T6" s="203" t="s">
        <v>2759</v>
      </c>
      <c r="U6" s="203" t="s">
        <v>2760</v>
      </c>
      <c r="V6" s="203" t="s">
        <v>2761</v>
      </c>
      <c r="W6" s="203" t="s">
        <v>2763</v>
      </c>
      <c r="X6" s="203" t="s">
        <v>2765</v>
      </c>
      <c r="Y6" s="206" t="s">
        <v>2757</v>
      </c>
      <c r="Z6" s="20">
        <f>AVERAGE(B7:Y7)</f>
        <v>0.9342857143</v>
      </c>
    </row>
    <row r="7">
      <c r="A7" s="212"/>
      <c r="B7" s="21"/>
      <c r="C7" s="22"/>
      <c r="D7" s="22"/>
      <c r="E7" s="23">
        <v>0.71</v>
      </c>
      <c r="F7" s="23">
        <v>1.04</v>
      </c>
      <c r="G7" s="23">
        <v>0.97</v>
      </c>
      <c r="H7" s="22"/>
      <c r="I7" s="22"/>
      <c r="J7" s="22"/>
      <c r="K7" s="23">
        <v>1.25</v>
      </c>
      <c r="L7" s="23">
        <v>0.85</v>
      </c>
      <c r="M7" s="23">
        <v>0.91</v>
      </c>
      <c r="N7" s="38"/>
      <c r="O7" s="23">
        <v>0.81</v>
      </c>
      <c r="P7" s="38"/>
      <c r="Q7" s="38"/>
      <c r="R7" s="38"/>
      <c r="S7" s="38"/>
      <c r="T7" s="38"/>
      <c r="U7" s="38"/>
      <c r="V7" s="38"/>
      <c r="W7" s="38"/>
      <c r="X7" s="38"/>
      <c r="Y7" s="39"/>
    </row>
    <row r="8">
      <c r="A8" s="4" t="s">
        <v>5</v>
      </c>
      <c r="B8" s="213" t="s">
        <v>2439</v>
      </c>
      <c r="C8" s="203" t="s">
        <v>2626</v>
      </c>
      <c r="D8" s="203" t="s">
        <v>2721</v>
      </c>
      <c r="E8" s="204"/>
      <c r="F8" s="204"/>
      <c r="G8" s="204"/>
      <c r="H8" s="204"/>
      <c r="I8" s="204"/>
      <c r="J8" s="204"/>
      <c r="K8" s="203" t="s">
        <v>2833</v>
      </c>
      <c r="L8" s="203" t="s">
        <v>2498</v>
      </c>
      <c r="M8" s="203" t="s">
        <v>2834</v>
      </c>
      <c r="N8" s="203" t="s">
        <v>2835</v>
      </c>
      <c r="O8" s="203" t="s">
        <v>2836</v>
      </c>
      <c r="P8" s="203" t="s">
        <v>2837</v>
      </c>
      <c r="Q8" s="203" t="s">
        <v>2838</v>
      </c>
      <c r="R8" s="203" t="s">
        <v>2839</v>
      </c>
      <c r="S8" s="203" t="s">
        <v>2840</v>
      </c>
      <c r="T8" s="203" t="s">
        <v>2841</v>
      </c>
      <c r="U8" s="203" t="s">
        <v>2842</v>
      </c>
      <c r="V8" s="203" t="s">
        <v>2843</v>
      </c>
      <c r="W8" s="203" t="s">
        <v>2844</v>
      </c>
      <c r="X8" s="203" t="s">
        <v>2846</v>
      </c>
      <c r="Y8" s="206" t="s">
        <v>2848</v>
      </c>
      <c r="Z8" s="20">
        <f>AVERAGE(B9:Y9)</f>
        <v>0.9883333333</v>
      </c>
      <c r="AA8" s="13">
        <f>AVERAGE(B8:Y13)</f>
        <v>1.025833333</v>
      </c>
    </row>
    <row r="9">
      <c r="A9" s="212"/>
      <c r="B9" s="46">
        <v>0.9</v>
      </c>
      <c r="C9" s="23">
        <v>1.44</v>
      </c>
      <c r="D9" s="23">
        <v>0.74</v>
      </c>
      <c r="E9" s="22"/>
      <c r="F9" s="22"/>
      <c r="G9" s="22"/>
      <c r="H9" s="22"/>
      <c r="I9" s="22"/>
      <c r="J9" s="22"/>
      <c r="K9" s="23">
        <v>1.26</v>
      </c>
      <c r="L9" s="23">
        <v>0.81</v>
      </c>
      <c r="M9" s="23">
        <v>0.78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9"/>
    </row>
    <row r="10">
      <c r="A10" s="3" t="s">
        <v>6</v>
      </c>
      <c r="B10" s="213" t="s">
        <v>2473</v>
      </c>
      <c r="C10" s="203" t="s">
        <v>2630</v>
      </c>
      <c r="D10" s="203" t="s">
        <v>2722</v>
      </c>
      <c r="E10" s="204"/>
      <c r="F10" s="201"/>
      <c r="G10" s="204"/>
      <c r="H10" s="204"/>
      <c r="I10" s="204"/>
      <c r="J10" s="204"/>
      <c r="K10" s="203" t="s">
        <v>2473</v>
      </c>
      <c r="L10" s="203" t="s">
        <v>2886</v>
      </c>
      <c r="M10" s="203" t="s">
        <v>2722</v>
      </c>
      <c r="N10" s="203" t="s">
        <v>2887</v>
      </c>
      <c r="O10" s="203" t="s">
        <v>2888</v>
      </c>
      <c r="P10" s="203" t="s">
        <v>2889</v>
      </c>
      <c r="Q10" s="203" t="s">
        <v>2653</v>
      </c>
      <c r="R10" s="203" t="s">
        <v>2890</v>
      </c>
      <c r="S10" s="203" t="s">
        <v>2659</v>
      </c>
      <c r="T10" s="203" t="s">
        <v>239</v>
      </c>
      <c r="U10" s="203" t="s">
        <v>2661</v>
      </c>
      <c r="V10" s="203" t="s">
        <v>2653</v>
      </c>
      <c r="W10" s="203" t="s">
        <v>2889</v>
      </c>
      <c r="X10" s="203" t="s">
        <v>2665</v>
      </c>
      <c r="Y10" s="206" t="s">
        <v>2659</v>
      </c>
      <c r="Z10" s="20">
        <f>AVERAGE(B11:Y11)</f>
        <v>1.033333333</v>
      </c>
    </row>
    <row r="11">
      <c r="A11" s="210"/>
      <c r="B11" s="46">
        <v>0.92</v>
      </c>
      <c r="C11" s="23">
        <v>1.1</v>
      </c>
      <c r="D11" s="23">
        <v>1.08</v>
      </c>
      <c r="E11" s="22"/>
      <c r="F11" s="22"/>
      <c r="G11" s="22"/>
      <c r="H11" s="22"/>
      <c r="I11" s="22"/>
      <c r="J11" s="22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9"/>
    </row>
    <row r="12">
      <c r="A12" s="5" t="s">
        <v>7</v>
      </c>
      <c r="B12" s="213" t="s">
        <v>2474</v>
      </c>
      <c r="C12" s="203" t="s">
        <v>2633</v>
      </c>
      <c r="D12" s="203" t="s">
        <v>2744</v>
      </c>
      <c r="E12" s="204"/>
      <c r="F12" s="204"/>
      <c r="G12" s="204"/>
      <c r="H12" s="204"/>
      <c r="I12" s="204"/>
      <c r="J12" s="204"/>
      <c r="K12" s="203" t="s">
        <v>2925</v>
      </c>
      <c r="L12" s="203" t="s">
        <v>2748</v>
      </c>
      <c r="M12" s="203" t="s">
        <v>2928</v>
      </c>
      <c r="N12" s="203" t="s">
        <v>2930</v>
      </c>
      <c r="O12" s="203" t="s">
        <v>2748</v>
      </c>
      <c r="P12" s="203" t="s">
        <v>2933</v>
      </c>
      <c r="Q12" s="203" t="s">
        <v>2935</v>
      </c>
      <c r="R12" s="203" t="s">
        <v>2937</v>
      </c>
      <c r="S12" s="203" t="s">
        <v>2939</v>
      </c>
      <c r="T12" s="203" t="s">
        <v>2941</v>
      </c>
      <c r="U12" s="203" t="s">
        <v>2943</v>
      </c>
      <c r="V12" s="203" t="s">
        <v>2933</v>
      </c>
      <c r="W12" s="203" t="s">
        <v>2744</v>
      </c>
      <c r="X12" s="203" t="s">
        <v>2765</v>
      </c>
      <c r="Y12" s="206" t="s">
        <v>2939</v>
      </c>
      <c r="Z12" s="20">
        <f>AVERAGE(B13:Y13)</f>
        <v>1.093333333</v>
      </c>
    </row>
    <row r="13">
      <c r="A13" s="217"/>
      <c r="B13" s="46">
        <v>1.26</v>
      </c>
      <c r="C13" s="23">
        <v>1.06</v>
      </c>
      <c r="D13" s="23">
        <v>0.96</v>
      </c>
      <c r="E13" s="25" t="s">
        <v>2970</v>
      </c>
      <c r="F13" s="22"/>
      <c r="G13" s="22"/>
      <c r="H13" s="22"/>
      <c r="I13" s="22"/>
      <c r="J13" s="22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9"/>
    </row>
    <row r="14">
      <c r="A14" s="5" t="s">
        <v>8</v>
      </c>
      <c r="B14" s="199"/>
      <c r="C14" s="201"/>
      <c r="D14" s="201"/>
      <c r="E14" s="201"/>
      <c r="F14" s="201"/>
      <c r="G14" s="201"/>
      <c r="H14" s="204"/>
      <c r="I14" s="204"/>
      <c r="J14" s="204"/>
      <c r="K14" s="204"/>
      <c r="L14" s="201"/>
      <c r="M14" s="204"/>
      <c r="N14" s="204"/>
      <c r="O14" s="201"/>
      <c r="P14" s="201"/>
      <c r="Q14" s="204"/>
      <c r="R14" s="204"/>
      <c r="S14" s="204"/>
      <c r="T14" s="204"/>
      <c r="U14" s="201"/>
      <c r="V14" s="204"/>
      <c r="W14" s="204"/>
      <c r="X14" s="204"/>
      <c r="Y14" s="218"/>
      <c r="Z14" s="11"/>
      <c r="AA14" s="13"/>
    </row>
    <row r="15">
      <c r="A15" s="217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63"/>
    </row>
    <row r="16">
      <c r="A16" s="3" t="s">
        <v>2343</v>
      </c>
      <c r="B16" s="199"/>
      <c r="C16" s="201"/>
      <c r="D16" s="201"/>
      <c r="E16" s="201"/>
      <c r="F16" s="201"/>
      <c r="G16" s="201"/>
      <c r="H16" s="204"/>
      <c r="I16" s="204"/>
      <c r="J16" s="204"/>
      <c r="K16" s="204"/>
      <c r="L16" s="201"/>
      <c r="M16" s="204"/>
      <c r="N16" s="204"/>
      <c r="O16" s="201"/>
      <c r="P16" s="201"/>
      <c r="Q16" s="204"/>
      <c r="R16" s="204"/>
      <c r="S16" s="204"/>
      <c r="T16" s="204"/>
      <c r="U16" s="201"/>
      <c r="V16" s="204"/>
      <c r="W16" s="204"/>
      <c r="X16" s="204"/>
      <c r="Y16" s="218"/>
      <c r="Z16" s="11"/>
    </row>
    <row r="17">
      <c r="A17" s="210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63"/>
    </row>
    <row r="18">
      <c r="A18" s="6" t="s">
        <v>10</v>
      </c>
      <c r="B18" s="199"/>
      <c r="C18" s="201"/>
      <c r="D18" s="201"/>
      <c r="E18" s="201"/>
      <c r="F18" s="201"/>
      <c r="G18" s="201"/>
      <c r="H18" s="204"/>
      <c r="I18" s="204"/>
      <c r="J18" s="204"/>
      <c r="K18" s="204"/>
      <c r="L18" s="201"/>
      <c r="M18" s="204"/>
      <c r="N18" s="204"/>
      <c r="O18" s="201"/>
      <c r="P18" s="201"/>
      <c r="Q18" s="204"/>
      <c r="R18" s="204"/>
      <c r="S18" s="204"/>
      <c r="T18" s="204"/>
      <c r="U18" s="201"/>
      <c r="V18" s="204"/>
      <c r="W18" s="204"/>
      <c r="X18" s="204"/>
      <c r="Y18" s="218"/>
      <c r="Z18" s="11"/>
    </row>
    <row r="19">
      <c r="A19" s="219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63"/>
    </row>
    <row r="20">
      <c r="A20" s="6" t="s">
        <v>11</v>
      </c>
      <c r="B20" s="213" t="s">
        <v>2496</v>
      </c>
      <c r="C20" s="203" t="s">
        <v>2638</v>
      </c>
      <c r="D20" s="203" t="s">
        <v>2746</v>
      </c>
      <c r="E20" s="203" t="s">
        <v>2833</v>
      </c>
      <c r="F20" s="203" t="s">
        <v>2473</v>
      </c>
      <c r="G20" s="203" t="s">
        <v>2925</v>
      </c>
      <c r="H20" s="204"/>
      <c r="I20" s="204"/>
      <c r="J20" s="204"/>
      <c r="K20" s="204"/>
      <c r="L20" s="201"/>
      <c r="M20" s="204"/>
      <c r="N20" s="203" t="s">
        <v>3048</v>
      </c>
      <c r="O20" s="203" t="s">
        <v>3049</v>
      </c>
      <c r="P20" s="203" t="s">
        <v>3050</v>
      </c>
      <c r="Q20" s="203" t="s">
        <v>3051</v>
      </c>
      <c r="R20" s="203" t="s">
        <v>3052</v>
      </c>
      <c r="S20" s="203" t="s">
        <v>3053</v>
      </c>
      <c r="T20" s="203" t="s">
        <v>3052</v>
      </c>
      <c r="U20" s="203" t="s">
        <v>2509</v>
      </c>
      <c r="V20" s="203" t="s">
        <v>3054</v>
      </c>
      <c r="W20" s="203" t="s">
        <v>3055</v>
      </c>
      <c r="X20" s="203" t="s">
        <v>2496</v>
      </c>
      <c r="Y20" s="206" t="s">
        <v>3056</v>
      </c>
      <c r="Z20" s="20">
        <f>AVERAGE(B21:Y21)</f>
        <v>1.31</v>
      </c>
      <c r="AA20" s="13">
        <f>AVERAGE(B20:Y25)</f>
        <v>0.9961538462</v>
      </c>
    </row>
    <row r="21">
      <c r="A21" s="219"/>
      <c r="B21" s="46">
        <v>1.1</v>
      </c>
      <c r="C21" s="23">
        <v>1.44</v>
      </c>
      <c r="D21" s="23">
        <v>1.23</v>
      </c>
      <c r="E21" s="23">
        <v>1.47</v>
      </c>
      <c r="F21" s="23"/>
      <c r="G21" s="38"/>
      <c r="H21" s="22"/>
      <c r="I21" s="22"/>
      <c r="J21" s="22"/>
      <c r="K21" s="22"/>
      <c r="L21" s="22"/>
      <c r="M21" s="22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>
      <c r="A22" s="3" t="s">
        <v>2344</v>
      </c>
      <c r="B22" s="213" t="s">
        <v>2498</v>
      </c>
      <c r="C22" s="203" t="s">
        <v>2641</v>
      </c>
      <c r="D22" s="203" t="s">
        <v>2748</v>
      </c>
      <c r="E22" s="203" t="s">
        <v>2498</v>
      </c>
      <c r="F22" s="203" t="s">
        <v>2886</v>
      </c>
      <c r="G22" s="203" t="s">
        <v>2748</v>
      </c>
      <c r="H22" s="204"/>
      <c r="I22" s="204"/>
      <c r="J22" s="204"/>
      <c r="K22" s="204"/>
      <c r="L22" s="201"/>
      <c r="M22" s="204"/>
      <c r="N22" s="203" t="s">
        <v>239</v>
      </c>
      <c r="O22" s="203" t="s">
        <v>3057</v>
      </c>
      <c r="P22" s="203" t="s">
        <v>2653</v>
      </c>
      <c r="Q22" s="203" t="s">
        <v>2653</v>
      </c>
      <c r="R22" s="203" t="s">
        <v>3058</v>
      </c>
      <c r="S22" s="203" t="s">
        <v>2659</v>
      </c>
      <c r="T22" s="203" t="s">
        <v>239</v>
      </c>
      <c r="U22" s="203" t="s">
        <v>3059</v>
      </c>
      <c r="V22" s="203" t="s">
        <v>2653</v>
      </c>
      <c r="W22" s="203" t="s">
        <v>2653</v>
      </c>
      <c r="X22" s="203" t="s">
        <v>3060</v>
      </c>
      <c r="Y22" s="206" t="s">
        <v>2659</v>
      </c>
      <c r="Z22" s="20">
        <f>AVERAGE(B23:Y23)</f>
        <v>0.8</v>
      </c>
    </row>
    <row r="23">
      <c r="A23" s="210"/>
      <c r="B23" s="46">
        <v>0.89</v>
      </c>
      <c r="C23" s="23">
        <v>1.09</v>
      </c>
      <c r="D23" s="23">
        <v>0.77</v>
      </c>
      <c r="E23" s="23">
        <v>0.78</v>
      </c>
      <c r="F23" s="23"/>
      <c r="G23" s="23"/>
      <c r="H23" s="22"/>
      <c r="I23" s="22"/>
      <c r="J23" s="22"/>
      <c r="K23" s="22"/>
      <c r="L23" s="22"/>
      <c r="M23" s="22"/>
      <c r="N23" s="38"/>
      <c r="O23" s="38"/>
      <c r="P23" s="23">
        <v>0.47</v>
      </c>
      <c r="Q23" s="38"/>
      <c r="R23" s="38"/>
      <c r="S23" s="38"/>
      <c r="T23" s="38"/>
      <c r="U23" s="38"/>
      <c r="V23" s="38"/>
      <c r="W23" s="38"/>
      <c r="X23" s="38"/>
      <c r="Y23" s="39"/>
    </row>
    <row r="24">
      <c r="A24" s="2" t="s">
        <v>13</v>
      </c>
      <c r="B24" s="213" t="s">
        <v>2501</v>
      </c>
      <c r="C24" s="203" t="s">
        <v>2643</v>
      </c>
      <c r="D24" s="203" t="s">
        <v>2750</v>
      </c>
      <c r="E24" s="203" t="s">
        <v>3061</v>
      </c>
      <c r="F24" s="203" t="s">
        <v>2722</v>
      </c>
      <c r="G24" s="203" t="s">
        <v>2928</v>
      </c>
      <c r="H24" s="204"/>
      <c r="I24" s="204"/>
      <c r="J24" s="204"/>
      <c r="K24" s="204"/>
      <c r="L24" s="204"/>
      <c r="M24" s="204"/>
      <c r="N24" s="203" t="s">
        <v>3062</v>
      </c>
      <c r="O24" s="203" t="s">
        <v>3063</v>
      </c>
      <c r="P24" s="203" t="s">
        <v>2501</v>
      </c>
      <c r="Q24" s="203" t="s">
        <v>3064</v>
      </c>
      <c r="R24" s="203" t="s">
        <v>3065</v>
      </c>
      <c r="S24" s="203" t="s">
        <v>3066</v>
      </c>
      <c r="T24" s="203" t="s">
        <v>3067</v>
      </c>
      <c r="U24" s="203" t="s">
        <v>3068</v>
      </c>
      <c r="V24" s="203" t="s">
        <v>3064</v>
      </c>
      <c r="W24" s="203" t="s">
        <v>3069</v>
      </c>
      <c r="X24" s="203" t="s">
        <v>3070</v>
      </c>
      <c r="Y24" s="206" t="s">
        <v>3063</v>
      </c>
      <c r="Z24" s="20">
        <f>AVERAGE(B25:Y25)</f>
        <v>0.9275</v>
      </c>
    </row>
    <row r="25">
      <c r="A25" s="209"/>
      <c r="B25" s="46">
        <v>0.89</v>
      </c>
      <c r="C25" s="23">
        <v>1.12</v>
      </c>
      <c r="D25" s="23">
        <v>1.0</v>
      </c>
      <c r="E25" s="23">
        <v>0.7</v>
      </c>
      <c r="F25" s="23"/>
      <c r="G25" s="38"/>
      <c r="H25" s="22"/>
      <c r="I25" s="22"/>
      <c r="J25" s="22"/>
      <c r="K25" s="22"/>
      <c r="L25" s="22"/>
      <c r="M25" s="22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>
      <c r="A26" s="2" t="s">
        <v>14</v>
      </c>
      <c r="B26" s="213" t="s">
        <v>2502</v>
      </c>
      <c r="C26" s="203" t="s">
        <v>2647</v>
      </c>
      <c r="D26" s="203" t="s">
        <v>2752</v>
      </c>
      <c r="E26" s="203" t="s">
        <v>2835</v>
      </c>
      <c r="F26" s="203" t="s">
        <v>2887</v>
      </c>
      <c r="G26" s="203" t="s">
        <v>2930</v>
      </c>
      <c r="H26" s="201"/>
      <c r="I26" s="201"/>
      <c r="J26" s="201"/>
      <c r="K26" s="203" t="s">
        <v>3048</v>
      </c>
      <c r="L26" s="203" t="s">
        <v>239</v>
      </c>
      <c r="M26" s="203" t="s">
        <v>3062</v>
      </c>
      <c r="N26" s="204"/>
      <c r="O26" s="201"/>
      <c r="P26" s="201"/>
      <c r="Q26" s="203" t="s">
        <v>3071</v>
      </c>
      <c r="R26" s="203" t="s">
        <v>3058</v>
      </c>
      <c r="S26" s="203" t="s">
        <v>3072</v>
      </c>
      <c r="T26" s="203" t="s">
        <v>2508</v>
      </c>
      <c r="U26" s="203" t="s">
        <v>2509</v>
      </c>
      <c r="V26" s="203" t="s">
        <v>2935</v>
      </c>
      <c r="W26" s="203" t="s">
        <v>3073</v>
      </c>
      <c r="X26" s="203" t="s">
        <v>3074</v>
      </c>
      <c r="Y26" s="206" t="s">
        <v>3075</v>
      </c>
      <c r="Z26" s="20">
        <f>AVERAGE(B27:Y27)</f>
        <v>1.005</v>
      </c>
      <c r="AA26" s="13">
        <f>AVERAGE(B26:Y31)</f>
        <v>0.91625</v>
      </c>
    </row>
    <row r="27">
      <c r="A27" s="209"/>
      <c r="B27" s="46">
        <v>1.19</v>
      </c>
      <c r="C27" s="23">
        <v>0.82</v>
      </c>
      <c r="D27" s="23"/>
      <c r="E27" s="23"/>
      <c r="F27" s="23"/>
      <c r="G27" s="23"/>
      <c r="H27" s="22"/>
      <c r="I27" s="22"/>
      <c r="J27" s="22"/>
      <c r="K27" s="23"/>
      <c r="L27" s="23"/>
      <c r="M27" s="38"/>
      <c r="N27" s="22"/>
      <c r="O27" s="22"/>
      <c r="P27" s="22"/>
      <c r="Q27" s="38"/>
      <c r="R27" s="38"/>
      <c r="S27" s="38"/>
      <c r="T27" s="38"/>
      <c r="U27" s="38"/>
      <c r="V27" s="38"/>
      <c r="W27" s="38"/>
      <c r="X27" s="38"/>
      <c r="Y27" s="39"/>
    </row>
    <row r="28">
      <c r="A28" s="7" t="s">
        <v>15</v>
      </c>
      <c r="B28" s="213" t="s">
        <v>2504</v>
      </c>
      <c r="C28" s="203" t="s">
        <v>2649</v>
      </c>
      <c r="D28" s="203" t="s">
        <v>2748</v>
      </c>
      <c r="E28" s="203" t="s">
        <v>2836</v>
      </c>
      <c r="F28" s="203" t="s">
        <v>2888</v>
      </c>
      <c r="G28" s="203" t="s">
        <v>2748</v>
      </c>
      <c r="H28" s="201"/>
      <c r="I28" s="201"/>
      <c r="J28" s="201"/>
      <c r="K28" s="203" t="s">
        <v>3049</v>
      </c>
      <c r="L28" s="203" t="s">
        <v>3057</v>
      </c>
      <c r="M28" s="203" t="s">
        <v>3063</v>
      </c>
      <c r="N28" s="204"/>
      <c r="O28" s="204"/>
      <c r="P28" s="204"/>
      <c r="Q28" s="203" t="s">
        <v>2504</v>
      </c>
      <c r="R28" s="203" t="s">
        <v>3076</v>
      </c>
      <c r="S28" s="203" t="s">
        <v>3077</v>
      </c>
      <c r="T28" s="203" t="s">
        <v>2846</v>
      </c>
      <c r="U28" s="203" t="s">
        <v>3078</v>
      </c>
      <c r="V28" s="203" t="s">
        <v>2748</v>
      </c>
      <c r="W28" s="203" t="s">
        <v>3079</v>
      </c>
      <c r="X28" s="203" t="s">
        <v>2504</v>
      </c>
      <c r="Y28" s="206" t="s">
        <v>3080</v>
      </c>
      <c r="Z28" s="20">
        <f>AVERAGE(B29:Y29)</f>
        <v>0.99</v>
      </c>
    </row>
    <row r="29">
      <c r="A29" s="220"/>
      <c r="B29" s="46">
        <v>0.83</v>
      </c>
      <c r="C29" s="23">
        <v>1.34</v>
      </c>
      <c r="D29" s="23">
        <v>0.8</v>
      </c>
      <c r="E29" s="23"/>
      <c r="F29" s="23"/>
      <c r="G29" s="23"/>
      <c r="H29" s="22"/>
      <c r="I29" s="22"/>
      <c r="J29" s="22"/>
      <c r="K29" s="23"/>
      <c r="L29" s="38"/>
      <c r="M29" s="23"/>
      <c r="N29" s="22"/>
      <c r="O29" s="22"/>
      <c r="P29" s="22"/>
      <c r="Q29" s="38"/>
      <c r="R29" s="38"/>
      <c r="S29" s="38"/>
      <c r="T29" s="38"/>
      <c r="U29" s="38"/>
      <c r="V29" s="38"/>
      <c r="W29" s="38"/>
      <c r="X29" s="38"/>
      <c r="Y29" s="39"/>
    </row>
    <row r="30">
      <c r="A30" s="4" t="s">
        <v>16</v>
      </c>
      <c r="B30" s="213" t="s">
        <v>2505</v>
      </c>
      <c r="C30" s="203" t="s">
        <v>2651</v>
      </c>
      <c r="D30" s="203" t="s">
        <v>2754</v>
      </c>
      <c r="E30" s="203" t="s">
        <v>2837</v>
      </c>
      <c r="F30" s="203" t="s">
        <v>2889</v>
      </c>
      <c r="G30" s="203" t="s">
        <v>2933</v>
      </c>
      <c r="H30" s="201"/>
      <c r="I30" s="201"/>
      <c r="J30" s="201"/>
      <c r="K30" s="203" t="s">
        <v>3050</v>
      </c>
      <c r="L30" s="203" t="s">
        <v>2653</v>
      </c>
      <c r="M30" s="203" t="s">
        <v>2501</v>
      </c>
      <c r="N30" s="204"/>
      <c r="O30" s="204"/>
      <c r="P30" s="204"/>
      <c r="Q30" s="203" t="s">
        <v>3081</v>
      </c>
      <c r="R30" s="203" t="s">
        <v>3082</v>
      </c>
      <c r="S30" s="203" t="s">
        <v>3083</v>
      </c>
      <c r="T30" s="203" t="s">
        <v>3084</v>
      </c>
      <c r="U30" s="203" t="s">
        <v>3085</v>
      </c>
      <c r="V30" s="203" t="s">
        <v>2653</v>
      </c>
      <c r="W30" s="203" t="s">
        <v>3086</v>
      </c>
      <c r="X30" s="203" t="s">
        <v>2665</v>
      </c>
      <c r="Y30" s="206" t="s">
        <v>3087</v>
      </c>
      <c r="Z30" s="20">
        <f>AVERAGE(B31:Y31)</f>
        <v>0.7833333333</v>
      </c>
    </row>
    <row r="31">
      <c r="A31" s="212"/>
      <c r="B31" s="46">
        <v>1.29</v>
      </c>
      <c r="C31" s="23">
        <v>0.66</v>
      </c>
      <c r="D31" s="23"/>
      <c r="E31" s="23"/>
      <c r="F31" s="23"/>
      <c r="G31" s="23"/>
      <c r="H31" s="22"/>
      <c r="I31" s="22"/>
      <c r="J31" s="22"/>
      <c r="K31" s="23"/>
      <c r="L31" s="23">
        <v>0.4</v>
      </c>
      <c r="M31" s="23"/>
      <c r="N31" s="22"/>
      <c r="O31" s="22"/>
      <c r="P31" s="22"/>
      <c r="Q31" s="38"/>
      <c r="R31" s="38"/>
      <c r="S31" s="38"/>
      <c r="T31" s="38"/>
      <c r="U31" s="38"/>
      <c r="V31" s="38"/>
      <c r="W31" s="38"/>
      <c r="X31" s="38"/>
      <c r="Y31" s="39"/>
    </row>
    <row r="32">
      <c r="A32" s="4" t="s">
        <v>17</v>
      </c>
      <c r="B32" s="213" t="s">
        <v>2506</v>
      </c>
      <c r="C32" s="203" t="s">
        <v>2653</v>
      </c>
      <c r="D32" s="203" t="s">
        <v>2750</v>
      </c>
      <c r="E32" s="203" t="s">
        <v>2838</v>
      </c>
      <c r="F32" s="203" t="s">
        <v>2653</v>
      </c>
      <c r="G32" s="203" t="s">
        <v>2935</v>
      </c>
      <c r="H32" s="201"/>
      <c r="I32" s="201"/>
      <c r="J32" s="201"/>
      <c r="K32" s="203" t="s">
        <v>3051</v>
      </c>
      <c r="L32" s="203" t="s">
        <v>2653</v>
      </c>
      <c r="M32" s="203" t="s">
        <v>3064</v>
      </c>
      <c r="N32" s="203" t="s">
        <v>3071</v>
      </c>
      <c r="O32" s="203" t="s">
        <v>2504</v>
      </c>
      <c r="P32" s="203" t="s">
        <v>3081</v>
      </c>
      <c r="Q32" s="204"/>
      <c r="R32" s="204"/>
      <c r="S32" s="204"/>
      <c r="T32" s="203" t="s">
        <v>3088</v>
      </c>
      <c r="U32" s="203" t="s">
        <v>3059</v>
      </c>
      <c r="V32" s="203" t="s">
        <v>2761</v>
      </c>
      <c r="W32" s="203" t="s">
        <v>3064</v>
      </c>
      <c r="X32" s="203" t="s">
        <v>3050</v>
      </c>
      <c r="Y32" s="206" t="s">
        <v>2843</v>
      </c>
      <c r="Z32" s="20">
        <f>AVERAGE(B33:Y33)</f>
        <v>0.795</v>
      </c>
      <c r="AA32" s="13">
        <f>AVERAGE(B32:Y37)</f>
        <v>1.013333333</v>
      </c>
    </row>
    <row r="33">
      <c r="A33" s="212"/>
      <c r="B33" s="46">
        <v>1.01</v>
      </c>
      <c r="C33" s="23">
        <v>0.58</v>
      </c>
      <c r="D33" s="23"/>
      <c r="E33" s="23"/>
      <c r="F33" s="23"/>
      <c r="G33" s="38"/>
      <c r="H33" s="22"/>
      <c r="I33" s="22"/>
      <c r="J33" s="22"/>
      <c r="K33" s="38"/>
      <c r="L33" s="23"/>
      <c r="M33" s="23"/>
      <c r="N33" s="23"/>
      <c r="O33" s="23"/>
      <c r="P33" s="38"/>
      <c r="Q33" s="22"/>
      <c r="R33" s="22"/>
      <c r="S33" s="22"/>
      <c r="T33" s="38"/>
      <c r="U33" s="38"/>
      <c r="V33" s="38"/>
      <c r="W33" s="38"/>
      <c r="X33" s="38"/>
      <c r="Y33" s="39"/>
    </row>
    <row r="34">
      <c r="A34" s="7" t="s">
        <v>18</v>
      </c>
      <c r="B34" s="213" t="s">
        <v>2473</v>
      </c>
      <c r="C34" s="203" t="s">
        <v>2657</v>
      </c>
      <c r="D34" s="203" t="s">
        <v>2755</v>
      </c>
      <c r="E34" s="203" t="s">
        <v>2839</v>
      </c>
      <c r="F34" s="203" t="s">
        <v>2890</v>
      </c>
      <c r="G34" s="203" t="s">
        <v>2937</v>
      </c>
      <c r="H34" s="201"/>
      <c r="I34" s="201"/>
      <c r="J34" s="201"/>
      <c r="K34" s="203" t="s">
        <v>3052</v>
      </c>
      <c r="L34" s="203" t="s">
        <v>3058</v>
      </c>
      <c r="M34" s="203" t="s">
        <v>3065</v>
      </c>
      <c r="N34" s="203" t="s">
        <v>3058</v>
      </c>
      <c r="O34" s="203" t="s">
        <v>3076</v>
      </c>
      <c r="P34" s="203" t="s">
        <v>3082</v>
      </c>
      <c r="Q34" s="204"/>
      <c r="R34" s="204"/>
      <c r="S34" s="204"/>
      <c r="T34" s="203" t="s">
        <v>3089</v>
      </c>
      <c r="U34" s="203" t="s">
        <v>3090</v>
      </c>
      <c r="V34" s="203" t="s">
        <v>2928</v>
      </c>
      <c r="W34" s="203" t="s">
        <v>2473</v>
      </c>
      <c r="X34" s="203" t="s">
        <v>2842</v>
      </c>
      <c r="Y34" s="206" t="s">
        <v>2937</v>
      </c>
      <c r="Z34" s="20">
        <f>AVERAGE(B35:Y35)</f>
        <v>1.19</v>
      </c>
    </row>
    <row r="35">
      <c r="A35" s="220"/>
      <c r="B35" s="46">
        <v>0.97</v>
      </c>
      <c r="C35" s="23">
        <v>1.41</v>
      </c>
      <c r="D35" s="38"/>
      <c r="E35" s="23"/>
      <c r="F35" s="23"/>
      <c r="G35" s="23"/>
      <c r="H35" s="22"/>
      <c r="I35" s="22"/>
      <c r="J35" s="22"/>
      <c r="K35" s="38"/>
      <c r="L35" s="38"/>
      <c r="M35" s="38"/>
      <c r="N35" s="23"/>
      <c r="O35" s="23"/>
      <c r="P35" s="38"/>
      <c r="Q35" s="22"/>
      <c r="R35" s="22"/>
      <c r="S35" s="22"/>
      <c r="T35" s="38"/>
      <c r="U35" s="38"/>
      <c r="V35" s="38"/>
      <c r="W35" s="38"/>
      <c r="X35" s="38"/>
      <c r="Y35" s="39"/>
    </row>
    <row r="36">
      <c r="A36" s="5" t="s">
        <v>19</v>
      </c>
      <c r="B36" s="213" t="s">
        <v>2507</v>
      </c>
      <c r="C36" s="203" t="s">
        <v>2659</v>
      </c>
      <c r="D36" s="203" t="s">
        <v>2757</v>
      </c>
      <c r="E36" s="203" t="s">
        <v>2840</v>
      </c>
      <c r="F36" s="203" t="s">
        <v>2659</v>
      </c>
      <c r="G36" s="203" t="s">
        <v>2939</v>
      </c>
      <c r="H36" s="201"/>
      <c r="I36" s="201"/>
      <c r="J36" s="201"/>
      <c r="K36" s="203" t="s">
        <v>3053</v>
      </c>
      <c r="L36" s="203" t="s">
        <v>2659</v>
      </c>
      <c r="M36" s="203" t="s">
        <v>3066</v>
      </c>
      <c r="N36" s="203" t="s">
        <v>3072</v>
      </c>
      <c r="O36" s="203" t="s">
        <v>3077</v>
      </c>
      <c r="P36" s="203" t="s">
        <v>3083</v>
      </c>
      <c r="Q36" s="204"/>
      <c r="R36" s="204"/>
      <c r="S36" s="204"/>
      <c r="T36" s="203" t="s">
        <v>3091</v>
      </c>
      <c r="U36" s="203" t="s">
        <v>2842</v>
      </c>
      <c r="V36" s="203" t="s">
        <v>2653</v>
      </c>
      <c r="W36" s="203" t="s">
        <v>3083</v>
      </c>
      <c r="X36" s="203" t="s">
        <v>2765</v>
      </c>
      <c r="Y36" s="206" t="s">
        <v>3092</v>
      </c>
      <c r="Z36" s="20">
        <f>AVERAGE(B37:Y37)</f>
        <v>1.055</v>
      </c>
    </row>
    <row r="37">
      <c r="A37" s="217"/>
      <c r="B37" s="46">
        <v>1.19</v>
      </c>
      <c r="C37" s="23">
        <v>0.92</v>
      </c>
      <c r="D37" s="38"/>
      <c r="E37" s="38"/>
      <c r="F37" s="23"/>
      <c r="G37" s="23"/>
      <c r="H37" s="22"/>
      <c r="I37" s="22"/>
      <c r="J37" s="22"/>
      <c r="K37" s="23"/>
      <c r="L37" s="23"/>
      <c r="M37" s="23"/>
      <c r="N37" s="23"/>
      <c r="O37" s="23"/>
      <c r="P37" s="38"/>
      <c r="Q37" s="22"/>
      <c r="R37" s="22"/>
      <c r="S37" s="22"/>
      <c r="T37" s="38"/>
      <c r="U37" s="38"/>
      <c r="V37" s="38"/>
      <c r="W37" s="38"/>
      <c r="X37" s="38"/>
      <c r="Y37" s="39"/>
    </row>
    <row r="38">
      <c r="A38" s="5" t="s">
        <v>20</v>
      </c>
      <c r="B38" s="213" t="s">
        <v>2508</v>
      </c>
      <c r="C38" s="203" t="s">
        <v>239</v>
      </c>
      <c r="D38" s="203" t="s">
        <v>2759</v>
      </c>
      <c r="E38" s="203" t="s">
        <v>2841</v>
      </c>
      <c r="F38" s="203" t="s">
        <v>239</v>
      </c>
      <c r="G38" s="203" t="s">
        <v>2941</v>
      </c>
      <c r="H38" s="201"/>
      <c r="I38" s="201"/>
      <c r="J38" s="201"/>
      <c r="K38" s="203" t="s">
        <v>3052</v>
      </c>
      <c r="L38" s="203" t="s">
        <v>239</v>
      </c>
      <c r="M38" s="203" t="s">
        <v>3067</v>
      </c>
      <c r="N38" s="203" t="s">
        <v>2508</v>
      </c>
      <c r="O38" s="203" t="s">
        <v>2846</v>
      </c>
      <c r="P38" s="203" t="s">
        <v>3084</v>
      </c>
      <c r="Q38" s="203" t="s">
        <v>3088</v>
      </c>
      <c r="R38" s="203" t="s">
        <v>3089</v>
      </c>
      <c r="S38" s="203" t="s">
        <v>3091</v>
      </c>
      <c r="T38" s="204"/>
      <c r="U38" s="204"/>
      <c r="V38" s="204"/>
      <c r="W38" s="203" t="s">
        <v>3088</v>
      </c>
      <c r="X38" s="203" t="s">
        <v>3093</v>
      </c>
      <c r="Y38" s="206" t="s">
        <v>3094</v>
      </c>
      <c r="Z38" s="20">
        <f>AVERAGE(B39:Y39)</f>
        <v>1.05</v>
      </c>
      <c r="AA38" s="13">
        <f>AVERAGE(B38:Y43)</f>
        <v>0.98</v>
      </c>
    </row>
    <row r="39">
      <c r="A39" s="217"/>
      <c r="B39" s="46">
        <v>1.23</v>
      </c>
      <c r="C39" s="23">
        <v>0.87</v>
      </c>
      <c r="D39" s="38"/>
      <c r="E39" s="23"/>
      <c r="F39" s="23"/>
      <c r="G39" s="23"/>
      <c r="H39" s="22"/>
      <c r="I39" s="22"/>
      <c r="J39" s="22"/>
      <c r="K39" s="23"/>
      <c r="L39" s="23"/>
      <c r="M39" s="23"/>
      <c r="N39" s="38"/>
      <c r="O39" s="23"/>
      <c r="P39" s="38"/>
      <c r="Q39" s="23"/>
      <c r="R39" s="38"/>
      <c r="S39" s="23"/>
      <c r="T39" s="22"/>
      <c r="U39" s="22"/>
      <c r="V39" s="22"/>
      <c r="W39" s="38"/>
      <c r="X39" s="38"/>
      <c r="Y39" s="39"/>
    </row>
    <row r="40">
      <c r="A40" s="7" t="s">
        <v>21</v>
      </c>
      <c r="B40" s="213" t="s">
        <v>2509</v>
      </c>
      <c r="C40" s="203" t="s">
        <v>2661</v>
      </c>
      <c r="D40" s="203" t="s">
        <v>2760</v>
      </c>
      <c r="E40" s="203" t="s">
        <v>2842</v>
      </c>
      <c r="F40" s="203" t="s">
        <v>2661</v>
      </c>
      <c r="G40" s="203" t="s">
        <v>2943</v>
      </c>
      <c r="H40" s="201"/>
      <c r="I40" s="201"/>
      <c r="J40" s="201"/>
      <c r="K40" s="203" t="s">
        <v>2509</v>
      </c>
      <c r="L40" s="203" t="s">
        <v>3059</v>
      </c>
      <c r="M40" s="203" t="s">
        <v>3068</v>
      </c>
      <c r="N40" s="203" t="s">
        <v>2509</v>
      </c>
      <c r="O40" s="203" t="s">
        <v>3078</v>
      </c>
      <c r="P40" s="203" t="s">
        <v>3085</v>
      </c>
      <c r="Q40" s="203" t="s">
        <v>3059</v>
      </c>
      <c r="R40" s="203" t="s">
        <v>3090</v>
      </c>
      <c r="S40" s="203" t="s">
        <v>2842</v>
      </c>
      <c r="T40" s="204"/>
      <c r="U40" s="204"/>
      <c r="V40" s="204"/>
      <c r="W40" s="203" t="s">
        <v>3095</v>
      </c>
      <c r="X40" s="203" t="s">
        <v>3096</v>
      </c>
      <c r="Y40" s="206" t="s">
        <v>3097</v>
      </c>
      <c r="Z40" s="20">
        <f>AVERAGE(B41:Y41)</f>
        <v>1.145</v>
      </c>
    </row>
    <row r="41">
      <c r="A41" s="220"/>
      <c r="B41" s="46">
        <v>1.02</v>
      </c>
      <c r="C41" s="23">
        <v>1.27</v>
      </c>
      <c r="D41" s="38"/>
      <c r="E41" s="23"/>
      <c r="F41" s="23"/>
      <c r="G41" s="38"/>
      <c r="H41" s="22"/>
      <c r="I41" s="22"/>
      <c r="J41" s="22"/>
      <c r="K41" s="23"/>
      <c r="L41" s="23"/>
      <c r="M41" s="38"/>
      <c r="N41" s="38"/>
      <c r="O41" s="38"/>
      <c r="P41" s="38"/>
      <c r="Q41" s="23"/>
      <c r="R41" s="23"/>
      <c r="S41" s="23"/>
      <c r="T41" s="22"/>
      <c r="U41" s="22"/>
      <c r="V41" s="22"/>
      <c r="W41" s="38"/>
      <c r="X41" s="38"/>
      <c r="Y41" s="39"/>
    </row>
    <row r="42">
      <c r="A42" s="6" t="s">
        <v>22</v>
      </c>
      <c r="B42" s="213" t="s">
        <v>2506</v>
      </c>
      <c r="C42" s="203" t="s">
        <v>2653</v>
      </c>
      <c r="D42" s="203" t="s">
        <v>2761</v>
      </c>
      <c r="E42" s="203" t="s">
        <v>2843</v>
      </c>
      <c r="F42" s="203" t="s">
        <v>2653</v>
      </c>
      <c r="G42" s="203" t="s">
        <v>2933</v>
      </c>
      <c r="H42" s="201"/>
      <c r="I42" s="201"/>
      <c r="J42" s="201"/>
      <c r="K42" s="203" t="s">
        <v>3054</v>
      </c>
      <c r="L42" s="203" t="s">
        <v>2653</v>
      </c>
      <c r="M42" s="203" t="s">
        <v>3064</v>
      </c>
      <c r="N42" s="203" t="s">
        <v>2935</v>
      </c>
      <c r="O42" s="203" t="s">
        <v>2748</v>
      </c>
      <c r="P42" s="203" t="s">
        <v>2653</v>
      </c>
      <c r="Q42" s="203" t="s">
        <v>2761</v>
      </c>
      <c r="R42" s="203" t="s">
        <v>2928</v>
      </c>
      <c r="S42" s="203" t="s">
        <v>2653</v>
      </c>
      <c r="T42" s="204"/>
      <c r="U42" s="204"/>
      <c r="V42" s="204"/>
      <c r="W42" s="203" t="s">
        <v>2754</v>
      </c>
      <c r="X42" s="203" t="s">
        <v>3098</v>
      </c>
      <c r="Y42" s="206" t="s">
        <v>2653</v>
      </c>
      <c r="Z42" s="20">
        <f>AVERAGE(B43:Y43)</f>
        <v>0.745</v>
      </c>
    </row>
    <row r="43">
      <c r="A43" s="219"/>
      <c r="B43" s="46">
        <v>0.91</v>
      </c>
      <c r="C43" s="23">
        <v>0.58</v>
      </c>
      <c r="D43" s="38"/>
      <c r="E43" s="23"/>
      <c r="F43" s="23"/>
      <c r="G43" s="23"/>
      <c r="H43" s="22"/>
      <c r="I43" s="22"/>
      <c r="J43" s="22"/>
      <c r="K43" s="23"/>
      <c r="L43" s="23"/>
      <c r="M43" s="23"/>
      <c r="N43" s="23"/>
      <c r="O43" s="23"/>
      <c r="P43" s="23"/>
      <c r="Q43" s="38"/>
      <c r="R43" s="23"/>
      <c r="S43" s="23"/>
      <c r="T43" s="22"/>
      <c r="U43" s="22"/>
      <c r="V43" s="22"/>
      <c r="W43" s="38"/>
      <c r="X43" s="38"/>
      <c r="Y43" s="39"/>
    </row>
    <row r="44">
      <c r="A44" s="6" t="s">
        <v>23</v>
      </c>
      <c r="B44" s="213" t="s">
        <v>2501</v>
      </c>
      <c r="C44" s="203" t="s">
        <v>2651</v>
      </c>
      <c r="D44" s="203" t="s">
        <v>2763</v>
      </c>
      <c r="E44" s="203" t="s">
        <v>2844</v>
      </c>
      <c r="F44" s="203" t="s">
        <v>2889</v>
      </c>
      <c r="G44" s="203" t="s">
        <v>2744</v>
      </c>
      <c r="H44" s="201"/>
      <c r="I44" s="201"/>
      <c r="J44" s="201"/>
      <c r="K44" s="203" t="s">
        <v>3055</v>
      </c>
      <c r="L44" s="203" t="s">
        <v>2653</v>
      </c>
      <c r="M44" s="203" t="s">
        <v>3069</v>
      </c>
      <c r="N44" s="203" t="s">
        <v>3073</v>
      </c>
      <c r="O44" s="203" t="s">
        <v>3079</v>
      </c>
      <c r="P44" s="203" t="s">
        <v>3086</v>
      </c>
      <c r="Q44" s="203" t="s">
        <v>3064</v>
      </c>
      <c r="R44" s="203" t="s">
        <v>2473</v>
      </c>
      <c r="S44" s="203" t="s">
        <v>3083</v>
      </c>
      <c r="T44" s="203" t="s">
        <v>3088</v>
      </c>
      <c r="U44" s="203" t="s">
        <v>3095</v>
      </c>
      <c r="V44" s="203" t="s">
        <v>2754</v>
      </c>
      <c r="W44" s="201"/>
      <c r="X44" s="204"/>
      <c r="Y44" s="218"/>
      <c r="Z44" s="20">
        <f>AVERAGE(B45:Y45)</f>
        <v>0.805</v>
      </c>
      <c r="AA44" s="13">
        <f>AVERAGE(B44:Y49)</f>
        <v>0.9616666667</v>
      </c>
    </row>
    <row r="45">
      <c r="A45" s="219"/>
      <c r="B45" s="46">
        <v>0.89</v>
      </c>
      <c r="C45" s="23">
        <v>0.72</v>
      </c>
      <c r="D45" s="38"/>
      <c r="E45" s="23"/>
      <c r="F45" s="23"/>
      <c r="G45" s="23"/>
      <c r="H45" s="22"/>
      <c r="I45" s="22"/>
      <c r="J45" s="22"/>
      <c r="K45" s="38"/>
      <c r="L45" s="23"/>
      <c r="M45" s="38"/>
      <c r="N45" s="23"/>
      <c r="O45" s="23"/>
      <c r="P45" s="23"/>
      <c r="Q45" s="23"/>
      <c r="R45" s="23"/>
      <c r="S45" s="38"/>
      <c r="T45" s="23"/>
      <c r="U45" s="38"/>
      <c r="V45" s="38"/>
      <c r="W45" s="22"/>
      <c r="X45" s="22"/>
      <c r="Y45" s="63"/>
    </row>
    <row r="46">
      <c r="A46" s="7" t="s">
        <v>522</v>
      </c>
      <c r="B46" s="213" t="s">
        <v>2511</v>
      </c>
      <c r="C46" s="203" t="s">
        <v>2665</v>
      </c>
      <c r="D46" s="203" t="s">
        <v>2765</v>
      </c>
      <c r="E46" s="203" t="s">
        <v>2846</v>
      </c>
      <c r="F46" s="203" t="s">
        <v>2665</v>
      </c>
      <c r="G46" s="203" t="s">
        <v>2765</v>
      </c>
      <c r="H46" s="201"/>
      <c r="I46" s="201"/>
      <c r="J46" s="201"/>
      <c r="K46" s="203" t="s">
        <v>2496</v>
      </c>
      <c r="L46" s="203" t="s">
        <v>3060</v>
      </c>
      <c r="M46" s="203" t="s">
        <v>3070</v>
      </c>
      <c r="N46" s="203" t="s">
        <v>3074</v>
      </c>
      <c r="O46" s="203" t="s">
        <v>2504</v>
      </c>
      <c r="P46" s="203" t="s">
        <v>2665</v>
      </c>
      <c r="Q46" s="203" t="s">
        <v>3050</v>
      </c>
      <c r="R46" s="203" t="s">
        <v>2842</v>
      </c>
      <c r="S46" s="203" t="s">
        <v>2765</v>
      </c>
      <c r="T46" s="203" t="s">
        <v>3093</v>
      </c>
      <c r="U46" s="203" t="s">
        <v>3096</v>
      </c>
      <c r="V46" s="203" t="s">
        <v>3098</v>
      </c>
      <c r="W46" s="201"/>
      <c r="X46" s="204"/>
      <c r="Y46" s="218"/>
      <c r="Z46" s="20">
        <f>AVERAGE(B47:Y47)</f>
        <v>1.08</v>
      </c>
    </row>
    <row r="47">
      <c r="A47" s="220"/>
      <c r="B47" s="46">
        <v>1.1</v>
      </c>
      <c r="C47" s="23">
        <v>1.06</v>
      </c>
      <c r="D47" s="23"/>
      <c r="E47" s="38"/>
      <c r="F47" s="23"/>
      <c r="G47" s="23"/>
      <c r="H47" s="22"/>
      <c r="I47" s="22"/>
      <c r="J47" s="22"/>
      <c r="K47" s="23"/>
      <c r="L47" s="23"/>
      <c r="M47" s="38"/>
      <c r="N47" s="23"/>
      <c r="O47" s="38"/>
      <c r="P47" s="23"/>
      <c r="Q47" s="23"/>
      <c r="R47" s="23"/>
      <c r="S47" s="23"/>
      <c r="T47" s="23"/>
      <c r="U47" s="38"/>
      <c r="V47" s="38"/>
      <c r="W47" s="22"/>
      <c r="X47" s="22"/>
      <c r="Y47" s="63"/>
    </row>
    <row r="48">
      <c r="A48" s="2" t="s">
        <v>2345</v>
      </c>
      <c r="B48" s="213" t="s">
        <v>2507</v>
      </c>
      <c r="C48" s="203" t="s">
        <v>2666</v>
      </c>
      <c r="D48" s="203" t="s">
        <v>2757</v>
      </c>
      <c r="E48" s="203" t="s">
        <v>2848</v>
      </c>
      <c r="F48" s="203" t="s">
        <v>3099</v>
      </c>
      <c r="G48" s="203" t="s">
        <v>2939</v>
      </c>
      <c r="H48" s="201"/>
      <c r="I48" s="201"/>
      <c r="J48" s="201"/>
      <c r="K48" s="203" t="s">
        <v>3056</v>
      </c>
      <c r="L48" s="203" t="s">
        <v>2659</v>
      </c>
      <c r="M48" s="203" t="s">
        <v>3063</v>
      </c>
      <c r="N48" s="203" t="s">
        <v>3075</v>
      </c>
      <c r="O48" s="203" t="s">
        <v>3080</v>
      </c>
      <c r="P48" s="203" t="s">
        <v>3087</v>
      </c>
      <c r="Q48" s="203" t="s">
        <v>2843</v>
      </c>
      <c r="R48" s="203" t="s">
        <v>2937</v>
      </c>
      <c r="S48" s="203" t="s">
        <v>3092</v>
      </c>
      <c r="T48" s="203" t="s">
        <v>3094</v>
      </c>
      <c r="U48" s="203" t="s">
        <v>3097</v>
      </c>
      <c r="V48" s="203" t="s">
        <v>2653</v>
      </c>
      <c r="W48" s="201"/>
      <c r="X48" s="204"/>
      <c r="Y48" s="218"/>
      <c r="Z48" s="20">
        <f>AVERAGE(B49:Y49)</f>
        <v>1</v>
      </c>
    </row>
    <row r="49">
      <c r="A49" s="209"/>
      <c r="B49" s="46">
        <v>1.17</v>
      </c>
      <c r="C49" s="23">
        <v>0.83</v>
      </c>
      <c r="D49" s="23"/>
      <c r="E49" s="38"/>
      <c r="F49" s="38"/>
      <c r="G49" s="23"/>
      <c r="H49" s="22"/>
      <c r="I49" s="22"/>
      <c r="J49" s="22"/>
      <c r="K49" s="23"/>
      <c r="L49" s="23"/>
      <c r="M49" s="23"/>
      <c r="N49" s="23"/>
      <c r="O49" s="38"/>
      <c r="P49" s="23"/>
      <c r="Q49" s="23"/>
      <c r="R49" s="23"/>
      <c r="S49" s="23"/>
      <c r="T49" s="23"/>
      <c r="U49" s="38"/>
      <c r="V49" s="23"/>
      <c r="W49" s="22"/>
      <c r="X49" s="22"/>
      <c r="Y49" s="63"/>
    </row>
    <row r="50">
      <c r="A50" s="13"/>
      <c r="B50" s="20">
        <f t="shared" ref="B50:G50" si="1">AVERAGE(B2:B49)</f>
        <v>1.042222222</v>
      </c>
      <c r="C50" s="20">
        <f t="shared" si="1"/>
        <v>1.017222222</v>
      </c>
      <c r="D50" s="20">
        <f t="shared" si="1"/>
        <v>0.94</v>
      </c>
      <c r="E50" s="20">
        <f t="shared" si="1"/>
        <v>0.9716666667</v>
      </c>
      <c r="F50" s="20">
        <f t="shared" si="1"/>
        <v>1.006666667</v>
      </c>
      <c r="G50" s="20">
        <f t="shared" si="1"/>
        <v>1.133333333</v>
      </c>
      <c r="H50" s="13"/>
      <c r="I50" s="13"/>
      <c r="J50" s="13"/>
      <c r="K50" s="20">
        <f t="shared" ref="K50:Y50" si="2">AVERAGE(K2:K49)</f>
        <v>1.2375</v>
      </c>
      <c r="L50" s="20">
        <f t="shared" si="2"/>
        <v>0.806</v>
      </c>
      <c r="M50" s="20">
        <f t="shared" si="2"/>
        <v>0.915</v>
      </c>
      <c r="N50" s="20">
        <f t="shared" si="2"/>
        <v>1</v>
      </c>
      <c r="O50" s="20">
        <f t="shared" si="2"/>
        <v>1.033333333</v>
      </c>
      <c r="P50" s="20">
        <f t="shared" si="2"/>
        <v>0.83</v>
      </c>
      <c r="Q50" s="20">
        <f t="shared" si="2"/>
        <v>0.88</v>
      </c>
      <c r="R50" s="20">
        <f t="shared" si="2"/>
        <v>1.15</v>
      </c>
      <c r="S50" s="20">
        <f t="shared" si="2"/>
        <v>1.055</v>
      </c>
      <c r="T50" s="20">
        <f t="shared" si="2"/>
        <v>1.085</v>
      </c>
      <c r="U50" s="20">
        <f t="shared" si="2"/>
        <v>1.14</v>
      </c>
      <c r="V50" s="20">
        <f t="shared" si="2"/>
        <v>0.775</v>
      </c>
      <c r="W50" s="20">
        <f t="shared" si="2"/>
        <v>0.78</v>
      </c>
      <c r="X50" s="20">
        <f t="shared" si="2"/>
        <v>1.155</v>
      </c>
      <c r="Y50" s="20">
        <f t="shared" si="2"/>
        <v>0.905</v>
      </c>
      <c r="Z50" s="95">
        <f>AVERAGE(B2:Y49)</f>
        <v>0.999787234</v>
      </c>
      <c r="AA50" s="95"/>
    </row>
    <row r="51">
      <c r="A51" s="13"/>
      <c r="B51" s="20">
        <f>AVERAGE(B2:D49)</f>
        <v>1.015116279</v>
      </c>
      <c r="E51" s="20">
        <f>AVERAGE(E2:G49)</f>
        <v>1.020833333</v>
      </c>
      <c r="H51" s="20"/>
      <c r="K51" s="20">
        <f>AVERAGE(K2:M49)</f>
        <v>0.9723076923</v>
      </c>
      <c r="N51" s="20">
        <f>AVERAGE(N2:P49)</f>
        <v>0.94875</v>
      </c>
      <c r="Q51" s="20">
        <f>AVERAGE(Q2:S49)</f>
        <v>1.028333333</v>
      </c>
      <c r="T51" s="20">
        <f>AVERAGE(T2:V49)</f>
        <v>1</v>
      </c>
      <c r="W51" s="20">
        <f>AVERAGE(W2:Y49)</f>
        <v>0.9466666667</v>
      </c>
      <c r="Z51" s="95"/>
      <c r="AA51" s="95"/>
    </row>
  </sheetData>
  <mergeCells count="40">
    <mergeCell ref="Z24:Z25"/>
    <mergeCell ref="Z30:Z31"/>
    <mergeCell ref="Z16:Z17"/>
    <mergeCell ref="Z14:Z15"/>
    <mergeCell ref="Z18:Z19"/>
    <mergeCell ref="AA14:AA19"/>
    <mergeCell ref="AA20:AA25"/>
    <mergeCell ref="AA26:AA31"/>
    <mergeCell ref="Z12:Z13"/>
    <mergeCell ref="Z4:Z5"/>
    <mergeCell ref="Z2:Z3"/>
    <mergeCell ref="AA2:AA7"/>
    <mergeCell ref="Z8:Z9"/>
    <mergeCell ref="Z10:Z11"/>
    <mergeCell ref="Z6:Z7"/>
    <mergeCell ref="AA8:AA13"/>
    <mergeCell ref="W51:Y51"/>
    <mergeCell ref="T51:V51"/>
    <mergeCell ref="AA38:AA43"/>
    <mergeCell ref="Z48:Z49"/>
    <mergeCell ref="Z46:Z47"/>
    <mergeCell ref="AA44:AA49"/>
    <mergeCell ref="Z44:Z45"/>
    <mergeCell ref="Z40:Z41"/>
    <mergeCell ref="Z38:Z39"/>
    <mergeCell ref="Z42:Z43"/>
    <mergeCell ref="Z20:Z21"/>
    <mergeCell ref="Z22:Z23"/>
    <mergeCell ref="Z28:Z29"/>
    <mergeCell ref="Z26:Z27"/>
    <mergeCell ref="Z36:Z37"/>
    <mergeCell ref="Z34:Z35"/>
    <mergeCell ref="AA32:AA37"/>
    <mergeCell ref="Q51:S51"/>
    <mergeCell ref="N51:P51"/>
    <mergeCell ref="B51:D51"/>
    <mergeCell ref="E51:G51"/>
    <mergeCell ref="H51:J51"/>
    <mergeCell ref="K51:M51"/>
    <mergeCell ref="Z32:Z33"/>
  </mergeCells>
  <conditionalFormatting sqref="B2:Y49">
    <cfRule type="colorScale" priority="1">
      <colorScale>
        <cfvo type="min"/>
        <cfvo type="percentile" val="50"/>
        <cfvo type="max"/>
        <color rgb="FF00FF00"/>
        <color rgb="FFFFFF00"/>
        <color rgb="FFFF0000"/>
      </colorScale>
    </cfRule>
  </conditionalFormatting>
  <conditionalFormatting sqref="Z1:AA49 A50:Y51">
    <cfRule type="colorScale" priority="2">
      <colorScale>
        <cfvo type="min"/>
        <cfvo type="percentile" val="50"/>
        <cfvo type="max"/>
        <color rgb="FF00FF00"/>
        <color rgb="FFFFFF00"/>
        <color rgb="FFFF0000"/>
      </colorScale>
    </cfRule>
  </conditionalFormatting>
  <drawing r:id="rId2"/>
  <legacyDrawing r:id="rId3"/>
</worksheet>
</file>